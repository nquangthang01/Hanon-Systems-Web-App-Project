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Quang Thang\Projects\Database\Migration data\"/>
    </mc:Choice>
  </mc:AlternateContent>
  <bookViews>
    <workbookView xWindow="0" yWindow="0" windowWidth="28800" windowHeight="118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96" i="1" l="1"/>
  <c r="O296" i="1"/>
  <c r="M296" i="1"/>
  <c r="K296" i="1"/>
  <c r="Q295" i="1"/>
  <c r="O295" i="1"/>
  <c r="M295" i="1"/>
  <c r="K295" i="1"/>
  <c r="Q294" i="1"/>
  <c r="O294" i="1"/>
  <c r="M294" i="1"/>
  <c r="K294" i="1"/>
  <c r="Q293" i="1"/>
  <c r="O293" i="1"/>
  <c r="M293" i="1"/>
  <c r="K293" i="1"/>
  <c r="Q292" i="1"/>
  <c r="O292" i="1"/>
  <c r="M292" i="1"/>
  <c r="K292" i="1"/>
  <c r="Q291" i="1"/>
  <c r="O291" i="1"/>
  <c r="M291" i="1"/>
  <c r="K291" i="1"/>
  <c r="Q290" i="1"/>
  <c r="O290" i="1"/>
  <c r="M290" i="1"/>
  <c r="K290" i="1"/>
  <c r="Q289" i="1"/>
  <c r="O289" i="1"/>
  <c r="M289" i="1"/>
  <c r="K289" i="1"/>
  <c r="Q288" i="1"/>
  <c r="O288" i="1"/>
  <c r="M288" i="1"/>
  <c r="K288" i="1"/>
  <c r="Q287" i="1"/>
  <c r="O287" i="1"/>
  <c r="M287" i="1"/>
  <c r="K287" i="1"/>
  <c r="Q286" i="1"/>
  <c r="O286" i="1"/>
  <c r="M286" i="1"/>
  <c r="K286" i="1"/>
  <c r="Q285" i="1"/>
  <c r="O285" i="1"/>
  <c r="M285" i="1"/>
  <c r="K285" i="1"/>
  <c r="Q284" i="1"/>
  <c r="O284" i="1"/>
  <c r="M284" i="1"/>
  <c r="K284" i="1"/>
  <c r="Q283" i="1"/>
  <c r="O283" i="1"/>
  <c r="M283" i="1"/>
  <c r="K283" i="1"/>
  <c r="Q282" i="1"/>
  <c r="O282" i="1"/>
  <c r="M282" i="1"/>
  <c r="K282" i="1"/>
  <c r="Q281" i="1"/>
  <c r="O281" i="1"/>
  <c r="M281" i="1"/>
  <c r="K281" i="1"/>
  <c r="Q280" i="1"/>
  <c r="O280" i="1"/>
  <c r="M280" i="1"/>
  <c r="K280" i="1"/>
  <c r="Q279" i="1"/>
  <c r="O279" i="1"/>
  <c r="M279" i="1"/>
  <c r="K279" i="1"/>
  <c r="Q278" i="1"/>
  <c r="O278" i="1"/>
  <c r="M278" i="1"/>
  <c r="K278" i="1"/>
  <c r="Q277" i="1"/>
  <c r="O277" i="1"/>
  <c r="M277" i="1"/>
  <c r="K277" i="1"/>
  <c r="Q276" i="1"/>
  <c r="O276" i="1"/>
  <c r="M276" i="1"/>
  <c r="K276" i="1"/>
  <c r="Q275" i="1"/>
  <c r="O275" i="1"/>
  <c r="M275" i="1"/>
  <c r="K275" i="1"/>
  <c r="Q274" i="1"/>
  <c r="O274" i="1"/>
  <c r="M274" i="1"/>
  <c r="K274" i="1"/>
  <c r="Q273" i="1"/>
  <c r="O273" i="1"/>
  <c r="M273" i="1"/>
  <c r="K273" i="1"/>
  <c r="Q272" i="1"/>
  <c r="O272" i="1"/>
  <c r="M272" i="1"/>
  <c r="K272" i="1"/>
  <c r="Q271" i="1"/>
  <c r="O271" i="1"/>
  <c r="M271" i="1"/>
  <c r="K271" i="1"/>
  <c r="Q270" i="1"/>
  <c r="O270" i="1"/>
  <c r="M270" i="1"/>
  <c r="K270" i="1"/>
  <c r="Q269" i="1"/>
  <c r="O269" i="1"/>
  <c r="M269" i="1"/>
  <c r="K269" i="1"/>
  <c r="Q268" i="1"/>
  <c r="O268" i="1"/>
  <c r="M268" i="1"/>
  <c r="K268" i="1"/>
  <c r="Q267" i="1"/>
  <c r="O267" i="1"/>
  <c r="M267" i="1"/>
  <c r="K267" i="1"/>
  <c r="Q266" i="1"/>
  <c r="O266" i="1"/>
  <c r="M266" i="1"/>
  <c r="K266" i="1"/>
  <c r="Q265" i="1"/>
  <c r="O265" i="1"/>
  <c r="M265" i="1"/>
  <c r="K265" i="1"/>
  <c r="Q264" i="1"/>
  <c r="O264" i="1"/>
  <c r="M264" i="1"/>
  <c r="K264" i="1"/>
  <c r="Q263" i="1"/>
  <c r="O263" i="1"/>
  <c r="M263" i="1"/>
  <c r="K263" i="1"/>
  <c r="Q262" i="1"/>
  <c r="O262" i="1"/>
  <c r="M262" i="1"/>
  <c r="K262" i="1"/>
  <c r="Q261" i="1"/>
  <c r="O261" i="1"/>
  <c r="M261" i="1"/>
  <c r="K261" i="1"/>
  <c r="Q260" i="1"/>
  <c r="O260" i="1"/>
  <c r="M260" i="1"/>
  <c r="K260" i="1"/>
  <c r="Q259" i="1"/>
  <c r="O259" i="1"/>
  <c r="M259" i="1"/>
  <c r="K259" i="1"/>
  <c r="Q258" i="1"/>
  <c r="O258" i="1"/>
  <c r="M258" i="1"/>
  <c r="K258" i="1"/>
  <c r="Q257" i="1"/>
  <c r="O257" i="1"/>
  <c r="M257" i="1"/>
  <c r="K257" i="1"/>
  <c r="Q256" i="1"/>
  <c r="O256" i="1"/>
  <c r="M256" i="1"/>
  <c r="K256" i="1"/>
  <c r="Q255" i="1"/>
  <c r="O255" i="1"/>
  <c r="M255" i="1"/>
  <c r="K255" i="1"/>
  <c r="Q254" i="1"/>
  <c r="O254" i="1"/>
  <c r="M254" i="1"/>
  <c r="K254" i="1"/>
  <c r="Q253" i="1"/>
  <c r="O253" i="1"/>
  <c r="M253" i="1"/>
  <c r="K253" i="1"/>
  <c r="Q252" i="1"/>
  <c r="O252" i="1"/>
  <c r="M252" i="1"/>
  <c r="K252" i="1"/>
  <c r="Q251" i="1"/>
  <c r="O251" i="1"/>
  <c r="M251" i="1"/>
  <c r="K251" i="1"/>
  <c r="Q250" i="1"/>
  <c r="O250" i="1"/>
  <c r="M250" i="1"/>
  <c r="K250" i="1"/>
  <c r="Q249" i="1"/>
  <c r="O249" i="1"/>
  <c r="M249" i="1"/>
  <c r="K249" i="1"/>
  <c r="Q248" i="1"/>
  <c r="O248" i="1"/>
  <c r="M248" i="1"/>
  <c r="K248" i="1"/>
  <c r="Q247" i="1"/>
  <c r="O247" i="1"/>
  <c r="M247" i="1"/>
  <c r="K247" i="1"/>
  <c r="Q246" i="1"/>
  <c r="O246" i="1"/>
  <c r="M246" i="1"/>
  <c r="K246" i="1"/>
  <c r="Q245" i="1"/>
  <c r="O245" i="1"/>
  <c r="M245" i="1"/>
  <c r="K245" i="1"/>
  <c r="Q244" i="1"/>
  <c r="O244" i="1"/>
  <c r="M244" i="1"/>
  <c r="K244" i="1"/>
  <c r="Q243" i="1"/>
  <c r="O243" i="1"/>
  <c r="M243" i="1"/>
  <c r="K243" i="1"/>
  <c r="Q242" i="1"/>
  <c r="O242" i="1"/>
  <c r="M242" i="1"/>
  <c r="K242" i="1"/>
  <c r="Q241" i="1"/>
  <c r="O241" i="1"/>
  <c r="M241" i="1"/>
  <c r="K241" i="1"/>
  <c r="Q240" i="1"/>
  <c r="O240" i="1"/>
  <c r="M240" i="1"/>
  <c r="K240" i="1"/>
  <c r="Q239" i="1"/>
  <c r="O239" i="1"/>
  <c r="M239" i="1"/>
  <c r="K239" i="1"/>
  <c r="Q238" i="1"/>
  <c r="O238" i="1"/>
  <c r="M238" i="1"/>
  <c r="K238" i="1"/>
  <c r="Q237" i="1"/>
  <c r="O237" i="1"/>
  <c r="M237" i="1"/>
  <c r="K237" i="1"/>
  <c r="Q236" i="1"/>
  <c r="O236" i="1"/>
  <c r="M236" i="1"/>
  <c r="K236" i="1"/>
  <c r="Q235" i="1"/>
  <c r="O235" i="1"/>
  <c r="M235" i="1"/>
  <c r="K235" i="1"/>
  <c r="Q234" i="1"/>
  <c r="O234" i="1"/>
  <c r="M234" i="1"/>
  <c r="K234" i="1"/>
  <c r="Q233" i="1"/>
  <c r="O233" i="1"/>
  <c r="M233" i="1"/>
  <c r="K233" i="1"/>
  <c r="Q232" i="1"/>
  <c r="O232" i="1"/>
  <c r="M232" i="1"/>
  <c r="K232" i="1"/>
  <c r="Q231" i="1"/>
  <c r="O231" i="1"/>
  <c r="M231" i="1"/>
  <c r="K231" i="1"/>
  <c r="Q230" i="1"/>
  <c r="O230" i="1"/>
  <c r="M230" i="1"/>
  <c r="K230" i="1"/>
  <c r="Q229" i="1"/>
  <c r="O229" i="1"/>
  <c r="M229" i="1"/>
  <c r="K229" i="1"/>
  <c r="Q228" i="1"/>
  <c r="O228" i="1"/>
  <c r="M228" i="1"/>
  <c r="K228" i="1"/>
  <c r="Q227" i="1"/>
  <c r="O227" i="1"/>
  <c r="M227" i="1"/>
  <c r="K227" i="1"/>
  <c r="Q226" i="1"/>
  <c r="O226" i="1"/>
  <c r="M226" i="1"/>
  <c r="K226" i="1"/>
  <c r="Q225" i="1"/>
  <c r="O225" i="1"/>
  <c r="M225" i="1"/>
  <c r="K225" i="1"/>
  <c r="Q224" i="1"/>
  <c r="O224" i="1"/>
  <c r="M224" i="1"/>
  <c r="K224" i="1"/>
  <c r="Q223" i="1"/>
  <c r="O223" i="1"/>
  <c r="M223" i="1"/>
  <c r="K223" i="1"/>
  <c r="Q222" i="1"/>
  <c r="O222" i="1"/>
  <c r="M222" i="1"/>
  <c r="K222" i="1"/>
  <c r="Q221" i="1"/>
  <c r="O221" i="1"/>
  <c r="M221" i="1"/>
  <c r="K221" i="1"/>
  <c r="Q220" i="1"/>
  <c r="O220" i="1"/>
  <c r="M220" i="1"/>
  <c r="K220" i="1"/>
  <c r="Q219" i="1"/>
  <c r="O219" i="1"/>
  <c r="M219" i="1"/>
  <c r="K219" i="1"/>
  <c r="Q218" i="1"/>
  <c r="O218" i="1"/>
  <c r="M218" i="1"/>
  <c r="K218" i="1"/>
  <c r="Q217" i="1"/>
  <c r="O217" i="1"/>
  <c r="M217" i="1"/>
  <c r="K217" i="1"/>
  <c r="Q216" i="1"/>
  <c r="O216" i="1"/>
  <c r="M216" i="1"/>
  <c r="K216" i="1"/>
  <c r="Q215" i="1"/>
  <c r="O215" i="1"/>
  <c r="M215" i="1"/>
  <c r="K215" i="1"/>
  <c r="Q214" i="1"/>
  <c r="O214" i="1"/>
  <c r="M214" i="1"/>
  <c r="K214" i="1"/>
  <c r="Q213" i="1"/>
  <c r="O213" i="1"/>
  <c r="M213" i="1"/>
  <c r="K213" i="1"/>
  <c r="Q212" i="1"/>
  <c r="O212" i="1"/>
  <c r="M212" i="1"/>
  <c r="K212" i="1"/>
  <c r="Q211" i="1"/>
  <c r="O211" i="1"/>
  <c r="M211" i="1"/>
  <c r="K211" i="1"/>
  <c r="Q210" i="1"/>
  <c r="O210" i="1"/>
  <c r="M210" i="1"/>
  <c r="K210" i="1"/>
  <c r="Q209" i="1"/>
  <c r="O209" i="1"/>
  <c r="M209" i="1"/>
  <c r="K209" i="1"/>
  <c r="Q208" i="1"/>
  <c r="O208" i="1"/>
  <c r="M208" i="1"/>
  <c r="K208" i="1"/>
  <c r="Q207" i="1"/>
  <c r="O207" i="1"/>
  <c r="M207" i="1"/>
  <c r="K207" i="1"/>
  <c r="Q206" i="1"/>
  <c r="O206" i="1"/>
  <c r="M206" i="1"/>
  <c r="K206" i="1"/>
  <c r="Q205" i="1"/>
  <c r="O205" i="1"/>
  <c r="M205" i="1"/>
  <c r="K205" i="1"/>
  <c r="Q204" i="1"/>
  <c r="O204" i="1"/>
  <c r="M204" i="1"/>
  <c r="K204" i="1"/>
  <c r="Q203" i="1"/>
  <c r="O203" i="1"/>
  <c r="M203" i="1"/>
  <c r="K203" i="1"/>
  <c r="Q202" i="1"/>
  <c r="O202" i="1"/>
  <c r="M202" i="1"/>
  <c r="K202" i="1"/>
  <c r="Q201" i="1"/>
  <c r="O201" i="1"/>
  <c r="M201" i="1"/>
  <c r="K201" i="1"/>
  <c r="Q200" i="1"/>
  <c r="O200" i="1"/>
  <c r="M200" i="1"/>
  <c r="K200" i="1"/>
  <c r="Q199" i="1"/>
  <c r="O199" i="1"/>
  <c r="M199" i="1"/>
  <c r="K199" i="1"/>
  <c r="Q198" i="1"/>
  <c r="O198" i="1"/>
  <c r="M198" i="1"/>
  <c r="K198" i="1"/>
  <c r="Q197" i="1"/>
  <c r="O197" i="1"/>
  <c r="M197" i="1"/>
  <c r="K197" i="1"/>
  <c r="Q196" i="1"/>
  <c r="O196" i="1"/>
  <c r="M196" i="1"/>
  <c r="K196" i="1"/>
  <c r="Q195" i="1"/>
  <c r="O195" i="1"/>
  <c r="M195" i="1"/>
  <c r="K195" i="1"/>
  <c r="Q194" i="1"/>
  <c r="O194" i="1"/>
  <c r="M194" i="1"/>
  <c r="K194" i="1"/>
  <c r="Q193" i="1"/>
  <c r="O193" i="1"/>
  <c r="M193" i="1"/>
  <c r="K193" i="1"/>
  <c r="Q192" i="1"/>
  <c r="O192" i="1"/>
  <c r="M192" i="1"/>
  <c r="K192" i="1"/>
  <c r="Q191" i="1"/>
  <c r="O191" i="1"/>
  <c r="M191" i="1"/>
  <c r="K191" i="1"/>
  <c r="Q190" i="1"/>
  <c r="O190" i="1"/>
  <c r="M190" i="1"/>
  <c r="K190" i="1"/>
  <c r="Q189" i="1"/>
  <c r="O189" i="1"/>
  <c r="M189" i="1"/>
  <c r="K189" i="1"/>
  <c r="Q188" i="1"/>
  <c r="O188" i="1"/>
  <c r="M188" i="1"/>
  <c r="K188" i="1"/>
  <c r="Q187" i="1"/>
  <c r="O187" i="1"/>
  <c r="M187" i="1"/>
  <c r="K187" i="1"/>
  <c r="Q186" i="1"/>
  <c r="O186" i="1"/>
  <c r="M186" i="1"/>
  <c r="K186" i="1"/>
  <c r="Q185" i="1"/>
  <c r="O185" i="1"/>
  <c r="M185" i="1"/>
  <c r="K185" i="1"/>
  <c r="Q184" i="1"/>
  <c r="O184" i="1"/>
  <c r="M184" i="1"/>
  <c r="K184" i="1"/>
  <c r="Q183" i="1"/>
  <c r="O183" i="1"/>
  <c r="M183" i="1"/>
  <c r="K183" i="1"/>
  <c r="Q182" i="1"/>
  <c r="O182" i="1"/>
  <c r="M182" i="1"/>
  <c r="K182" i="1"/>
  <c r="Q181" i="1"/>
  <c r="O181" i="1"/>
  <c r="M181" i="1"/>
  <c r="K181" i="1"/>
  <c r="Q180" i="1"/>
  <c r="O180" i="1"/>
  <c r="M180" i="1"/>
  <c r="K180" i="1"/>
  <c r="Q179" i="1"/>
  <c r="O179" i="1"/>
  <c r="M179" i="1"/>
  <c r="K179" i="1"/>
  <c r="Q178" i="1"/>
  <c r="O178" i="1"/>
  <c r="M178" i="1"/>
  <c r="K178" i="1"/>
  <c r="Q177" i="1"/>
  <c r="O177" i="1"/>
  <c r="M177" i="1"/>
  <c r="K177" i="1"/>
  <c r="Q176" i="1"/>
  <c r="O176" i="1"/>
  <c r="M176" i="1"/>
  <c r="K176" i="1"/>
  <c r="Q175" i="1"/>
  <c r="O175" i="1"/>
  <c r="M175" i="1"/>
  <c r="K175" i="1"/>
  <c r="Q174" i="1"/>
  <c r="O174" i="1"/>
  <c r="M174" i="1"/>
  <c r="K174" i="1"/>
  <c r="Q173" i="1"/>
  <c r="O173" i="1"/>
  <c r="M173" i="1"/>
  <c r="K173" i="1"/>
  <c r="Q172" i="1"/>
  <c r="O172" i="1"/>
  <c r="M172" i="1"/>
  <c r="K172" i="1"/>
  <c r="Q171" i="1"/>
  <c r="O171" i="1"/>
  <c r="M171" i="1"/>
  <c r="K171" i="1"/>
  <c r="Q170" i="1"/>
  <c r="O170" i="1"/>
  <c r="M170" i="1"/>
  <c r="K170" i="1"/>
  <c r="Q169" i="1"/>
  <c r="O169" i="1"/>
  <c r="M169" i="1"/>
  <c r="K169" i="1"/>
  <c r="Q168" i="1"/>
  <c r="O168" i="1"/>
  <c r="M168" i="1"/>
  <c r="K168" i="1"/>
  <c r="Q167" i="1"/>
  <c r="O167" i="1"/>
  <c r="M167" i="1"/>
  <c r="K167" i="1"/>
  <c r="Q166" i="1"/>
  <c r="O166" i="1"/>
  <c r="M166" i="1"/>
  <c r="K166" i="1"/>
  <c r="Q165" i="1"/>
  <c r="O165" i="1"/>
  <c r="M165" i="1"/>
  <c r="K165" i="1"/>
  <c r="Q164" i="1"/>
  <c r="O164" i="1"/>
  <c r="M164" i="1"/>
  <c r="K164" i="1"/>
  <c r="Q163" i="1"/>
  <c r="O163" i="1"/>
  <c r="M163" i="1"/>
  <c r="K163" i="1"/>
  <c r="Q162" i="1"/>
  <c r="O162" i="1"/>
  <c r="M162" i="1"/>
  <c r="K162" i="1"/>
  <c r="Q161" i="1"/>
  <c r="O161" i="1"/>
  <c r="M161" i="1"/>
  <c r="K161" i="1"/>
  <c r="Q160" i="1"/>
  <c r="O160" i="1"/>
  <c r="M160" i="1"/>
  <c r="K160" i="1"/>
  <c r="Q159" i="1"/>
  <c r="O159" i="1"/>
  <c r="M159" i="1"/>
  <c r="K159" i="1"/>
  <c r="Q158" i="1"/>
  <c r="O158" i="1"/>
  <c r="M158" i="1"/>
  <c r="K158" i="1"/>
  <c r="Q157" i="1"/>
  <c r="O157" i="1"/>
  <c r="M157" i="1"/>
  <c r="K157" i="1"/>
  <c r="Q156" i="1"/>
  <c r="O156" i="1"/>
  <c r="M156" i="1"/>
  <c r="K156" i="1"/>
  <c r="Q155" i="1"/>
  <c r="O155" i="1"/>
  <c r="M155" i="1"/>
  <c r="K155" i="1"/>
  <c r="Q154" i="1"/>
  <c r="O154" i="1"/>
  <c r="M154" i="1"/>
  <c r="K154" i="1"/>
  <c r="Q153" i="1"/>
  <c r="O153" i="1"/>
  <c r="M153" i="1"/>
  <c r="K153" i="1"/>
  <c r="Q152" i="1"/>
  <c r="O152" i="1"/>
  <c r="M152" i="1"/>
  <c r="K152" i="1"/>
  <c r="Q151" i="1"/>
  <c r="O151" i="1"/>
  <c r="M151" i="1"/>
  <c r="K151" i="1"/>
  <c r="Q150" i="1"/>
  <c r="O150" i="1"/>
  <c r="M150" i="1"/>
  <c r="K150" i="1"/>
  <c r="Q149" i="1"/>
  <c r="O149" i="1"/>
  <c r="M149" i="1"/>
  <c r="K149" i="1"/>
  <c r="Q148" i="1"/>
  <c r="O148" i="1"/>
  <c r="M148" i="1"/>
  <c r="K148" i="1"/>
  <c r="Q147" i="1"/>
  <c r="O147" i="1"/>
  <c r="M147" i="1"/>
  <c r="K147" i="1"/>
  <c r="Q146" i="1"/>
  <c r="O146" i="1"/>
  <c r="M146" i="1"/>
  <c r="K146" i="1"/>
  <c r="Q145" i="1"/>
  <c r="O145" i="1"/>
  <c r="M145" i="1"/>
  <c r="K145" i="1"/>
  <c r="Q144" i="1"/>
  <c r="O144" i="1"/>
  <c r="M144" i="1"/>
  <c r="K144" i="1"/>
  <c r="Q143" i="1"/>
  <c r="O143" i="1"/>
  <c r="M143" i="1"/>
  <c r="K143" i="1"/>
  <c r="Q142" i="1"/>
  <c r="O142" i="1"/>
  <c r="M142" i="1"/>
  <c r="K142" i="1"/>
  <c r="Q141" i="1"/>
  <c r="O141" i="1"/>
  <c r="M141" i="1"/>
  <c r="K141" i="1"/>
  <c r="Q140" i="1"/>
  <c r="O140" i="1"/>
  <c r="M140" i="1"/>
  <c r="K140" i="1"/>
  <c r="Q139" i="1"/>
  <c r="O139" i="1"/>
  <c r="M139" i="1"/>
  <c r="K139" i="1"/>
  <c r="Q138" i="1"/>
  <c r="O138" i="1"/>
  <c r="M138" i="1"/>
  <c r="K138" i="1"/>
  <c r="Q137" i="1"/>
  <c r="O137" i="1"/>
  <c r="M137" i="1"/>
  <c r="K137" i="1"/>
  <c r="Q136" i="1"/>
  <c r="O136" i="1"/>
  <c r="M136" i="1"/>
  <c r="K136" i="1"/>
  <c r="Q135" i="1"/>
  <c r="O135" i="1"/>
  <c r="M135" i="1"/>
  <c r="K135" i="1"/>
  <c r="Q134" i="1"/>
  <c r="O134" i="1"/>
  <c r="M134" i="1"/>
  <c r="K134" i="1"/>
  <c r="Q133" i="1"/>
  <c r="O133" i="1"/>
  <c r="M133" i="1"/>
  <c r="K133" i="1"/>
  <c r="Q132" i="1"/>
  <c r="O132" i="1"/>
  <c r="M132" i="1"/>
  <c r="K132" i="1"/>
  <c r="Q131" i="1"/>
  <c r="O131" i="1"/>
  <c r="M131" i="1"/>
  <c r="K131" i="1"/>
  <c r="Q130" i="1"/>
  <c r="O130" i="1"/>
  <c r="M130" i="1"/>
  <c r="K130" i="1"/>
  <c r="Q129" i="1"/>
  <c r="O129" i="1"/>
  <c r="M129" i="1"/>
  <c r="K129" i="1"/>
  <c r="Q128" i="1"/>
  <c r="O128" i="1"/>
  <c r="M128" i="1"/>
  <c r="K128" i="1"/>
  <c r="Q127" i="1"/>
  <c r="O127" i="1"/>
  <c r="M127" i="1"/>
  <c r="K127" i="1"/>
  <c r="Q126" i="1"/>
  <c r="O126" i="1"/>
  <c r="M126" i="1"/>
  <c r="K126" i="1"/>
  <c r="Q125" i="1"/>
  <c r="O125" i="1"/>
  <c r="M125" i="1"/>
  <c r="K125" i="1"/>
  <c r="Q124" i="1"/>
  <c r="O124" i="1"/>
  <c r="M124" i="1"/>
  <c r="K124" i="1"/>
  <c r="Q123" i="1"/>
  <c r="O123" i="1"/>
  <c r="M123" i="1"/>
  <c r="K123" i="1"/>
  <c r="Q122" i="1"/>
  <c r="O122" i="1"/>
  <c r="M122" i="1"/>
  <c r="K122" i="1"/>
  <c r="Q121" i="1"/>
  <c r="O121" i="1"/>
  <c r="M121" i="1"/>
  <c r="K121" i="1"/>
  <c r="Q120" i="1"/>
  <c r="O120" i="1"/>
  <c r="M120" i="1"/>
  <c r="K120" i="1"/>
  <c r="Q119" i="1"/>
  <c r="O119" i="1"/>
  <c r="M119" i="1"/>
  <c r="K119" i="1"/>
  <c r="Q118" i="1"/>
  <c r="O118" i="1"/>
  <c r="M118" i="1"/>
  <c r="K118" i="1"/>
  <c r="Q117" i="1"/>
  <c r="O117" i="1"/>
  <c r="M117" i="1"/>
  <c r="K117" i="1"/>
  <c r="Q116" i="1"/>
  <c r="O116" i="1"/>
  <c r="M116" i="1"/>
  <c r="K116" i="1"/>
  <c r="Q115" i="1"/>
  <c r="O115" i="1"/>
  <c r="M115" i="1"/>
  <c r="K115" i="1"/>
  <c r="Q114" i="1"/>
  <c r="O114" i="1"/>
  <c r="M114" i="1"/>
  <c r="K114" i="1"/>
  <c r="Q113" i="1"/>
  <c r="O113" i="1"/>
  <c r="M113" i="1"/>
  <c r="K113" i="1"/>
  <c r="Q112" i="1"/>
  <c r="O112" i="1"/>
  <c r="M112" i="1"/>
  <c r="K112" i="1"/>
  <c r="Q111" i="1"/>
  <c r="O111" i="1"/>
  <c r="M111" i="1"/>
  <c r="K111" i="1"/>
  <c r="Q110" i="1"/>
  <c r="O110" i="1"/>
  <c r="M110" i="1"/>
  <c r="K110" i="1"/>
  <c r="Q109" i="1"/>
  <c r="O109" i="1"/>
  <c r="M109" i="1"/>
  <c r="K109" i="1"/>
  <c r="Q108" i="1"/>
  <c r="O108" i="1"/>
  <c r="M108" i="1"/>
  <c r="K108" i="1"/>
  <c r="Q107" i="1"/>
  <c r="O107" i="1"/>
  <c r="M107" i="1"/>
  <c r="K107" i="1"/>
  <c r="Q106" i="1"/>
  <c r="O106" i="1"/>
  <c r="M106" i="1"/>
  <c r="K106" i="1"/>
  <c r="Q105" i="1"/>
  <c r="O105" i="1"/>
  <c r="M105" i="1"/>
  <c r="K105" i="1"/>
  <c r="Q104" i="1"/>
  <c r="O104" i="1"/>
  <c r="M104" i="1"/>
  <c r="K104" i="1"/>
  <c r="Q103" i="1"/>
  <c r="O103" i="1"/>
  <c r="M103" i="1"/>
  <c r="K103" i="1"/>
  <c r="Q102" i="1"/>
  <c r="O102" i="1"/>
  <c r="M102" i="1"/>
  <c r="K102" i="1"/>
  <c r="Q101" i="1"/>
  <c r="O101" i="1"/>
  <c r="M101" i="1"/>
  <c r="K101" i="1"/>
  <c r="Q100" i="1"/>
  <c r="O100" i="1"/>
  <c r="M100" i="1"/>
  <c r="K100" i="1"/>
  <c r="Q99" i="1"/>
  <c r="O99" i="1"/>
  <c r="M99" i="1"/>
  <c r="K99" i="1"/>
  <c r="Q98" i="1"/>
  <c r="O98" i="1"/>
  <c r="M98" i="1"/>
  <c r="K98" i="1"/>
  <c r="Q97" i="1"/>
  <c r="O97" i="1"/>
  <c r="M97" i="1"/>
  <c r="K97" i="1"/>
  <c r="Q96" i="1"/>
  <c r="O96" i="1"/>
  <c r="M96" i="1"/>
  <c r="K96" i="1"/>
  <c r="Q95" i="1"/>
  <c r="O95" i="1"/>
  <c r="M95" i="1"/>
  <c r="K95" i="1"/>
  <c r="Q94" i="1"/>
  <c r="O94" i="1"/>
  <c r="M94" i="1"/>
  <c r="K94" i="1"/>
  <c r="Q93" i="1"/>
  <c r="O93" i="1"/>
  <c r="M93" i="1"/>
  <c r="K93" i="1"/>
  <c r="Q92" i="1"/>
  <c r="O92" i="1"/>
  <c r="M92" i="1"/>
  <c r="K92" i="1"/>
  <c r="Q91" i="1"/>
  <c r="O91" i="1"/>
  <c r="M91" i="1"/>
  <c r="K91" i="1"/>
  <c r="Q90" i="1"/>
  <c r="O90" i="1"/>
  <c r="M90" i="1"/>
  <c r="K90" i="1"/>
  <c r="Q89" i="1"/>
  <c r="O89" i="1"/>
  <c r="M89" i="1"/>
  <c r="K89" i="1"/>
  <c r="Q88" i="1"/>
  <c r="O88" i="1"/>
  <c r="M88" i="1"/>
  <c r="K88" i="1"/>
  <c r="Q87" i="1"/>
  <c r="O87" i="1"/>
  <c r="M87" i="1"/>
  <c r="K87" i="1"/>
  <c r="Q86" i="1"/>
  <c r="O86" i="1"/>
  <c r="M86" i="1"/>
  <c r="K86" i="1"/>
  <c r="Q85" i="1"/>
  <c r="O85" i="1"/>
  <c r="M85" i="1"/>
  <c r="K85" i="1"/>
  <c r="I85" i="1"/>
  <c r="Q84" i="1"/>
  <c r="O84" i="1"/>
  <c r="M84" i="1"/>
  <c r="K84" i="1"/>
  <c r="I84" i="1"/>
  <c r="Q83" i="1"/>
  <c r="O83" i="1"/>
  <c r="M83" i="1"/>
  <c r="K83" i="1"/>
  <c r="I83" i="1"/>
  <c r="Q82" i="1"/>
  <c r="O82" i="1"/>
  <c r="M82" i="1"/>
  <c r="K82" i="1"/>
  <c r="I82" i="1"/>
  <c r="H82" i="1"/>
  <c r="Q81" i="1"/>
  <c r="O81" i="1"/>
  <c r="M81" i="1"/>
  <c r="K81" i="1"/>
  <c r="I81" i="1"/>
  <c r="Q80" i="1"/>
  <c r="O80" i="1"/>
  <c r="M80" i="1"/>
  <c r="K80" i="1"/>
  <c r="I80" i="1"/>
  <c r="H80" i="1"/>
  <c r="Q79" i="1"/>
  <c r="O79" i="1"/>
  <c r="M79" i="1"/>
  <c r="K79" i="1"/>
  <c r="I79" i="1"/>
  <c r="Q78" i="1"/>
  <c r="O78" i="1"/>
  <c r="M78" i="1"/>
  <c r="K78" i="1"/>
  <c r="I78" i="1"/>
  <c r="Q77" i="1"/>
  <c r="O77" i="1"/>
  <c r="M77" i="1"/>
  <c r="K77" i="1"/>
  <c r="I77" i="1"/>
  <c r="Q76" i="1"/>
  <c r="O76" i="1"/>
  <c r="M76" i="1"/>
  <c r="K76" i="1"/>
  <c r="I76" i="1"/>
  <c r="Q75" i="1"/>
  <c r="O75" i="1"/>
  <c r="M75" i="1"/>
  <c r="K75" i="1"/>
  <c r="I75" i="1"/>
  <c r="Q74" i="1"/>
  <c r="O74" i="1"/>
  <c r="M74" i="1"/>
  <c r="K74" i="1"/>
  <c r="I74" i="1"/>
  <c r="H74" i="1"/>
  <c r="Q73" i="1"/>
  <c r="O73" i="1"/>
  <c r="M73" i="1"/>
  <c r="K73" i="1"/>
  <c r="I73" i="1"/>
  <c r="Q72" i="1"/>
  <c r="O72" i="1"/>
  <c r="M72" i="1"/>
  <c r="K72" i="1"/>
  <c r="I72" i="1"/>
  <c r="H72" i="1"/>
  <c r="Q71" i="1"/>
  <c r="O71" i="1"/>
  <c r="M71" i="1"/>
  <c r="K71" i="1"/>
  <c r="I71" i="1"/>
  <c r="Q70" i="1"/>
  <c r="O70" i="1"/>
  <c r="M70" i="1"/>
  <c r="K70" i="1"/>
  <c r="I70" i="1"/>
  <c r="H70" i="1"/>
  <c r="Q69" i="1"/>
  <c r="O69" i="1"/>
  <c r="M69" i="1"/>
  <c r="K69" i="1"/>
  <c r="I69" i="1"/>
  <c r="Q68" i="1"/>
  <c r="O68" i="1"/>
  <c r="M68" i="1"/>
  <c r="K68" i="1"/>
  <c r="I68" i="1"/>
  <c r="H68" i="1"/>
  <c r="Q67" i="1"/>
  <c r="O67" i="1"/>
  <c r="M67" i="1"/>
  <c r="K67" i="1"/>
  <c r="I67" i="1"/>
  <c r="Q66" i="1"/>
  <c r="O66" i="1"/>
  <c r="M66" i="1"/>
  <c r="K66" i="1"/>
  <c r="I66" i="1"/>
  <c r="Q65" i="1"/>
  <c r="O65" i="1"/>
  <c r="M65" i="1"/>
  <c r="K65" i="1"/>
  <c r="I65" i="1"/>
  <c r="Q64" i="1"/>
  <c r="O64" i="1"/>
  <c r="M64" i="1"/>
  <c r="K64" i="1"/>
  <c r="I64" i="1"/>
  <c r="H64" i="1"/>
  <c r="Q63" i="1"/>
  <c r="O63" i="1"/>
  <c r="M63" i="1"/>
  <c r="K63" i="1"/>
  <c r="I63" i="1"/>
  <c r="Q62" i="1"/>
  <c r="O62" i="1"/>
  <c r="M62" i="1"/>
  <c r="K62" i="1"/>
  <c r="I62" i="1"/>
  <c r="Q61" i="1"/>
  <c r="O61" i="1"/>
  <c r="M61" i="1"/>
  <c r="K61" i="1"/>
  <c r="I61" i="1"/>
  <c r="Q60" i="1"/>
  <c r="O60" i="1"/>
  <c r="M60" i="1"/>
  <c r="K60" i="1"/>
  <c r="I60" i="1"/>
  <c r="Q59" i="1"/>
  <c r="O59" i="1"/>
  <c r="M59" i="1"/>
  <c r="K59" i="1"/>
  <c r="I59" i="1"/>
  <c r="Q58" i="1"/>
  <c r="O58" i="1"/>
  <c r="M58" i="1"/>
  <c r="K58" i="1"/>
  <c r="I58" i="1"/>
  <c r="Q57" i="1"/>
  <c r="O57" i="1"/>
  <c r="M57" i="1"/>
  <c r="K57" i="1"/>
  <c r="I57" i="1"/>
  <c r="Q56" i="1"/>
  <c r="O56" i="1"/>
  <c r="M56" i="1"/>
  <c r="K56" i="1"/>
  <c r="I56" i="1"/>
  <c r="Q55" i="1"/>
  <c r="O55" i="1"/>
  <c r="M55" i="1"/>
  <c r="K55" i="1"/>
  <c r="I55" i="1"/>
  <c r="Q54" i="1"/>
  <c r="O54" i="1"/>
  <c r="M54" i="1"/>
  <c r="K54" i="1"/>
  <c r="I54" i="1"/>
  <c r="H54" i="1"/>
  <c r="Q53" i="1"/>
  <c r="O53" i="1"/>
  <c r="M53" i="1"/>
  <c r="K53" i="1"/>
  <c r="I53" i="1"/>
  <c r="Q52" i="1"/>
  <c r="O52" i="1"/>
  <c r="M52" i="1"/>
  <c r="K52" i="1"/>
  <c r="I52" i="1"/>
  <c r="Q51" i="1"/>
  <c r="O51" i="1"/>
  <c r="M51" i="1"/>
  <c r="K51" i="1"/>
  <c r="I51" i="1"/>
  <c r="Q50" i="1"/>
  <c r="O50" i="1"/>
  <c r="M50" i="1"/>
  <c r="K50" i="1"/>
  <c r="I50" i="1"/>
  <c r="H50" i="1"/>
  <c r="Q49" i="1"/>
  <c r="O49" i="1"/>
  <c r="M49" i="1"/>
  <c r="K49" i="1"/>
  <c r="I49" i="1"/>
  <c r="Q48" i="1"/>
  <c r="O48" i="1"/>
  <c r="M48" i="1"/>
  <c r="K48" i="1"/>
  <c r="I48" i="1"/>
  <c r="H48" i="1"/>
  <c r="Q47" i="1"/>
  <c r="O47" i="1"/>
  <c r="M47" i="1"/>
  <c r="K47" i="1"/>
  <c r="I47" i="1"/>
  <c r="Q46" i="1"/>
  <c r="O46" i="1"/>
  <c r="M46" i="1"/>
  <c r="K46" i="1"/>
  <c r="I46" i="1"/>
  <c r="Q45" i="1"/>
  <c r="O45" i="1"/>
  <c r="M45" i="1"/>
  <c r="K45" i="1"/>
  <c r="I45" i="1"/>
  <c r="Q44" i="1"/>
  <c r="O44" i="1"/>
  <c r="M44" i="1"/>
  <c r="K44" i="1"/>
  <c r="I44" i="1"/>
  <c r="Q43" i="1"/>
  <c r="O43" i="1"/>
  <c r="M43" i="1"/>
  <c r="K43" i="1"/>
  <c r="I43" i="1"/>
  <c r="Q42" i="1"/>
  <c r="O42" i="1"/>
  <c r="M42" i="1"/>
  <c r="K42" i="1"/>
  <c r="I42" i="1"/>
  <c r="Q41" i="1"/>
  <c r="O41" i="1"/>
  <c r="M41" i="1"/>
  <c r="K41" i="1"/>
  <c r="I41" i="1"/>
  <c r="Q40" i="1"/>
  <c r="O40" i="1"/>
  <c r="M40" i="1"/>
  <c r="K40" i="1"/>
  <c r="I40" i="1"/>
  <c r="Q39" i="1"/>
  <c r="O39" i="1"/>
  <c r="M39" i="1"/>
  <c r="K39" i="1"/>
  <c r="I39" i="1"/>
  <c r="Q38" i="1"/>
  <c r="O38" i="1"/>
  <c r="M38" i="1"/>
  <c r="K38" i="1"/>
  <c r="I38" i="1"/>
  <c r="Q37" i="1"/>
  <c r="O37" i="1"/>
  <c r="M37" i="1"/>
  <c r="K37" i="1"/>
  <c r="I37" i="1"/>
  <c r="Q36" i="1"/>
  <c r="O36" i="1"/>
  <c r="M36" i="1"/>
  <c r="K36" i="1"/>
  <c r="I36" i="1"/>
  <c r="Q35" i="1"/>
  <c r="O35" i="1"/>
  <c r="M35" i="1"/>
  <c r="K35" i="1"/>
  <c r="I35" i="1"/>
  <c r="Q34" i="1"/>
  <c r="O34" i="1"/>
  <c r="M34" i="1"/>
  <c r="K34" i="1"/>
  <c r="I34" i="1"/>
  <c r="Q33" i="1"/>
  <c r="O33" i="1"/>
  <c r="M33" i="1"/>
  <c r="K33" i="1"/>
  <c r="I33" i="1"/>
  <c r="Q32" i="1"/>
  <c r="O32" i="1"/>
  <c r="M32" i="1"/>
  <c r="K32" i="1"/>
  <c r="I32" i="1"/>
  <c r="Q31" i="1"/>
  <c r="O31" i="1"/>
  <c r="M31" i="1"/>
  <c r="K31" i="1"/>
  <c r="I31" i="1"/>
  <c r="Q30" i="1"/>
  <c r="O30" i="1"/>
  <c r="M30" i="1"/>
  <c r="K30" i="1"/>
  <c r="I30" i="1"/>
  <c r="Q29" i="1"/>
  <c r="O29" i="1"/>
  <c r="M29" i="1"/>
  <c r="K29" i="1"/>
  <c r="I29" i="1"/>
  <c r="Q28" i="1"/>
  <c r="O28" i="1"/>
  <c r="M28" i="1"/>
  <c r="K28" i="1"/>
  <c r="I28" i="1"/>
  <c r="Q27" i="1"/>
  <c r="O27" i="1"/>
  <c r="M27" i="1"/>
  <c r="K27" i="1"/>
  <c r="I27" i="1"/>
  <c r="Q26" i="1"/>
  <c r="O26" i="1"/>
  <c r="M26" i="1"/>
  <c r="K26" i="1"/>
  <c r="I26" i="1"/>
  <c r="Q25" i="1"/>
  <c r="O25" i="1"/>
  <c r="M25" i="1"/>
  <c r="K25" i="1"/>
  <c r="I25" i="1"/>
  <c r="Q24" i="1"/>
  <c r="O24" i="1"/>
  <c r="M24" i="1"/>
  <c r="K24" i="1"/>
  <c r="I24" i="1"/>
  <c r="Q23" i="1"/>
  <c r="O23" i="1"/>
  <c r="M23" i="1"/>
  <c r="K23" i="1"/>
  <c r="I23" i="1"/>
  <c r="Q22" i="1"/>
  <c r="O22" i="1"/>
  <c r="M22" i="1"/>
  <c r="K22" i="1"/>
  <c r="I22" i="1"/>
  <c r="Q21" i="1"/>
  <c r="O21" i="1"/>
  <c r="M21" i="1"/>
  <c r="K21" i="1"/>
  <c r="I21" i="1"/>
  <c r="Q20" i="1"/>
  <c r="O20" i="1"/>
  <c r="M20" i="1"/>
  <c r="K20" i="1"/>
  <c r="I20" i="1"/>
  <c r="Q19" i="1"/>
  <c r="O19" i="1"/>
  <c r="M19" i="1"/>
  <c r="K19" i="1"/>
  <c r="I19" i="1"/>
  <c r="Q18" i="1"/>
  <c r="O18" i="1"/>
  <c r="M18" i="1"/>
  <c r="K18" i="1"/>
  <c r="I18" i="1"/>
  <c r="Q17" i="1"/>
  <c r="O17" i="1"/>
  <c r="M17" i="1"/>
  <c r="K17" i="1"/>
  <c r="I17" i="1"/>
  <c r="Q16" i="1"/>
  <c r="O16" i="1"/>
  <c r="M16" i="1"/>
  <c r="K16" i="1"/>
  <c r="I16" i="1"/>
  <c r="Q15" i="1"/>
  <c r="O15" i="1"/>
  <c r="M15" i="1"/>
  <c r="K15" i="1"/>
  <c r="I15" i="1"/>
  <c r="Q14" i="1"/>
  <c r="O14" i="1"/>
  <c r="M14" i="1"/>
  <c r="K14" i="1"/>
  <c r="I14" i="1"/>
  <c r="Q13" i="1"/>
  <c r="O13" i="1"/>
  <c r="M13" i="1"/>
  <c r="K13" i="1"/>
  <c r="I13" i="1"/>
  <c r="Q12" i="1"/>
  <c r="O12" i="1"/>
  <c r="M12" i="1"/>
  <c r="K12" i="1"/>
  <c r="I12" i="1"/>
  <c r="Q11" i="1"/>
  <c r="O11" i="1"/>
  <c r="M11" i="1"/>
  <c r="K11" i="1"/>
  <c r="I11" i="1"/>
  <c r="Q10" i="1"/>
  <c r="O10" i="1"/>
  <c r="M10" i="1"/>
  <c r="K10" i="1"/>
  <c r="I10" i="1"/>
  <c r="Q9" i="1"/>
  <c r="O9" i="1"/>
  <c r="M9" i="1"/>
  <c r="K9" i="1"/>
  <c r="I9" i="1"/>
  <c r="Q8" i="1"/>
  <c r="O8" i="1"/>
  <c r="M8" i="1"/>
  <c r="K8" i="1"/>
  <c r="I8" i="1"/>
  <c r="Q7" i="1"/>
  <c r="O7" i="1"/>
  <c r="M7" i="1"/>
  <c r="K7" i="1"/>
  <c r="I7" i="1"/>
  <c r="Q6" i="1"/>
  <c r="O6" i="1"/>
  <c r="M6" i="1"/>
  <c r="K6" i="1"/>
  <c r="I6" i="1"/>
  <c r="Q5" i="1"/>
  <c r="O5" i="1"/>
  <c r="M5" i="1"/>
  <c r="K5" i="1"/>
  <c r="I5" i="1"/>
  <c r="Q4" i="1"/>
  <c r="O4" i="1"/>
  <c r="M4" i="1"/>
  <c r="K4" i="1"/>
  <c r="I4" i="1"/>
  <c r="Q3" i="1"/>
  <c r="O3" i="1"/>
  <c r="M3" i="1"/>
  <c r="K3" i="1"/>
  <c r="Q2" i="1"/>
  <c r="O2" i="1"/>
  <c r="M2" i="1"/>
  <c r="K2" i="1"/>
  <c r="I2" i="1"/>
</calcChain>
</file>

<file path=xl/sharedStrings.xml><?xml version="1.0" encoding="utf-8"?>
<sst xmlns="http://schemas.openxmlformats.org/spreadsheetml/2006/main" count="1162" uniqueCount="316">
  <si>
    <t>dar_id</t>
  </si>
  <si>
    <t>channel_number</t>
  </si>
  <si>
    <t>number_of_duts</t>
  </si>
  <si>
    <t>power_supply_type</t>
  </si>
  <si>
    <t>48V_power_supply</t>
  </si>
  <si>
    <t>12V_power_supply</t>
  </si>
  <si>
    <t>max_current_48V</t>
  </si>
  <si>
    <t>max_current_12V</t>
  </si>
  <si>
    <t>power_supply_model</t>
  </si>
  <si>
    <t>N_eWP_Primary</t>
  </si>
  <si>
    <t>eWP Primary</t>
  </si>
  <si>
    <t>N_eWP_Med_Aux</t>
  </si>
  <si>
    <t>eWP Med Aux</t>
  </si>
  <si>
    <t>N_eTMOP</t>
  </si>
  <si>
    <t>eTMOP</t>
  </si>
  <si>
    <t>N_eCF</t>
  </si>
  <si>
    <t>eCF</t>
  </si>
  <si>
    <t>lin</t>
  </si>
  <si>
    <t>pwn</t>
  </si>
  <si>
    <t>can</t>
  </si>
  <si>
    <t>pressure_transducer_inlet</t>
  </si>
  <si>
    <t>pressure_transducer_outlet</t>
  </si>
  <si>
    <t>Variable</t>
  </si>
  <si>
    <t>40A</t>
  </si>
  <si>
    <t>84 A</t>
  </si>
  <si>
    <t>0</t>
  </si>
  <si>
    <t>AmeTek XG 20-84</t>
  </si>
  <si>
    <t>25 A</t>
  </si>
  <si>
    <t>M5251PC - 072017D060</t>
  </si>
  <si>
    <t>U5251- 011015D159</t>
  </si>
  <si>
    <t>M5251PC - 072017D058</t>
  </si>
  <si>
    <t>M5151- 041715D034</t>
  </si>
  <si>
    <t>M5251PC - 072017D059</t>
  </si>
  <si>
    <t>M5151- 011015D169</t>
  </si>
  <si>
    <t>M5251PC - 072017D061</t>
  </si>
  <si>
    <t>M5151- 120312D037</t>
  </si>
  <si>
    <t>1050PC - 177110511</t>
  </si>
  <si>
    <t>M5151 - 040612D772</t>
  </si>
  <si>
    <t>M5251PC - 072017D067</t>
  </si>
  <si>
    <t>M5251 - 062316D076</t>
  </si>
  <si>
    <t>M5251PC- 072017D071</t>
  </si>
  <si>
    <t>M5151- 120312D014</t>
  </si>
  <si>
    <t>M5251PC- 072017D072</t>
  </si>
  <si>
    <t>M5151- 120312D059</t>
  </si>
  <si>
    <t>1050PC - 187236400</t>
  </si>
  <si>
    <t>M5151 - 120312D017</t>
  </si>
  <si>
    <t>1050PC - 187236414</t>
  </si>
  <si>
    <t>M5251 - 032417D208</t>
  </si>
  <si>
    <t>1050PC - 187236416</t>
  </si>
  <si>
    <t>M5151 - 120312D042</t>
  </si>
  <si>
    <t>1050PC - 177110507</t>
  </si>
  <si>
    <t>M5251 - 022217D872</t>
  </si>
  <si>
    <t>40 A</t>
  </si>
  <si>
    <t>1050PC - 187236401</t>
  </si>
  <si>
    <t>M5151 - 040612D764</t>
  </si>
  <si>
    <t>1050PC - 187236406</t>
  </si>
  <si>
    <t>M5151 - 120312D050</t>
  </si>
  <si>
    <t>1050PC - 187235092</t>
  </si>
  <si>
    <t>M5251 - 022217D869</t>
  </si>
  <si>
    <t>1050PC - 187235093</t>
  </si>
  <si>
    <t>M5251 - 022217D874</t>
  </si>
  <si>
    <t>1050PC - 177110497</t>
  </si>
  <si>
    <t>M5251 - 062316D065</t>
  </si>
  <si>
    <t>1050PC - 177110509</t>
  </si>
  <si>
    <t>M5251 - 062316D066</t>
  </si>
  <si>
    <t>1050PC - 177110512</t>
  </si>
  <si>
    <t>M5251 - 022217D867</t>
  </si>
  <si>
    <t>1050PC - 187235095</t>
  </si>
  <si>
    <t>M5251 - 022217D870</t>
  </si>
  <si>
    <t>M5251PC- 072017D055</t>
  </si>
  <si>
    <t>M5151- 040612D757</t>
  </si>
  <si>
    <t>M5251PC- 072017D056</t>
  </si>
  <si>
    <t>M5251 - 022217D879</t>
  </si>
  <si>
    <t>1050PC - 187235140</t>
  </si>
  <si>
    <t>M5151 - 070812D126</t>
  </si>
  <si>
    <t>1050PC - 187235141</t>
  </si>
  <si>
    <t>M5151 - 011015D160</t>
  </si>
  <si>
    <t>1050PC - 187236415</t>
  </si>
  <si>
    <t>M5151- 040612D769</t>
  </si>
  <si>
    <t>M5251PC - 072017D062</t>
  </si>
  <si>
    <t>M5151- 120312D065</t>
  </si>
  <si>
    <t>1050PC - 187236398</t>
  </si>
  <si>
    <t>M5151- 040612D753</t>
  </si>
  <si>
    <t>1050PC - 187236407</t>
  </si>
  <si>
    <t>M5251- 062316D072</t>
  </si>
  <si>
    <t>M5251PC - 072017D075</t>
  </si>
  <si>
    <t>M5151- 051815D738</t>
  </si>
  <si>
    <t>M5251PC - 072017D076</t>
  </si>
  <si>
    <t>M5151- 051815D739</t>
  </si>
  <si>
    <t>1050PC - 187236413</t>
  </si>
  <si>
    <t>M5151 - 120312D026</t>
  </si>
  <si>
    <t>1050PC - 187235123</t>
  </si>
  <si>
    <t>M5251 - 032417D205</t>
  </si>
  <si>
    <t>1050PC - 187235125</t>
  </si>
  <si>
    <t>M5151 - 041715D025</t>
  </si>
  <si>
    <t>1050PC - 187236417</t>
  </si>
  <si>
    <t>M5251 - 032417D203</t>
  </si>
  <si>
    <t>1050PC - 187236409</t>
  </si>
  <si>
    <t>M5251 - 032417D201</t>
  </si>
  <si>
    <t>1050PC - 187236402</t>
  </si>
  <si>
    <t>M5151 - 187236402</t>
  </si>
  <si>
    <t>1050PC - 187236410</t>
  </si>
  <si>
    <t>M5151 - 187236410</t>
  </si>
  <si>
    <t>M5151 - 040612D760 P1</t>
  </si>
  <si>
    <t>U5251- 1602483 P2</t>
  </si>
  <si>
    <t>M5151 - 051815D745 P3</t>
  </si>
  <si>
    <t>M5151- 051815D740 P4</t>
  </si>
  <si>
    <t>1050PC - 187236403</t>
  </si>
  <si>
    <t>M5151 - 120312D001</t>
  </si>
  <si>
    <t>1050PC - 187236405</t>
  </si>
  <si>
    <t>M5151 - 091212D242</t>
  </si>
  <si>
    <t>1050PC - 187236411</t>
  </si>
  <si>
    <t>M5151- 091212D247</t>
  </si>
  <si>
    <t>1050PC - 187236412</t>
  </si>
  <si>
    <t>M5151- 091212D244</t>
  </si>
  <si>
    <t>1050PC - 187313214</t>
  </si>
  <si>
    <t>M5251PG - 022217D871</t>
  </si>
  <si>
    <t>1050PC - 187313220</t>
  </si>
  <si>
    <t>M5251PG - 022217D877</t>
  </si>
  <si>
    <t>M5251PC - 072017D073</t>
  </si>
  <si>
    <t>M5151PG - 091212D239</t>
  </si>
  <si>
    <t>M5251PC - 072017D074</t>
  </si>
  <si>
    <t>M5251PG - 022217D876</t>
  </si>
  <si>
    <t>U5251 - 1602629</t>
  </si>
  <si>
    <t>1050PC - 177110514</t>
  </si>
  <si>
    <t>U5251 - 1602628</t>
  </si>
  <si>
    <t>1050PC - 177110502</t>
  </si>
  <si>
    <t>M5251 - 062316D070</t>
  </si>
  <si>
    <t>1050PC - 177110508</t>
  </si>
  <si>
    <t>M5251 - 062316D077</t>
  </si>
  <si>
    <t>1050PC - 177110503</t>
  </si>
  <si>
    <t>M5251 - 062316D082</t>
  </si>
  <si>
    <t>1050PC - 177110498</t>
  </si>
  <si>
    <t>M5251 - 062316D078</t>
  </si>
  <si>
    <t>50A</t>
  </si>
  <si>
    <t>100A</t>
  </si>
  <si>
    <t>Delta Electronica (SM 66-AR-110)</t>
  </si>
  <si>
    <t>M5251PC - 041119D050</t>
  </si>
  <si>
    <t>M5151 - 051815D739</t>
  </si>
  <si>
    <t>M5251PC - 041119D059</t>
  </si>
  <si>
    <t>M5151 - 011015D168</t>
  </si>
  <si>
    <t>M5251PC - 041119D055</t>
  </si>
  <si>
    <t>M5151 - 101515D506</t>
  </si>
  <si>
    <t>M5251PC - 041119D056</t>
  </si>
  <si>
    <t>M5151 - 071608D46</t>
  </si>
  <si>
    <t>M5251PC - 041119D063</t>
  </si>
  <si>
    <t>M5151 - 011015D161</t>
  </si>
  <si>
    <t>M5251PC - 041119D064</t>
  </si>
  <si>
    <t>M5151 - 051815D728</t>
  </si>
  <si>
    <t>M5251PC - 041119D065</t>
  </si>
  <si>
    <t>M5151 - 091212D232</t>
  </si>
  <si>
    <t>M5251PC - 041119D066</t>
  </si>
  <si>
    <t>M5151 - 011015D171</t>
  </si>
  <si>
    <t>42 A</t>
  </si>
  <si>
    <t>Keithley 2268-20-42</t>
  </si>
  <si>
    <t>1050PC - 187235139</t>
  </si>
  <si>
    <t>M5251 - 032417D202</t>
  </si>
  <si>
    <t>M5251 - 032417D204</t>
  </si>
  <si>
    <t>1050PC - 187236391</t>
  </si>
  <si>
    <t>M5251 - 032417D207</t>
  </si>
  <si>
    <t>1050PC - 187236392</t>
  </si>
  <si>
    <t>M5251 - 032417D209</t>
  </si>
  <si>
    <t>1050PC - 187235126</t>
  </si>
  <si>
    <t>M5251 - 011015D173</t>
  </si>
  <si>
    <t>1050PC - 187236419</t>
  </si>
  <si>
    <t>M5251 - 120312D019</t>
  </si>
  <si>
    <t>1050PC - 187235121</t>
  </si>
  <si>
    <t>M5251 - 091212D238</t>
  </si>
  <si>
    <t>1050PC - 187235119</t>
  </si>
  <si>
    <t>M5251 - 120312D062</t>
  </si>
  <si>
    <t>1050PC - 187236427</t>
  </si>
  <si>
    <t>1050PC - 177110505</t>
  </si>
  <si>
    <t>1050PC - 187236424</t>
  </si>
  <si>
    <t>1050PC - 187235081</t>
  </si>
  <si>
    <t>1050PC - 187236425</t>
  </si>
  <si>
    <t>1050PC - 187236423</t>
  </si>
  <si>
    <t>1050PC - 187236420</t>
  </si>
  <si>
    <t>1050PC - 187236422</t>
  </si>
  <si>
    <t>1050PC - 187236418</t>
  </si>
  <si>
    <t>1050PC - 187236428</t>
  </si>
  <si>
    <t>1050PC - 187236421</t>
  </si>
  <si>
    <t>1050PC - 187236426</t>
  </si>
  <si>
    <t>M5251PC - 072017D064</t>
  </si>
  <si>
    <t>M5151- 101609D192</t>
  </si>
  <si>
    <t>M5151- 040612D772</t>
  </si>
  <si>
    <t>M5251PC - 072017D065</t>
  </si>
  <si>
    <t>M5151- 091212D248</t>
  </si>
  <si>
    <t>M5251PC - 072017D063</t>
  </si>
  <si>
    <t>M5151- 120312D024</t>
  </si>
  <si>
    <t>M5251PC - 072017D069</t>
  </si>
  <si>
    <t>M5151- 120312D030</t>
  </si>
  <si>
    <t>M5251PC - 072017D066</t>
  </si>
  <si>
    <t>M5151- 120312D005</t>
  </si>
  <si>
    <t>Fixed</t>
  </si>
  <si>
    <t>15 A</t>
  </si>
  <si>
    <t>1050PC - 187236397</t>
  </si>
  <si>
    <t>U5251- 1602481</t>
  </si>
  <si>
    <t>1050PC - 187236395</t>
  </si>
  <si>
    <t>U5251- 1602482</t>
  </si>
  <si>
    <t>1050PC - 187236393</t>
  </si>
  <si>
    <t>U5251- 1602480</t>
  </si>
  <si>
    <t>1050PC - 187236394</t>
  </si>
  <si>
    <t>U5251- 1602484</t>
  </si>
  <si>
    <t>1050PC - 187236396</t>
  </si>
  <si>
    <t>U5251- 1602486</t>
  </si>
  <si>
    <t>1050PC - 187236399</t>
  </si>
  <si>
    <t>U5251- 1602479</t>
  </si>
  <si>
    <t>1050PC - 187235111</t>
  </si>
  <si>
    <t>M5151- 120312D047</t>
  </si>
  <si>
    <t>1050PC - 187235122</t>
  </si>
  <si>
    <t>U5251- 1602631</t>
  </si>
  <si>
    <t>1050PC - 187235113</t>
  </si>
  <si>
    <t>M5251- 062316D063</t>
  </si>
  <si>
    <t>1050PC - 187235127</t>
  </si>
  <si>
    <t>M5251- 062316D074</t>
  </si>
  <si>
    <t>1050PC - 187235110</t>
  </si>
  <si>
    <t>M5151- 120312D015</t>
  </si>
  <si>
    <t>1050PC - 187235117</t>
  </si>
  <si>
    <t>M5151- 051815D742</t>
  </si>
  <si>
    <t>AmeTek XG 20-42</t>
  </si>
  <si>
    <t>1050PC - 187313217</t>
  </si>
  <si>
    <t>M5151 - 120312D004</t>
  </si>
  <si>
    <t>1050PC - 187313221</t>
  </si>
  <si>
    <t>M5151 - 120312D063</t>
  </si>
  <si>
    <t>1050PC - 187313210</t>
  </si>
  <si>
    <t>M5151 - 120312D061</t>
  </si>
  <si>
    <t>1050PC - 187313216</t>
  </si>
  <si>
    <t>M5251 - 062316D063</t>
  </si>
  <si>
    <t>1050PC - 187313228</t>
  </si>
  <si>
    <t>1050PC - 187313229</t>
  </si>
  <si>
    <t>30 A</t>
  </si>
  <si>
    <t>AMP SP20VDC1000</t>
  </si>
  <si>
    <t>M5251-000005-050PC    072017D075</t>
  </si>
  <si>
    <t>M5251-000005-050PG    022217D869</t>
  </si>
  <si>
    <t>M5251-000005-050PC    072017D062</t>
  </si>
  <si>
    <t>M5251-000005-050PG    022217D874</t>
  </si>
  <si>
    <t>M5251-000005-050PC    072017D063</t>
  </si>
  <si>
    <t>M5251-000005-050PG    022217D870</t>
  </si>
  <si>
    <t>M5251-000005-050PC    072017D076</t>
  </si>
  <si>
    <t>M5251-000005-050PG    032417D205</t>
  </si>
  <si>
    <t>M5251-000005-050PC    041119D069</t>
  </si>
  <si>
    <t>M5251-000005-050PG    022217D867</t>
  </si>
  <si>
    <t>2091050PC2M1102P    187236414</t>
  </si>
  <si>
    <t>U5251-H00015-050PG    1602479</t>
  </si>
  <si>
    <t>2091050PC2M1102P    187313228</t>
  </si>
  <si>
    <t>M5151-000005-050PG    051815D749</t>
  </si>
  <si>
    <t>2091050PC2M1102P    177110503</t>
  </si>
  <si>
    <t>M5151-000005-050PG    051815D733</t>
  </si>
  <si>
    <t>2091050PC2M1102P    177110498</t>
  </si>
  <si>
    <t>M5151-000005-050PG    051815D739</t>
  </si>
  <si>
    <t>2091050PC2M1102P    187235091</t>
  </si>
  <si>
    <t>M5151-000005-050PG    011015D1568</t>
  </si>
  <si>
    <t>2091050PC2M1102P    187236428</t>
  </si>
  <si>
    <t>M5151-000005-050PG    101515D506</t>
  </si>
  <si>
    <t>2091050PC2M1102P    187235098</t>
  </si>
  <si>
    <t>M5151-000005-050PG    071608D46</t>
  </si>
  <si>
    <t>2091050PC2M1102P    187235096</t>
  </si>
  <si>
    <t>M5151-000005-050PG    040612D766</t>
  </si>
  <si>
    <t>2091050PC2M1102P    177110505</t>
  </si>
  <si>
    <t>M5151-000005-050PG    041715D034</t>
  </si>
  <si>
    <t>2091050PC2M1102P    187313209</t>
  </si>
  <si>
    <t>M5151-000005-050PG    011015D169</t>
  </si>
  <si>
    <t>2091050PC2M1102P    187235102</t>
  </si>
  <si>
    <t>M5151-000005-050PG    120312D037</t>
  </si>
  <si>
    <t>20 A</t>
  </si>
  <si>
    <t>Xantrex XFR 20-60</t>
  </si>
  <si>
    <t>76A</t>
  </si>
  <si>
    <t>Unknown</t>
  </si>
  <si>
    <t>76 A</t>
  </si>
  <si>
    <t>Agilent Technologiest
N5764A 20-76 LXI</t>
  </si>
  <si>
    <t>Kulite: 8252-8-346</t>
  </si>
  <si>
    <t>12 A</t>
  </si>
  <si>
    <t>TDK-Lambda GEN 20-76</t>
  </si>
  <si>
    <t>Kulite: 7971-6A-286</t>
  </si>
  <si>
    <t>AmeTek XG 20-76</t>
  </si>
  <si>
    <t>Kulite: 8379-4-281</t>
  </si>
  <si>
    <t>Kulite: 8037-9-124</t>
  </si>
  <si>
    <t>Kulite: 8037-9-127</t>
  </si>
  <si>
    <t>Kulite: 8037-9-130</t>
  </si>
  <si>
    <t>Kulite: 8037-9-131</t>
  </si>
  <si>
    <t>Kulite: 8037-9-133</t>
  </si>
  <si>
    <t>Kulite: 8037-11-166</t>
  </si>
  <si>
    <t>Kulite: 7971-6A-285</t>
  </si>
  <si>
    <t>Kulite: 8037-9-132</t>
  </si>
  <si>
    <t>Kulite: 8103-4-434</t>
  </si>
  <si>
    <t>Kulite: 8252-8-527</t>
  </si>
  <si>
    <t>Kulite: 8252-8-528</t>
  </si>
  <si>
    <t>Kulite: 8345-2-237</t>
  </si>
  <si>
    <t>Kulite: 8037-9-123</t>
  </si>
  <si>
    <t>Kulite: 8037-9-128</t>
  </si>
  <si>
    <t>Kulite: 8037-9-129</t>
  </si>
  <si>
    <t>Kulite: 8037-9-137</t>
  </si>
  <si>
    <t>Kulite: 8037-11-165</t>
  </si>
  <si>
    <t>Kulite: 8037-11-167</t>
  </si>
  <si>
    <t xml:space="preserve">
N5764A 20-76 LXI 20-76</t>
  </si>
  <si>
    <t>Ameteck XG20-76</t>
  </si>
  <si>
    <t>Kulite: 8252-8-344/8252-8-526</t>
  </si>
  <si>
    <t>Kulite: 8103-4-430</t>
  </si>
  <si>
    <t>Kulite: 8252-8-347</t>
  </si>
  <si>
    <t xml:space="preserve"> Kulite: 8345-2-232</t>
  </si>
  <si>
    <t xml:space="preserve"> Kulite: 8345-2-246</t>
  </si>
  <si>
    <t xml:space="preserve"> Kulite: 8345-2-249</t>
  </si>
  <si>
    <t xml:space="preserve"> Kulite: 8345-2-250</t>
  </si>
  <si>
    <t>Kulite: 8345-1B-148</t>
  </si>
  <si>
    <t>Kulite: 8345-2-484</t>
  </si>
  <si>
    <t>Kulite: 8379-4-275</t>
  </si>
  <si>
    <t>Kulite: 8379-4-280</t>
  </si>
  <si>
    <t>Kulite: 8379-4-282</t>
  </si>
  <si>
    <t>Kulite: 8037-9-139</t>
  </si>
  <si>
    <t>55 A</t>
  </si>
  <si>
    <t>110 A</t>
  </si>
  <si>
    <t>125 A</t>
  </si>
  <si>
    <t>RSP 1500-12</t>
  </si>
  <si>
    <t>RSP 1500-48</t>
  </si>
  <si>
    <t>APM SP75VDC1500W</t>
  </si>
  <si>
    <t>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</si>
</sst>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9CDCFE"/>
      <name val="Consolas"/>
      <family val="3"/>
    </font>
    <font>
      <sz val="11"/>
      <color rgb="FF0070C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8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theme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0" fillId="2" borderId="1" xfId="0" applyFill="1" applyBorder="1" applyProtection="1">
      <protection locked="0"/>
    </xf>
    <xf numFmtId="49" fontId="0" fillId="2" borderId="2" xfId="0" applyNumberFormat="1" applyFill="1" applyBorder="1" applyAlignment="1" applyProtection="1">
      <alignment horizontal="center" vertical="center"/>
      <protection locked="0"/>
    </xf>
    <xf numFmtId="49" fontId="0" fillId="2" borderId="2" xfId="0" applyNumberFormat="1" applyFill="1" applyBorder="1" applyProtection="1">
      <protection locked="0"/>
    </xf>
    <xf numFmtId="0" fontId="2" fillId="0" borderId="0" xfId="0" applyFont="1" applyAlignment="1">
      <alignment vertical="center"/>
    </xf>
    <xf numFmtId="0" fontId="0" fillId="2" borderId="2" xfId="0" applyFill="1" applyBorder="1" applyProtection="1">
      <protection locked="0"/>
    </xf>
    <xf numFmtId="0" fontId="0" fillId="3" borderId="1" xfId="0" applyFill="1" applyBorder="1"/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3" borderId="3" xfId="0" applyFill="1" applyBorder="1" applyAlignment="1">
      <alignment horizontal="center"/>
    </xf>
    <xf numFmtId="0" fontId="0" fillId="0" borderId="5" xfId="0" applyBorder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49" fontId="0" fillId="0" borderId="5" xfId="0" applyNumberForma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4" borderId="5" xfId="0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3" borderId="5" xfId="0" applyFill="1" applyBorder="1" applyAlignment="1">
      <alignment horizontal="center"/>
    </xf>
    <xf numFmtId="49" fontId="0" fillId="0" borderId="7" xfId="0" applyNumberFormat="1" applyBorder="1" applyAlignment="1" applyProtection="1">
      <alignment horizontal="center" vertical="center" wrapText="1"/>
      <protection locked="0"/>
    </xf>
    <xf numFmtId="49" fontId="0" fillId="0" borderId="7" xfId="0" applyNumberForma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8" xfId="0" applyBorder="1" applyProtection="1"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49" fontId="0" fillId="0" borderId="8" xfId="0" applyNumberFormat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4" borderId="8" xfId="0" applyFill="1" applyBorder="1" applyAlignment="1" applyProtection="1">
      <alignment horizontal="center"/>
      <protection locked="0"/>
    </xf>
    <xf numFmtId="0" fontId="0" fillId="5" borderId="8" xfId="0" applyFill="1" applyBorder="1" applyAlignment="1" applyProtection="1">
      <alignment horizontal="center"/>
      <protection locked="0"/>
    </xf>
    <xf numFmtId="0" fontId="0" fillId="3" borderId="8" xfId="0" applyFill="1" applyBorder="1" applyAlignment="1">
      <alignment horizontal="center"/>
    </xf>
    <xf numFmtId="0" fontId="3" fillId="0" borderId="8" xfId="0" applyFont="1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6" borderId="3" xfId="0" applyFill="1" applyBorder="1" applyProtection="1">
      <protection locked="0"/>
    </xf>
    <xf numFmtId="0" fontId="0" fillId="6" borderId="3" xfId="0" applyFill="1" applyBorder="1" applyAlignment="1" applyProtection="1">
      <alignment horizontal="center"/>
      <protection locked="0"/>
    </xf>
    <xf numFmtId="49" fontId="0" fillId="6" borderId="7" xfId="0" applyNumberFormat="1" applyFill="1" applyBorder="1" applyAlignment="1" applyProtection="1">
      <alignment horizontal="center" vertical="center" wrapText="1"/>
      <protection locked="0"/>
    </xf>
    <xf numFmtId="49" fontId="0" fillId="6" borderId="7" xfId="0" applyNumberFormat="1" applyFill="1" applyBorder="1" applyAlignment="1" applyProtection="1">
      <alignment horizontal="center" vertical="center"/>
      <protection locked="0"/>
    </xf>
    <xf numFmtId="49" fontId="0" fillId="6" borderId="3" xfId="0" applyNumberFormat="1" applyFill="1" applyBorder="1" applyAlignment="1" applyProtection="1">
      <alignment horizontal="center"/>
      <protection locked="0"/>
    </xf>
    <xf numFmtId="0" fontId="0" fillId="6" borderId="3" xfId="0" applyFill="1" applyBorder="1" applyAlignment="1">
      <alignment horizontal="center"/>
    </xf>
    <xf numFmtId="0" fontId="0" fillId="6" borderId="11" xfId="0" applyFill="1" applyBorder="1" applyAlignment="1" applyProtection="1">
      <alignment horizontal="center"/>
      <protection locked="0"/>
    </xf>
    <xf numFmtId="0" fontId="3" fillId="6" borderId="8" xfId="0" applyFont="1" applyFill="1" applyBorder="1" applyAlignment="1">
      <alignment horizontal="left"/>
    </xf>
    <xf numFmtId="0" fontId="0" fillId="6" borderId="8" xfId="0" applyFill="1" applyBorder="1" applyAlignment="1">
      <alignment horizontal="left"/>
    </xf>
    <xf numFmtId="0" fontId="0" fillId="6" borderId="8" xfId="0" applyFill="1" applyBorder="1" applyProtection="1">
      <protection locked="0"/>
    </xf>
    <xf numFmtId="0" fontId="0" fillId="6" borderId="8" xfId="0" applyFill="1" applyBorder="1" applyAlignment="1" applyProtection="1">
      <alignment horizontal="center"/>
      <protection locked="0"/>
    </xf>
    <xf numFmtId="0" fontId="0" fillId="6" borderId="9" xfId="0" applyFill="1" applyBorder="1" applyAlignment="1" applyProtection="1">
      <alignment horizontal="center" vertical="center" wrapText="1"/>
      <protection locked="0"/>
    </xf>
    <xf numFmtId="0" fontId="0" fillId="6" borderId="9" xfId="0" applyFill="1" applyBorder="1" applyAlignment="1" applyProtection="1">
      <alignment horizontal="center" vertical="center"/>
      <protection locked="0"/>
    </xf>
    <xf numFmtId="49" fontId="0" fillId="6" borderId="8" xfId="0" applyNumberFormat="1" applyFill="1" applyBorder="1" applyAlignment="1" applyProtection="1">
      <alignment horizontal="center"/>
      <protection locked="0"/>
    </xf>
    <xf numFmtId="0" fontId="0" fillId="6" borderId="8" xfId="0" applyFill="1" applyBorder="1" applyAlignment="1">
      <alignment horizontal="center"/>
    </xf>
    <xf numFmtId="0" fontId="0" fillId="6" borderId="8" xfId="0" applyFill="1" applyBorder="1"/>
    <xf numFmtId="0" fontId="3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49" fontId="0" fillId="0" borderId="9" xfId="0" applyNumberFormat="1" applyBorder="1" applyAlignment="1" applyProtection="1">
      <alignment horizontal="center" vertical="center"/>
      <protection locked="0"/>
    </xf>
    <xf numFmtId="49" fontId="0" fillId="0" borderId="10" xfId="0" applyNumberForma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5" fillId="0" borderId="3" xfId="0" applyFont="1" applyBorder="1" applyAlignment="1" applyProtection="1">
      <alignment horizontal="left"/>
      <protection locked="0"/>
    </xf>
    <xf numFmtId="0" fontId="4" fillId="0" borderId="8" xfId="0" applyFont="1" applyBorder="1" applyAlignment="1" applyProtection="1">
      <alignment horizontal="left"/>
      <protection locked="0"/>
    </xf>
    <xf numFmtId="0" fontId="5" fillId="0" borderId="8" xfId="0" applyFont="1" applyBorder="1" applyAlignment="1" applyProtection="1">
      <alignment horizontal="left"/>
      <protection locked="0"/>
    </xf>
    <xf numFmtId="0" fontId="3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0" fillId="0" borderId="3" xfId="0" applyFont="1" applyBorder="1" applyAlignment="1" applyProtection="1">
      <alignment horizontal="left"/>
      <protection locked="0"/>
    </xf>
    <xf numFmtId="0" fontId="0" fillId="0" borderId="8" xfId="0" applyFont="1" applyBorder="1" applyAlignment="1" applyProtection="1">
      <alignment horizontal="left"/>
      <protection locked="0"/>
    </xf>
    <xf numFmtId="0" fontId="0" fillId="0" borderId="5" xfId="0" applyFont="1" applyBorder="1" applyAlignment="1" applyProtection="1">
      <alignment horizontal="left"/>
      <protection locked="0"/>
    </xf>
    <xf numFmtId="0" fontId="0" fillId="0" borderId="11" xfId="0" applyBorder="1" applyProtection="1">
      <protection locked="0"/>
    </xf>
    <xf numFmtId="0" fontId="0" fillId="0" borderId="11" xfId="0" applyBorder="1" applyAlignment="1" applyProtection="1">
      <alignment horizontal="center"/>
      <protection locked="0"/>
    </xf>
    <xf numFmtId="49" fontId="0" fillId="0" borderId="11" xfId="0" applyNumberFormat="1" applyBorder="1" applyAlignment="1" applyProtection="1">
      <alignment horizontal="center"/>
      <protection locked="0"/>
    </xf>
    <xf numFmtId="0" fontId="0" fillId="3" borderId="11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5" borderId="11" xfId="0" applyFill="1" applyBorder="1" applyAlignment="1" applyProtection="1">
      <alignment horizontal="center"/>
      <protection locked="0"/>
    </xf>
    <xf numFmtId="0" fontId="0" fillId="3" borderId="11" xfId="0" applyFill="1" applyBorder="1" applyAlignment="1">
      <alignment horizontal="center"/>
    </xf>
    <xf numFmtId="0" fontId="3" fillId="0" borderId="11" xfId="0" applyFont="1" applyBorder="1" applyAlignment="1" applyProtection="1">
      <alignment horizontal="left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left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0" fontId="0" fillId="0" borderId="0" xfId="0" applyFill="1" applyBorder="1"/>
    <xf numFmtId="49" fontId="0" fillId="0" borderId="8" xfId="0" applyNumberFormat="1" applyBorder="1" applyAlignment="1" applyProtection="1">
      <alignment horizontal="center" vertic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left"/>
      <protection locked="0"/>
    </xf>
    <xf numFmtId="0" fontId="0" fillId="0" borderId="12" xfId="0" applyFont="1" applyBorder="1" applyAlignment="1" applyProtection="1">
      <alignment horizontal="left"/>
      <protection locked="0"/>
    </xf>
    <xf numFmtId="0" fontId="4" fillId="0" borderId="13" xfId="0" applyFont="1" applyBorder="1" applyProtection="1">
      <protection locked="0"/>
    </xf>
    <xf numFmtId="0" fontId="5" fillId="0" borderId="13" xfId="0" applyFont="1" applyBorder="1" applyProtection="1">
      <protection locked="0"/>
    </xf>
    <xf numFmtId="0" fontId="4" fillId="0" borderId="8" xfId="0" applyFont="1" applyBorder="1" applyProtection="1">
      <protection locked="0"/>
    </xf>
    <xf numFmtId="0" fontId="5" fillId="0" borderId="8" xfId="0" applyFont="1" applyBorder="1" applyProtection="1">
      <protection locked="0"/>
    </xf>
    <xf numFmtId="0" fontId="4" fillId="0" borderId="12" xfId="0" applyFont="1" applyBorder="1" applyProtection="1">
      <protection locked="0"/>
    </xf>
    <xf numFmtId="0" fontId="5" fillId="0" borderId="12" xfId="0" applyFont="1" applyBorder="1" applyProtection="1">
      <protection locked="0"/>
    </xf>
    <xf numFmtId="0" fontId="6" fillId="0" borderId="8" xfId="0" applyFont="1" applyBorder="1" applyAlignment="1" applyProtection="1">
      <alignment horizontal="left"/>
      <protection locked="0"/>
    </xf>
    <xf numFmtId="0" fontId="0" fillId="0" borderId="12" xfId="0" applyBorder="1" applyProtection="1">
      <protection locked="0"/>
    </xf>
    <xf numFmtId="49" fontId="0" fillId="0" borderId="12" xfId="0" applyNumberFormat="1" applyBorder="1" applyAlignment="1" applyProtection="1">
      <alignment horizontal="center"/>
      <protection locked="0"/>
    </xf>
    <xf numFmtId="0" fontId="0" fillId="5" borderId="12" xfId="0" applyFill="1" applyBorder="1" applyAlignment="1" applyProtection="1">
      <alignment horizontal="center"/>
      <protection locked="0"/>
    </xf>
    <xf numFmtId="0" fontId="0" fillId="3" borderId="12" xfId="0" applyFill="1" applyBorder="1" applyAlignment="1">
      <alignment horizontal="center"/>
    </xf>
    <xf numFmtId="0" fontId="0" fillId="0" borderId="14" xfId="0" applyBorder="1" applyProtection="1"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3" borderId="15" xfId="0" applyFill="1" applyBorder="1" applyAlignment="1" applyProtection="1">
      <alignment horizontal="center"/>
      <protection locked="0"/>
    </xf>
    <xf numFmtId="0" fontId="0" fillId="3" borderId="16" xfId="0" applyFill="1" applyBorder="1" applyAlignment="1" applyProtection="1">
      <alignment horizontal="center"/>
      <protection locked="0"/>
    </xf>
    <xf numFmtId="0" fontId="0" fillId="4" borderId="15" xfId="0" applyFill="1" applyBorder="1" applyAlignment="1" applyProtection="1">
      <alignment horizontal="center"/>
      <protection locked="0"/>
    </xf>
    <xf numFmtId="0" fontId="0" fillId="4" borderId="16" xfId="0" applyFill="1" applyBorder="1" applyAlignment="1" applyProtection="1">
      <alignment horizontal="center"/>
      <protection locked="0"/>
    </xf>
    <xf numFmtId="0" fontId="0" fillId="5" borderId="15" xfId="0" applyFill="1" applyBorder="1" applyAlignment="1" applyProtection="1">
      <alignment horizontal="center"/>
      <protection locked="0"/>
    </xf>
    <xf numFmtId="0" fontId="0" fillId="5" borderId="4" xfId="0" applyFill="1" applyBorder="1" applyAlignment="1" applyProtection="1">
      <alignment horizontal="center"/>
      <protection locked="0"/>
    </xf>
    <xf numFmtId="0" fontId="0" fillId="3" borderId="16" xfId="0" applyFill="1" applyBorder="1" applyAlignment="1">
      <alignment horizontal="center"/>
    </xf>
    <xf numFmtId="0" fontId="0" fillId="0" borderId="17" xfId="0" applyBorder="1" applyProtection="1">
      <protection locked="0"/>
    </xf>
    <xf numFmtId="49" fontId="0" fillId="0" borderId="18" xfId="0" applyNumberFormat="1" applyBorder="1" applyAlignment="1" applyProtection="1">
      <alignment horizontal="center"/>
      <protection locked="0"/>
    </xf>
    <xf numFmtId="0" fontId="0" fillId="3" borderId="19" xfId="0" applyFill="1" applyBorder="1" applyAlignment="1" applyProtection="1">
      <alignment horizontal="center"/>
      <protection locked="0"/>
    </xf>
    <xf numFmtId="0" fontId="0" fillId="3" borderId="20" xfId="0" applyFill="1" applyBorder="1" applyAlignment="1" applyProtection="1">
      <alignment horizontal="center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20" xfId="0" applyFill="1" applyBorder="1" applyAlignment="1" applyProtection="1">
      <alignment horizontal="center"/>
      <protection locked="0"/>
    </xf>
    <xf numFmtId="0" fontId="0" fillId="5" borderId="19" xfId="0" applyFill="1" applyBorder="1" applyAlignment="1" applyProtection="1">
      <alignment horizontal="center"/>
      <protection locked="0"/>
    </xf>
    <xf numFmtId="0" fontId="0" fillId="5" borderId="18" xfId="0" applyFill="1" applyBorder="1" applyAlignment="1" applyProtection="1">
      <alignment horizontal="center"/>
      <protection locked="0"/>
    </xf>
    <xf numFmtId="0" fontId="0" fillId="3" borderId="20" xfId="0" applyFill="1" applyBorder="1" applyAlignment="1">
      <alignment horizontal="center"/>
    </xf>
    <xf numFmtId="0" fontId="0" fillId="0" borderId="21" xfId="0" applyBorder="1" applyProtection="1">
      <protection locked="0"/>
    </xf>
    <xf numFmtId="49" fontId="0" fillId="0" borderId="6" xfId="0" applyNumberFormat="1" applyBorder="1" applyAlignment="1" applyProtection="1">
      <alignment horizontal="center"/>
      <protection locked="0"/>
    </xf>
    <xf numFmtId="0" fontId="0" fillId="3" borderId="22" xfId="0" applyFill="1" applyBorder="1" applyAlignment="1" applyProtection="1">
      <alignment horizontal="center"/>
      <protection locked="0"/>
    </xf>
    <xf numFmtId="0" fontId="0" fillId="3" borderId="23" xfId="0" applyFill="1" applyBorder="1" applyAlignment="1" applyProtection="1">
      <alignment horizontal="center"/>
      <protection locked="0"/>
    </xf>
    <xf numFmtId="0" fontId="0" fillId="4" borderId="22" xfId="0" applyFill="1" applyBorder="1" applyAlignment="1" applyProtection="1">
      <alignment horizontal="center"/>
      <protection locked="0"/>
    </xf>
    <xf numFmtId="0" fontId="0" fillId="4" borderId="23" xfId="0" applyFill="1" applyBorder="1" applyAlignment="1" applyProtection="1">
      <alignment horizontal="center"/>
      <protection locked="0"/>
    </xf>
    <xf numFmtId="0" fontId="0" fillId="5" borderId="22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0" fillId="3" borderId="23" xfId="0" applyFill="1" applyBorder="1" applyAlignment="1">
      <alignment horizontal="center"/>
    </xf>
    <xf numFmtId="0" fontId="0" fillId="3" borderId="17" xfId="0" applyFill="1" applyBorder="1" applyAlignment="1" applyProtection="1">
      <alignment horizontal="center"/>
      <protection locked="0"/>
    </xf>
    <xf numFmtId="0" fontId="5" fillId="0" borderId="24" xfId="0" applyFont="1" applyBorder="1" applyAlignment="1">
      <alignment horizontal="left"/>
    </xf>
    <xf numFmtId="49" fontId="0" fillId="0" borderId="4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vertical="top"/>
      <protection locked="0"/>
    </xf>
    <xf numFmtId="0" fontId="0" fillId="0" borderId="3" xfId="0" applyBorder="1" applyAlignment="1" applyProtection="1">
      <alignment horizontal="center" vertical="top"/>
      <protection locked="0"/>
    </xf>
    <xf numFmtId="49" fontId="0" fillId="0" borderId="4" xfId="0" applyNumberFormat="1" applyBorder="1" applyAlignment="1" applyProtection="1">
      <alignment horizontal="center" vertical="top"/>
      <protection locked="0"/>
    </xf>
    <xf numFmtId="49" fontId="0" fillId="0" borderId="4" xfId="0" applyNumberFormat="1" applyBorder="1" applyAlignment="1" applyProtection="1">
      <alignment horizontal="center" vertical="top" wrapText="1"/>
      <protection locked="0"/>
    </xf>
    <xf numFmtId="0" fontId="0" fillId="3" borderId="15" xfId="0" applyFill="1" applyBorder="1" applyAlignment="1" applyProtection="1">
      <alignment horizontal="center" vertical="top"/>
      <protection locked="0"/>
    </xf>
    <xf numFmtId="0" fontId="0" fillId="3" borderId="16" xfId="0" applyFill="1" applyBorder="1" applyAlignment="1" applyProtection="1">
      <alignment horizontal="center" vertical="top"/>
      <protection locked="0"/>
    </xf>
    <xf numFmtId="0" fontId="0" fillId="4" borderId="15" xfId="0" applyFill="1" applyBorder="1" applyAlignment="1" applyProtection="1">
      <alignment horizontal="center" vertical="top"/>
      <protection locked="0"/>
    </xf>
    <xf numFmtId="0" fontId="0" fillId="4" borderId="16" xfId="0" applyFill="1" applyBorder="1" applyAlignment="1" applyProtection="1">
      <alignment horizontal="center" vertical="top"/>
      <protection locked="0"/>
    </xf>
    <xf numFmtId="0" fontId="0" fillId="5" borderId="15" xfId="0" applyFill="1" applyBorder="1" applyAlignment="1" applyProtection="1">
      <alignment horizontal="center" vertical="top"/>
      <protection locked="0"/>
    </xf>
    <xf numFmtId="0" fontId="0" fillId="5" borderId="4" xfId="0" applyFill="1" applyBorder="1" applyAlignment="1" applyProtection="1">
      <alignment horizontal="center" vertical="top"/>
      <protection locked="0"/>
    </xf>
    <xf numFmtId="0" fontId="0" fillId="3" borderId="16" xfId="0" applyFill="1" applyBorder="1" applyAlignment="1">
      <alignment horizontal="center" vertical="top"/>
    </xf>
    <xf numFmtId="49" fontId="0" fillId="0" borderId="16" xfId="0" applyNumberFormat="1" applyBorder="1" applyAlignment="1" applyProtection="1">
      <alignment horizontal="center"/>
      <protection locked="0"/>
    </xf>
    <xf numFmtId="49" fontId="0" fillId="0" borderId="25" xfId="0" applyNumberForma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vertical="top"/>
      <protection locked="0"/>
    </xf>
    <xf numFmtId="0" fontId="0" fillId="0" borderId="5" xfId="0" applyBorder="1" applyAlignment="1" applyProtection="1">
      <alignment horizontal="center" vertical="top"/>
      <protection locked="0"/>
    </xf>
    <xf numFmtId="49" fontId="0" fillId="0" borderId="6" xfId="0" applyNumberFormat="1" applyBorder="1" applyAlignment="1" applyProtection="1">
      <alignment horizontal="center" vertical="top"/>
      <protection locked="0"/>
    </xf>
    <xf numFmtId="0" fontId="0" fillId="3" borderId="22" xfId="0" applyFill="1" applyBorder="1" applyAlignment="1" applyProtection="1">
      <alignment horizontal="center" vertical="top"/>
      <protection locked="0"/>
    </xf>
    <xf numFmtId="0" fontId="0" fillId="3" borderId="23" xfId="0" applyFill="1" applyBorder="1" applyAlignment="1" applyProtection="1">
      <alignment horizontal="center" vertical="top"/>
      <protection locked="0"/>
    </xf>
    <xf numFmtId="0" fontId="0" fillId="4" borderId="22" xfId="0" applyFill="1" applyBorder="1" applyAlignment="1" applyProtection="1">
      <alignment horizontal="center" vertical="top"/>
      <protection locked="0"/>
    </xf>
    <xf numFmtId="0" fontId="0" fillId="4" borderId="23" xfId="0" applyFill="1" applyBorder="1" applyAlignment="1" applyProtection="1">
      <alignment horizontal="center" vertical="top"/>
      <protection locked="0"/>
    </xf>
    <xf numFmtId="0" fontId="0" fillId="5" borderId="22" xfId="0" applyFill="1" applyBorder="1" applyAlignment="1" applyProtection="1">
      <alignment horizontal="center" vertical="top"/>
      <protection locked="0"/>
    </xf>
    <xf numFmtId="0" fontId="0" fillId="5" borderId="6" xfId="0" applyFill="1" applyBorder="1" applyAlignment="1" applyProtection="1">
      <alignment horizontal="center" vertical="top"/>
      <protection locked="0"/>
    </xf>
    <xf numFmtId="0" fontId="0" fillId="3" borderId="23" xfId="0" applyFill="1" applyBorder="1" applyAlignment="1">
      <alignment horizontal="center" vertical="top"/>
    </xf>
    <xf numFmtId="0" fontId="0" fillId="0" borderId="9" xfId="0" applyBorder="1" applyAlignment="1" applyProtection="1">
      <alignment horizontal="center"/>
      <protection locked="0"/>
    </xf>
    <xf numFmtId="49" fontId="0" fillId="0" borderId="8" xfId="0" applyNumberFormat="1" applyFont="1" applyBorder="1" applyAlignment="1" applyProtection="1">
      <alignment horizontal="center" vertical="top"/>
      <protection locked="0"/>
    </xf>
    <xf numFmtId="49" fontId="0" fillId="0" borderId="26" xfId="0" applyNumberFormat="1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49" fontId="0" fillId="0" borderId="7" xfId="0" applyNumberFormat="1" applyBorder="1" applyAlignment="1" applyProtection="1">
      <alignment vertical="center"/>
      <protection locked="0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</cellXfs>
  <cellStyles count="1">
    <cellStyle name="Normal" xfId="0" builtinId="0"/>
  </cellStyles>
  <dxfs count="4">
    <dxf>
      <font>
        <b/>
        <i val="0"/>
        <strike val="0"/>
        <color rgb="FFC00000"/>
      </font>
    </dxf>
    <dxf>
      <font>
        <b/>
        <i val="0"/>
        <strike val="0"/>
        <color rgb="FFC00000"/>
      </font>
    </dxf>
    <dxf>
      <font>
        <b/>
        <i val="0"/>
        <strike val="0"/>
        <color rgb="FFC00000"/>
      </font>
    </dxf>
    <dxf>
      <font>
        <b/>
        <i val="0"/>
        <strike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7"/>
  <sheetViews>
    <sheetView tabSelected="1" topLeftCell="C1" workbookViewId="0">
      <selection activeCell="X13" sqref="X13"/>
    </sheetView>
  </sheetViews>
  <sheetFormatPr defaultRowHeight="14.4" x14ac:dyDescent="0.3"/>
  <sheetData>
    <row r="1" spans="1:22" ht="15.6" thickTop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6" t="s">
        <v>14</v>
      </c>
      <c r="P1" s="5" t="s">
        <v>15</v>
      </c>
      <c r="Q1" s="7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5.6" thickTop="1" thickBot="1" x14ac:dyDescent="0.35">
      <c r="A2">
        <v>42</v>
      </c>
      <c r="B2" s="8">
        <v>1</v>
      </c>
      <c r="C2" s="9">
        <v>1</v>
      </c>
      <c r="D2" s="9" t="s">
        <v>22</v>
      </c>
      <c r="E2" s="9">
        <v>1</v>
      </c>
      <c r="F2" s="10">
        <v>1</v>
      </c>
      <c r="G2" s="11" t="s">
        <v>23</v>
      </c>
      <c r="H2" s="12" t="s">
        <v>24</v>
      </c>
      <c r="I2" s="13" t="str">
        <f t="shared" ref="I2" si="0">IF(G2&gt;=40,"TDK-Lambda GEN 60-40",IF(G2=0,"AmeTek XG 20-84","AmeTek XG 60-40"))</f>
        <v>TDK-Lambda GEN 60-40</v>
      </c>
      <c r="J2" s="14">
        <v>1</v>
      </c>
      <c r="K2" s="14" t="str">
        <f>IF(J2&gt;=1,"Yes","No")</f>
        <v>Yes</v>
      </c>
      <c r="L2" s="15">
        <v>0</v>
      </c>
      <c r="M2" s="15" t="str">
        <f>IF(L2&gt;=1,"Yes","No")</f>
        <v>No</v>
      </c>
      <c r="N2" s="16">
        <v>0</v>
      </c>
      <c r="O2" s="16" t="str">
        <f>IF(N2&gt;=1,"Yes","No")</f>
        <v>No</v>
      </c>
      <c r="P2" s="14">
        <v>0</v>
      </c>
      <c r="Q2" s="17" t="str">
        <f>IF(P2&gt;=1,"Yes","No")</f>
        <v>No</v>
      </c>
      <c r="R2" s="9">
        <v>1</v>
      </c>
      <c r="S2" s="9">
        <v>0</v>
      </c>
      <c r="T2" s="9">
        <v>0</v>
      </c>
      <c r="U2" s="9"/>
      <c r="V2" s="9"/>
    </row>
    <row r="3" spans="1:22" ht="15.6" thickTop="1" thickBot="1" x14ac:dyDescent="0.35">
      <c r="A3">
        <v>42</v>
      </c>
      <c r="B3" s="18">
        <v>2</v>
      </c>
      <c r="C3" s="19">
        <v>0</v>
      </c>
      <c r="D3" s="19" t="s">
        <v>22</v>
      </c>
      <c r="E3" s="19">
        <v>0</v>
      </c>
      <c r="F3" s="20">
        <v>0</v>
      </c>
      <c r="G3" s="21" t="s">
        <v>25</v>
      </c>
      <c r="H3" s="22">
        <v>0</v>
      </c>
      <c r="I3" s="13" t="s">
        <v>26</v>
      </c>
      <c r="J3" s="23">
        <v>0</v>
      </c>
      <c r="K3" s="23" t="str">
        <f>IF(J3&gt;=1,"Yes","No")</f>
        <v>No</v>
      </c>
      <c r="L3" s="24">
        <v>0</v>
      </c>
      <c r="M3" s="24" t="str">
        <f>IF(L3&gt;=1,"Yes","No")</f>
        <v>No</v>
      </c>
      <c r="N3" s="25">
        <v>0</v>
      </c>
      <c r="O3" s="25" t="str">
        <f>IF(N3&gt;=1,"Yes","No")</f>
        <v>No</v>
      </c>
      <c r="P3" s="23">
        <v>0</v>
      </c>
      <c r="Q3" s="26" t="str">
        <f>IF(P3&gt;=1,"Yes","No")</f>
        <v>No</v>
      </c>
      <c r="R3" s="19">
        <v>0</v>
      </c>
      <c r="S3" s="19">
        <v>0</v>
      </c>
      <c r="T3" s="19">
        <v>0</v>
      </c>
      <c r="U3" s="19"/>
      <c r="V3" s="19"/>
    </row>
    <row r="4" spans="1:22" ht="15" thickTop="1" x14ac:dyDescent="0.3">
      <c r="A4">
        <v>43</v>
      </c>
      <c r="B4" s="8">
        <v>1</v>
      </c>
      <c r="C4" s="9">
        <v>1</v>
      </c>
      <c r="D4" s="9" t="s">
        <v>22</v>
      </c>
      <c r="E4" s="9">
        <v>1</v>
      </c>
      <c r="F4" s="9">
        <v>0</v>
      </c>
      <c r="G4" s="27" t="s">
        <v>27</v>
      </c>
      <c r="H4" s="28" t="s">
        <v>24</v>
      </c>
      <c r="I4" s="13" t="str">
        <f>IF(G4&gt;=40,"TDK-Lambda GEN 60-40",IF(G4=0,"AmeTek XG 20-84","AmeTek XG 60-40"))</f>
        <v>TDK-Lambda GEN 60-40</v>
      </c>
      <c r="J4" s="14">
        <v>1</v>
      </c>
      <c r="K4" s="14" t="str">
        <f>IF(J4&gt;=1,"Yes","No")</f>
        <v>Yes</v>
      </c>
      <c r="L4" s="15">
        <v>1</v>
      </c>
      <c r="M4" s="15" t="str">
        <f>IF(L4&gt;=1,"Yes","No")</f>
        <v>Yes</v>
      </c>
      <c r="N4" s="16">
        <v>0</v>
      </c>
      <c r="O4" s="16" t="str">
        <f>IF(N4&gt;=1,"Yes","No")</f>
        <v>No</v>
      </c>
      <c r="P4" s="14">
        <v>0</v>
      </c>
      <c r="Q4" s="17" t="str">
        <f>IF(P4&gt;=1,"Yes","No")</f>
        <v>No</v>
      </c>
      <c r="R4" s="9">
        <v>1</v>
      </c>
      <c r="S4" s="9">
        <v>0</v>
      </c>
      <c r="T4" s="9">
        <v>0</v>
      </c>
      <c r="U4" s="29" t="s">
        <v>28</v>
      </c>
      <c r="V4" s="30" t="s">
        <v>29</v>
      </c>
    </row>
    <row r="5" spans="1:22" x14ac:dyDescent="0.3">
      <c r="A5">
        <v>43</v>
      </c>
      <c r="B5" s="31">
        <v>1</v>
      </c>
      <c r="C5" s="32">
        <v>0</v>
      </c>
      <c r="D5" s="32" t="s">
        <v>22</v>
      </c>
      <c r="E5" s="32">
        <v>0</v>
      </c>
      <c r="F5" s="32">
        <v>1</v>
      </c>
      <c r="G5" s="33" t="s">
        <v>27</v>
      </c>
      <c r="H5" s="34" t="s">
        <v>24</v>
      </c>
      <c r="I5" s="35" t="str">
        <f t="shared" ref="I5:I70" si="1">IF(G5&gt;=40,"TDK-Lambda GEN 60-40",IF(G5=0,"AmeTek XG 20-84","AmeTek XG 60-40"))</f>
        <v>TDK-Lambda GEN 60-40</v>
      </c>
      <c r="J5" s="36">
        <v>0</v>
      </c>
      <c r="K5" s="36" t="str">
        <f>IF(J5&gt;=1,"Yes","No")</f>
        <v>No</v>
      </c>
      <c r="L5" s="37">
        <v>1</v>
      </c>
      <c r="M5" s="37" t="str">
        <f>IF(L5&gt;=1,"Yes","No")</f>
        <v>Yes</v>
      </c>
      <c r="N5" s="38">
        <v>0</v>
      </c>
      <c r="O5" s="38" t="str">
        <f>IF(N5&gt;=1,"Yes","No")</f>
        <v>No</v>
      </c>
      <c r="P5" s="36">
        <v>0</v>
      </c>
      <c r="Q5" s="39" t="str">
        <f>IF(P5&gt;=1,"Yes","No")</f>
        <v>No</v>
      </c>
      <c r="R5" s="32">
        <v>1</v>
      </c>
      <c r="S5" s="32">
        <v>0</v>
      </c>
      <c r="T5" s="32">
        <v>0</v>
      </c>
      <c r="U5" s="40" t="s">
        <v>30</v>
      </c>
      <c r="V5" s="41" t="s">
        <v>31</v>
      </c>
    </row>
    <row r="6" spans="1:22" x14ac:dyDescent="0.3">
      <c r="A6">
        <v>43</v>
      </c>
      <c r="B6" s="31">
        <v>3</v>
      </c>
      <c r="C6" s="32">
        <v>1</v>
      </c>
      <c r="D6" s="32" t="s">
        <v>22</v>
      </c>
      <c r="E6" s="32">
        <v>1</v>
      </c>
      <c r="F6" s="32">
        <v>0</v>
      </c>
      <c r="G6" s="33" t="s">
        <v>27</v>
      </c>
      <c r="H6" s="34" t="s">
        <v>24</v>
      </c>
      <c r="I6" s="35" t="str">
        <f t="shared" si="1"/>
        <v>TDK-Lambda GEN 60-40</v>
      </c>
      <c r="J6" s="36">
        <v>1</v>
      </c>
      <c r="K6" s="36" t="str">
        <f>IF(J6&gt;=1,"Yes","No")</f>
        <v>Yes</v>
      </c>
      <c r="L6" s="37">
        <v>1</v>
      </c>
      <c r="M6" s="37" t="str">
        <f>IF(L6&gt;=1,"Yes","No")</f>
        <v>Yes</v>
      </c>
      <c r="N6" s="38">
        <v>0</v>
      </c>
      <c r="O6" s="38" t="str">
        <f>IF(N6&gt;=1,"Yes","No")</f>
        <v>No</v>
      </c>
      <c r="P6" s="36">
        <v>0</v>
      </c>
      <c r="Q6" s="39" t="str">
        <f>IF(P6&gt;=1,"Yes","No")</f>
        <v>No</v>
      </c>
      <c r="R6" s="32">
        <v>1</v>
      </c>
      <c r="S6" s="32">
        <v>0</v>
      </c>
      <c r="T6" s="32">
        <v>0</v>
      </c>
      <c r="U6" s="40" t="s">
        <v>32</v>
      </c>
      <c r="V6" s="41" t="s">
        <v>33</v>
      </c>
    </row>
    <row r="7" spans="1:22" ht="15" thickBot="1" x14ac:dyDescent="0.35">
      <c r="A7">
        <v>43</v>
      </c>
      <c r="B7" s="18">
        <v>4</v>
      </c>
      <c r="C7" s="19">
        <v>0</v>
      </c>
      <c r="D7" s="19" t="s">
        <v>22</v>
      </c>
      <c r="E7" s="19">
        <v>0</v>
      </c>
      <c r="F7" s="19">
        <v>1</v>
      </c>
      <c r="G7" s="42" t="s">
        <v>27</v>
      </c>
      <c r="H7" s="43" t="s">
        <v>24</v>
      </c>
      <c r="I7" s="44" t="str">
        <f t="shared" si="1"/>
        <v>TDK-Lambda GEN 60-40</v>
      </c>
      <c r="J7" s="23">
        <v>0</v>
      </c>
      <c r="K7" s="23" t="str">
        <f>IF(J7&gt;=1,"Yes","No")</f>
        <v>No</v>
      </c>
      <c r="L7" s="24">
        <v>1</v>
      </c>
      <c r="M7" s="24" t="str">
        <f>IF(L7&gt;=1,"Yes","No")</f>
        <v>Yes</v>
      </c>
      <c r="N7" s="25">
        <v>0</v>
      </c>
      <c r="O7" s="25" t="str">
        <f>IF(N7&gt;=1,"Yes","No")</f>
        <v>No</v>
      </c>
      <c r="P7" s="23">
        <v>0</v>
      </c>
      <c r="Q7" s="26" t="str">
        <f>IF(P7&gt;=1,"Yes","No")</f>
        <v>No</v>
      </c>
      <c r="R7" s="19">
        <v>1</v>
      </c>
      <c r="S7" s="19">
        <v>0</v>
      </c>
      <c r="T7" s="19">
        <v>0</v>
      </c>
      <c r="U7" s="45" t="s">
        <v>34</v>
      </c>
      <c r="V7" s="46" t="s">
        <v>35</v>
      </c>
    </row>
    <row r="8" spans="1:22" ht="15" thickTop="1" x14ac:dyDescent="0.3">
      <c r="A8">
        <v>44</v>
      </c>
      <c r="B8" s="47">
        <v>1</v>
      </c>
      <c r="C8" s="48">
        <v>1</v>
      </c>
      <c r="D8" s="48" t="s">
        <v>22</v>
      </c>
      <c r="E8" s="48">
        <v>1</v>
      </c>
      <c r="F8" s="48">
        <v>0</v>
      </c>
      <c r="G8" s="49" t="s">
        <v>27</v>
      </c>
      <c r="H8" s="50" t="s">
        <v>24</v>
      </c>
      <c r="I8" s="51" t="str">
        <f t="shared" si="1"/>
        <v>TDK-Lambda GEN 60-40</v>
      </c>
      <c r="J8" s="48">
        <v>1</v>
      </c>
      <c r="K8" s="48" t="str">
        <f>IF(J8&gt;=1,"Yes","No")</f>
        <v>Yes</v>
      </c>
      <c r="L8" s="48">
        <v>0</v>
      </c>
      <c r="M8" s="48" t="str">
        <f>IF(L8&gt;=1,"Yes","No")</f>
        <v>No</v>
      </c>
      <c r="N8" s="48">
        <v>0</v>
      </c>
      <c r="O8" s="48" t="str">
        <f>IF(N8&gt;=1,"Yes","No")</f>
        <v>No</v>
      </c>
      <c r="P8" s="48">
        <v>0</v>
      </c>
      <c r="Q8" s="52" t="str">
        <f>IF(P8&gt;=1,"Yes","No")</f>
        <v>No</v>
      </c>
      <c r="R8" s="48">
        <v>1</v>
      </c>
      <c r="S8" s="48">
        <v>0</v>
      </c>
      <c r="T8" s="53">
        <v>0</v>
      </c>
      <c r="U8" s="54" t="s">
        <v>36</v>
      </c>
      <c r="V8" s="55" t="s">
        <v>37</v>
      </c>
    </row>
    <row r="9" spans="1:22" x14ac:dyDescent="0.3">
      <c r="A9">
        <v>44</v>
      </c>
      <c r="B9" s="56">
        <v>1</v>
      </c>
      <c r="C9" s="57">
        <v>0</v>
      </c>
      <c r="D9" s="57" t="s">
        <v>22</v>
      </c>
      <c r="E9" s="57">
        <v>0</v>
      </c>
      <c r="F9" s="57">
        <v>1</v>
      </c>
      <c r="G9" s="58" t="s">
        <v>27</v>
      </c>
      <c r="H9" s="59" t="s">
        <v>24</v>
      </c>
      <c r="I9" s="60" t="str">
        <f t="shared" si="1"/>
        <v>TDK-Lambda GEN 60-40</v>
      </c>
      <c r="J9" s="57">
        <v>0</v>
      </c>
      <c r="K9" s="57" t="str">
        <f>IF(J9&gt;=1,"Yes","No")</f>
        <v>No</v>
      </c>
      <c r="L9" s="57">
        <v>0</v>
      </c>
      <c r="M9" s="57" t="str">
        <f>IF(L9&gt;=1,"Yes","No")</f>
        <v>No</v>
      </c>
      <c r="N9" s="57">
        <v>0</v>
      </c>
      <c r="O9" s="57" t="str">
        <f>IF(N9&gt;=1,"Yes","No")</f>
        <v>No</v>
      </c>
      <c r="P9" s="57">
        <v>0</v>
      </c>
      <c r="Q9" s="61" t="str">
        <f>IF(P9&gt;=1,"Yes","No")</f>
        <v>No</v>
      </c>
      <c r="R9" s="57">
        <v>0</v>
      </c>
      <c r="S9" s="57">
        <v>0</v>
      </c>
      <c r="T9" s="57">
        <v>0</v>
      </c>
      <c r="U9" s="62"/>
      <c r="V9" s="62"/>
    </row>
    <row r="10" spans="1:22" x14ac:dyDescent="0.3">
      <c r="A10">
        <v>44</v>
      </c>
      <c r="B10" s="31">
        <v>2</v>
      </c>
      <c r="C10" s="32">
        <v>1</v>
      </c>
      <c r="D10" s="32" t="s">
        <v>22</v>
      </c>
      <c r="E10" s="32">
        <v>1</v>
      </c>
      <c r="F10" s="32">
        <v>0</v>
      </c>
      <c r="G10" s="33" t="s">
        <v>27</v>
      </c>
      <c r="H10" s="34" t="s">
        <v>24</v>
      </c>
      <c r="I10" s="35" t="str">
        <f t="shared" si="1"/>
        <v>TDK-Lambda GEN 60-40</v>
      </c>
      <c r="J10" s="36">
        <v>1</v>
      </c>
      <c r="K10" s="36" t="str">
        <f>IF(J10&gt;=1,"Yes","No")</f>
        <v>Yes</v>
      </c>
      <c r="L10" s="37">
        <v>0</v>
      </c>
      <c r="M10" s="37" t="str">
        <f>IF(L10&gt;=1,"Yes","No")</f>
        <v>No</v>
      </c>
      <c r="N10" s="38">
        <v>0</v>
      </c>
      <c r="O10" s="38" t="str">
        <f>IF(N10&gt;=1,"Yes","No")</f>
        <v>No</v>
      </c>
      <c r="P10" s="36">
        <v>0</v>
      </c>
      <c r="Q10" s="39" t="str">
        <f>IF(P10&gt;=1,"Yes","No")</f>
        <v>No</v>
      </c>
      <c r="R10" s="32">
        <v>1</v>
      </c>
      <c r="S10" s="32">
        <v>0</v>
      </c>
      <c r="T10" s="32">
        <v>0</v>
      </c>
      <c r="U10" s="63" t="s">
        <v>38</v>
      </c>
      <c r="V10" s="64" t="s">
        <v>39</v>
      </c>
    </row>
    <row r="11" spans="1:22" ht="15" thickBot="1" x14ac:dyDescent="0.35">
      <c r="A11">
        <v>44</v>
      </c>
      <c r="B11" s="18">
        <v>2</v>
      </c>
      <c r="C11" s="19">
        <v>0</v>
      </c>
      <c r="D11" s="19" t="s">
        <v>22</v>
      </c>
      <c r="E11" s="19">
        <v>0</v>
      </c>
      <c r="F11" s="19">
        <v>1</v>
      </c>
      <c r="G11" s="42" t="s">
        <v>27</v>
      </c>
      <c r="H11" s="43" t="s">
        <v>24</v>
      </c>
      <c r="I11" s="44" t="str">
        <f t="shared" si="1"/>
        <v>TDK-Lambda GEN 60-40</v>
      </c>
      <c r="J11" s="23">
        <v>0</v>
      </c>
      <c r="K11" s="23" t="str">
        <f>IF(J11&gt;=1,"Yes","No")</f>
        <v>No</v>
      </c>
      <c r="L11" s="24">
        <v>0</v>
      </c>
      <c r="M11" s="24" t="str">
        <f>IF(L11&gt;=1,"Yes","No")</f>
        <v>No</v>
      </c>
      <c r="N11" s="25">
        <v>0</v>
      </c>
      <c r="O11" s="25" t="str">
        <f>IF(N11&gt;=1,"Yes","No")</f>
        <v>No</v>
      </c>
      <c r="P11" s="23">
        <v>0</v>
      </c>
      <c r="Q11" s="26" t="str">
        <f>IF(P11&gt;=1,"Yes","No")</f>
        <v>No</v>
      </c>
      <c r="R11" s="19">
        <v>0</v>
      </c>
      <c r="S11" s="19">
        <v>0</v>
      </c>
      <c r="T11" s="19">
        <v>0</v>
      </c>
      <c r="U11" s="19"/>
      <c r="V11" s="19"/>
    </row>
    <row r="12" spans="1:22" ht="15" thickTop="1" x14ac:dyDescent="0.3">
      <c r="A12">
        <v>45</v>
      </c>
      <c r="B12" s="47">
        <v>1</v>
      </c>
      <c r="C12" s="48">
        <v>1</v>
      </c>
      <c r="D12" s="48" t="s">
        <v>22</v>
      </c>
      <c r="E12" s="48">
        <v>1</v>
      </c>
      <c r="F12" s="48">
        <v>0</v>
      </c>
      <c r="G12" s="49" t="s">
        <v>27</v>
      </c>
      <c r="H12" s="50" t="s">
        <v>24</v>
      </c>
      <c r="I12" s="51" t="str">
        <f t="shared" si="1"/>
        <v>TDK-Lambda GEN 60-40</v>
      </c>
      <c r="J12" s="48">
        <v>1</v>
      </c>
      <c r="K12" s="48" t="str">
        <f>IF(J12&gt;=1,"Yes","No")</f>
        <v>Yes</v>
      </c>
      <c r="L12" s="48">
        <v>0</v>
      </c>
      <c r="M12" s="48" t="str">
        <f>IF(L12&gt;=1,"Yes","No")</f>
        <v>No</v>
      </c>
      <c r="N12" s="48">
        <v>0</v>
      </c>
      <c r="O12" s="48" t="str">
        <f>IF(N12&gt;=1,"Yes","No")</f>
        <v>No</v>
      </c>
      <c r="P12" s="48">
        <v>0</v>
      </c>
      <c r="Q12" s="52" t="str">
        <f>IF(P12&gt;=1,"Yes","No")</f>
        <v>No</v>
      </c>
      <c r="R12" s="48">
        <v>1</v>
      </c>
      <c r="S12" s="48">
        <v>0</v>
      </c>
      <c r="T12" s="48">
        <v>0</v>
      </c>
      <c r="U12" s="48"/>
      <c r="V12" s="48"/>
    </row>
    <row r="13" spans="1:22" x14ac:dyDescent="0.3">
      <c r="A13">
        <v>45</v>
      </c>
      <c r="B13" s="56">
        <v>1</v>
      </c>
      <c r="C13" s="57">
        <v>0</v>
      </c>
      <c r="D13" s="57" t="s">
        <v>22</v>
      </c>
      <c r="E13" s="57">
        <v>0</v>
      </c>
      <c r="F13" s="57">
        <v>1</v>
      </c>
      <c r="G13" s="58" t="s">
        <v>27</v>
      </c>
      <c r="H13" s="59" t="s">
        <v>24</v>
      </c>
      <c r="I13" s="60" t="str">
        <f t="shared" si="1"/>
        <v>TDK-Lambda GEN 60-40</v>
      </c>
      <c r="J13" s="57">
        <v>0</v>
      </c>
      <c r="K13" s="57" t="str">
        <f>IF(J13&gt;=1,"Yes","No")</f>
        <v>No</v>
      </c>
      <c r="L13" s="57">
        <v>0</v>
      </c>
      <c r="M13" s="57" t="str">
        <f>IF(L13&gt;=1,"Yes","No")</f>
        <v>No</v>
      </c>
      <c r="N13" s="57">
        <v>0</v>
      </c>
      <c r="O13" s="57" t="str">
        <f>IF(N13&gt;=1,"Yes","No")</f>
        <v>No</v>
      </c>
      <c r="P13" s="57">
        <v>0</v>
      </c>
      <c r="Q13" s="61" t="str">
        <f>IF(P13&gt;=1,"Yes","No")</f>
        <v>No</v>
      </c>
      <c r="R13" s="57">
        <v>0</v>
      </c>
      <c r="S13" s="57">
        <v>0</v>
      </c>
      <c r="T13" s="57">
        <v>0</v>
      </c>
      <c r="U13" s="57"/>
      <c r="V13" s="57"/>
    </row>
    <row r="14" spans="1:22" x14ac:dyDescent="0.3">
      <c r="A14">
        <v>45</v>
      </c>
      <c r="B14" s="31">
        <v>2</v>
      </c>
      <c r="C14" s="32">
        <v>1</v>
      </c>
      <c r="D14" s="32" t="s">
        <v>22</v>
      </c>
      <c r="E14" s="32">
        <v>0</v>
      </c>
      <c r="F14" s="32">
        <v>0</v>
      </c>
      <c r="G14" s="33" t="s">
        <v>27</v>
      </c>
      <c r="H14" s="34" t="s">
        <v>24</v>
      </c>
      <c r="I14" s="35" t="str">
        <f t="shared" si="1"/>
        <v>TDK-Lambda GEN 60-40</v>
      </c>
      <c r="J14" s="36">
        <v>1</v>
      </c>
      <c r="K14" s="36" t="str">
        <f>IF(J14&gt;=1,"Yes","No")</f>
        <v>Yes</v>
      </c>
      <c r="L14" s="37">
        <v>0</v>
      </c>
      <c r="M14" s="37" t="str">
        <f>IF(L14&gt;=1,"Yes","No")</f>
        <v>No</v>
      </c>
      <c r="N14" s="38">
        <v>0</v>
      </c>
      <c r="O14" s="38" t="str">
        <f>IF(N14&gt;=1,"Yes","No")</f>
        <v>No</v>
      </c>
      <c r="P14" s="36">
        <v>0</v>
      </c>
      <c r="Q14" s="39" t="str">
        <f>IF(P14&gt;=1,"Yes","No")</f>
        <v>No</v>
      </c>
      <c r="R14" s="32">
        <v>1</v>
      </c>
      <c r="S14" s="32">
        <v>0</v>
      </c>
      <c r="T14" s="32">
        <v>0</v>
      </c>
      <c r="U14" s="32"/>
      <c r="V14" s="32"/>
    </row>
    <row r="15" spans="1:22" ht="15" thickBot="1" x14ac:dyDescent="0.35">
      <c r="A15">
        <v>45</v>
      </c>
      <c r="B15" s="18">
        <v>2</v>
      </c>
      <c r="C15" s="19">
        <v>0</v>
      </c>
      <c r="D15" s="19" t="s">
        <v>22</v>
      </c>
      <c r="E15" s="19">
        <v>0</v>
      </c>
      <c r="F15" s="19">
        <v>1</v>
      </c>
      <c r="G15" s="42" t="s">
        <v>27</v>
      </c>
      <c r="H15" s="43" t="s">
        <v>24</v>
      </c>
      <c r="I15" s="44" t="str">
        <f t="shared" si="1"/>
        <v>TDK-Lambda GEN 60-40</v>
      </c>
      <c r="J15" s="23">
        <v>0</v>
      </c>
      <c r="K15" s="23" t="str">
        <f>IF(J15&gt;=1,"Yes","No")</f>
        <v>No</v>
      </c>
      <c r="L15" s="24">
        <v>0</v>
      </c>
      <c r="M15" s="24" t="str">
        <f>IF(L15&gt;=1,"Yes","No")</f>
        <v>No</v>
      </c>
      <c r="N15" s="25">
        <v>0</v>
      </c>
      <c r="O15" s="25" t="str">
        <f>IF(N15&gt;=1,"Yes","No")</f>
        <v>No</v>
      </c>
      <c r="P15" s="23">
        <v>0</v>
      </c>
      <c r="Q15" s="26" t="str">
        <f>IF(P15&gt;=1,"Yes","No")</f>
        <v>No</v>
      </c>
      <c r="R15" s="19">
        <v>0</v>
      </c>
      <c r="S15" s="19">
        <v>0</v>
      </c>
      <c r="T15" s="19">
        <v>0</v>
      </c>
      <c r="U15" s="19"/>
      <c r="V15" s="19"/>
    </row>
    <row r="16" spans="1:22" ht="15" thickTop="1" x14ac:dyDescent="0.3">
      <c r="A16">
        <v>46</v>
      </c>
      <c r="B16" s="8">
        <v>1</v>
      </c>
      <c r="C16" s="9">
        <v>1</v>
      </c>
      <c r="D16" s="9" t="s">
        <v>22</v>
      </c>
      <c r="E16" s="9">
        <v>1</v>
      </c>
      <c r="F16" s="9">
        <v>0</v>
      </c>
      <c r="G16" s="28" t="s">
        <v>27</v>
      </c>
      <c r="H16" s="28" t="s">
        <v>24</v>
      </c>
      <c r="I16" s="13" t="str">
        <f t="shared" si="1"/>
        <v>TDK-Lambda GEN 60-40</v>
      </c>
      <c r="J16" s="14">
        <v>1</v>
      </c>
      <c r="K16" s="14" t="str">
        <f>IF(J16&gt;=1,"Yes","No")</f>
        <v>Yes</v>
      </c>
      <c r="L16" s="15">
        <v>0</v>
      </c>
      <c r="M16" s="15" t="str">
        <f>IF(L16&gt;=1,"Yes","No")</f>
        <v>No</v>
      </c>
      <c r="N16" s="16">
        <v>0</v>
      </c>
      <c r="O16" s="16" t="str">
        <f>IF(N16&gt;=1,"Yes","No")</f>
        <v>No</v>
      </c>
      <c r="P16" s="14">
        <v>0</v>
      </c>
      <c r="Q16" s="17" t="str">
        <f>IF(P16&gt;=1,"Yes","No")</f>
        <v>No</v>
      </c>
      <c r="R16" s="9">
        <v>1</v>
      </c>
      <c r="S16" s="9">
        <v>0</v>
      </c>
      <c r="T16" s="9">
        <v>0</v>
      </c>
      <c r="U16" s="29" t="s">
        <v>40</v>
      </c>
      <c r="V16" s="30" t="s">
        <v>41</v>
      </c>
    </row>
    <row r="17" spans="1:22" x14ac:dyDescent="0.3">
      <c r="A17">
        <v>46</v>
      </c>
      <c r="B17" s="31">
        <v>1</v>
      </c>
      <c r="C17" s="32">
        <v>0</v>
      </c>
      <c r="D17" s="32" t="s">
        <v>22</v>
      </c>
      <c r="E17" s="32">
        <v>0</v>
      </c>
      <c r="F17" s="32">
        <v>1</v>
      </c>
      <c r="G17" s="34" t="s">
        <v>27</v>
      </c>
      <c r="H17" s="65" t="s">
        <v>24</v>
      </c>
      <c r="I17" s="35" t="str">
        <f t="shared" si="1"/>
        <v>TDK-Lambda GEN 60-40</v>
      </c>
      <c r="J17" s="36">
        <v>0</v>
      </c>
      <c r="K17" s="36" t="str">
        <f>IF(J17&gt;=1,"Yes","No")</f>
        <v>No</v>
      </c>
      <c r="L17" s="37">
        <v>0</v>
      </c>
      <c r="M17" s="37" t="str">
        <f>IF(L17&gt;=1,"Yes","No")</f>
        <v>No</v>
      </c>
      <c r="N17" s="38">
        <v>0</v>
      </c>
      <c r="O17" s="38" t="str">
        <f>IF(N17&gt;=1,"Yes","No")</f>
        <v>No</v>
      </c>
      <c r="P17" s="36">
        <v>0</v>
      </c>
      <c r="Q17" s="39" t="str">
        <f>IF(P17&gt;=1,"Yes","No")</f>
        <v>No</v>
      </c>
      <c r="R17" s="32">
        <v>0</v>
      </c>
      <c r="S17" s="32">
        <v>0</v>
      </c>
      <c r="T17" s="32">
        <v>0</v>
      </c>
      <c r="U17" s="40" t="s">
        <v>40</v>
      </c>
      <c r="V17" s="41" t="s">
        <v>41</v>
      </c>
    </row>
    <row r="18" spans="1:22" x14ac:dyDescent="0.3">
      <c r="A18">
        <v>46</v>
      </c>
      <c r="B18" s="31">
        <v>2</v>
      </c>
      <c r="C18" s="32">
        <v>1</v>
      </c>
      <c r="D18" s="32" t="s">
        <v>22</v>
      </c>
      <c r="E18" s="32">
        <v>1</v>
      </c>
      <c r="F18" s="32">
        <v>0</v>
      </c>
      <c r="G18" s="34" t="s">
        <v>27</v>
      </c>
      <c r="H18" s="65" t="s">
        <v>24</v>
      </c>
      <c r="I18" s="35" t="str">
        <f t="shared" si="1"/>
        <v>TDK-Lambda GEN 60-40</v>
      </c>
      <c r="J18" s="36">
        <v>1</v>
      </c>
      <c r="K18" s="36" t="str">
        <f>IF(J18&gt;=1,"Yes","No")</f>
        <v>Yes</v>
      </c>
      <c r="L18" s="37">
        <v>0</v>
      </c>
      <c r="M18" s="37" t="str">
        <f>IF(L18&gt;=1,"Yes","No")</f>
        <v>No</v>
      </c>
      <c r="N18" s="38">
        <v>0</v>
      </c>
      <c r="O18" s="38" t="str">
        <f>IF(N18&gt;=1,"Yes","No")</f>
        <v>No</v>
      </c>
      <c r="P18" s="36">
        <v>0</v>
      </c>
      <c r="Q18" s="39" t="str">
        <f>IF(P18&gt;=1,"Yes","No")</f>
        <v>No</v>
      </c>
      <c r="R18" s="32">
        <v>1</v>
      </c>
      <c r="S18" s="32">
        <v>0</v>
      </c>
      <c r="T18" s="32">
        <v>0</v>
      </c>
      <c r="U18" s="40" t="s">
        <v>42</v>
      </c>
      <c r="V18" s="41" t="s">
        <v>43</v>
      </c>
    </row>
    <row r="19" spans="1:22" ht="15" thickBot="1" x14ac:dyDescent="0.35">
      <c r="A19">
        <v>46</v>
      </c>
      <c r="B19" s="18">
        <v>2</v>
      </c>
      <c r="C19" s="19">
        <v>0</v>
      </c>
      <c r="D19" s="19" t="s">
        <v>22</v>
      </c>
      <c r="E19" s="19">
        <v>0</v>
      </c>
      <c r="F19" s="19">
        <v>1</v>
      </c>
      <c r="G19" s="43" t="s">
        <v>27</v>
      </c>
      <c r="H19" s="66" t="s">
        <v>24</v>
      </c>
      <c r="I19" s="44" t="str">
        <f t="shared" si="1"/>
        <v>TDK-Lambda GEN 60-40</v>
      </c>
      <c r="J19" s="23">
        <v>0</v>
      </c>
      <c r="K19" s="23" t="str">
        <f>IF(J19&gt;=1,"Yes","No")</f>
        <v>No</v>
      </c>
      <c r="L19" s="24">
        <v>0</v>
      </c>
      <c r="M19" s="24" t="str">
        <f>IF(L19&gt;=1,"Yes","No")</f>
        <v>No</v>
      </c>
      <c r="N19" s="25">
        <v>0</v>
      </c>
      <c r="O19" s="25" t="str">
        <f>IF(N19&gt;=1,"Yes","No")</f>
        <v>No</v>
      </c>
      <c r="P19" s="23">
        <v>0</v>
      </c>
      <c r="Q19" s="26" t="str">
        <f>IF(P19&gt;=1,"Yes","No")</f>
        <v>No</v>
      </c>
      <c r="R19" s="19">
        <v>0</v>
      </c>
      <c r="S19" s="19">
        <v>0</v>
      </c>
      <c r="T19" s="19">
        <v>0</v>
      </c>
      <c r="U19" s="45" t="s">
        <v>42</v>
      </c>
      <c r="V19" s="46" t="s">
        <v>43</v>
      </c>
    </row>
    <row r="20" spans="1:22" ht="15" thickTop="1" x14ac:dyDescent="0.3">
      <c r="A20">
        <v>47</v>
      </c>
      <c r="B20" s="8">
        <v>1</v>
      </c>
      <c r="C20" s="9">
        <v>1</v>
      </c>
      <c r="D20" s="9" t="s">
        <v>22</v>
      </c>
      <c r="E20" s="9">
        <v>1</v>
      </c>
      <c r="F20" s="9">
        <v>0</v>
      </c>
      <c r="G20" s="28"/>
      <c r="H20" s="34" t="s">
        <v>24</v>
      </c>
      <c r="I20" s="13" t="str">
        <f t="shared" si="1"/>
        <v>AmeTek XG 20-84</v>
      </c>
      <c r="J20" s="14">
        <v>1</v>
      </c>
      <c r="K20" s="14" t="str">
        <f>IF(J20&gt;=1,"Yes","No")</f>
        <v>Yes</v>
      </c>
      <c r="L20" s="15">
        <v>1</v>
      </c>
      <c r="M20" s="15" t="str">
        <f>IF(L20&gt;=1,"Yes","No")</f>
        <v>Yes</v>
      </c>
      <c r="N20" s="16">
        <v>0</v>
      </c>
      <c r="O20" s="16" t="str">
        <f>IF(N20&gt;=1,"Yes","No")</f>
        <v>No</v>
      </c>
      <c r="P20" s="14">
        <v>0</v>
      </c>
      <c r="Q20" s="17" t="str">
        <f>IF(P20&gt;=1,"Yes","No")</f>
        <v>No</v>
      </c>
      <c r="R20" s="9">
        <v>1</v>
      </c>
      <c r="S20" s="9">
        <v>0</v>
      </c>
      <c r="T20" s="9">
        <v>0</v>
      </c>
      <c r="U20" s="29" t="s">
        <v>44</v>
      </c>
      <c r="V20" s="30" t="s">
        <v>45</v>
      </c>
    </row>
    <row r="21" spans="1:22" x14ac:dyDescent="0.3">
      <c r="A21">
        <v>47</v>
      </c>
      <c r="B21" s="31">
        <v>2</v>
      </c>
      <c r="C21" s="32">
        <v>1</v>
      </c>
      <c r="D21" s="32" t="s">
        <v>22</v>
      </c>
      <c r="E21" s="32">
        <v>0</v>
      </c>
      <c r="F21" s="32">
        <v>1</v>
      </c>
      <c r="G21" s="34"/>
      <c r="H21" s="34" t="s">
        <v>24</v>
      </c>
      <c r="I21" s="35" t="str">
        <f t="shared" si="1"/>
        <v>AmeTek XG 20-84</v>
      </c>
      <c r="J21" s="36">
        <v>0</v>
      </c>
      <c r="K21" s="36" t="str">
        <f>IF(J21&gt;=1,"Yes","No")</f>
        <v>No</v>
      </c>
      <c r="L21" s="37">
        <v>1</v>
      </c>
      <c r="M21" s="37" t="str">
        <f>IF(L21&gt;=1,"Yes","No")</f>
        <v>Yes</v>
      </c>
      <c r="N21" s="38">
        <v>0</v>
      </c>
      <c r="O21" s="38" t="str">
        <f>IF(N21&gt;=1,"Yes","No")</f>
        <v>No</v>
      </c>
      <c r="P21" s="36">
        <v>0</v>
      </c>
      <c r="Q21" s="39" t="str">
        <f>IF(P21&gt;=1,"Yes","No")</f>
        <v>No</v>
      </c>
      <c r="R21" s="32">
        <v>1</v>
      </c>
      <c r="S21" s="32">
        <v>0</v>
      </c>
      <c r="T21" s="32">
        <v>0</v>
      </c>
      <c r="U21" s="40" t="s">
        <v>46</v>
      </c>
      <c r="V21" s="41" t="s">
        <v>47</v>
      </c>
    </row>
    <row r="22" spans="1:22" x14ac:dyDescent="0.3">
      <c r="A22">
        <v>47</v>
      </c>
      <c r="B22" s="31">
        <v>3</v>
      </c>
      <c r="C22" s="32">
        <v>1</v>
      </c>
      <c r="D22" s="32" t="s">
        <v>22</v>
      </c>
      <c r="E22" s="32">
        <v>1</v>
      </c>
      <c r="F22" s="32">
        <v>0</v>
      </c>
      <c r="G22" s="34"/>
      <c r="H22" s="34" t="s">
        <v>24</v>
      </c>
      <c r="I22" s="35" t="str">
        <f t="shared" si="1"/>
        <v>AmeTek XG 20-84</v>
      </c>
      <c r="J22" s="36">
        <v>1</v>
      </c>
      <c r="K22" s="36" t="str">
        <f>IF(J22&gt;=1,"Yes","No")</f>
        <v>Yes</v>
      </c>
      <c r="L22" s="37">
        <v>1</v>
      </c>
      <c r="M22" s="37" t="str">
        <f>IF(L22&gt;=1,"Yes","No")</f>
        <v>Yes</v>
      </c>
      <c r="N22" s="38">
        <v>0</v>
      </c>
      <c r="O22" s="38" t="str">
        <f>IF(N22&gt;=1,"Yes","No")</f>
        <v>No</v>
      </c>
      <c r="P22" s="36">
        <v>0</v>
      </c>
      <c r="Q22" s="39" t="str">
        <f>IF(P22&gt;=1,"Yes","No")</f>
        <v>No</v>
      </c>
      <c r="R22" s="32">
        <v>1</v>
      </c>
      <c r="S22" s="32">
        <v>0</v>
      </c>
      <c r="T22" s="32">
        <v>0</v>
      </c>
      <c r="U22" s="40" t="s">
        <v>48</v>
      </c>
      <c r="V22" s="41" t="s">
        <v>49</v>
      </c>
    </row>
    <row r="23" spans="1:22" ht="15" thickBot="1" x14ac:dyDescent="0.35">
      <c r="A23">
        <v>47</v>
      </c>
      <c r="B23" s="18">
        <v>4</v>
      </c>
      <c r="C23" s="19">
        <v>1</v>
      </c>
      <c r="D23" s="19" t="s">
        <v>22</v>
      </c>
      <c r="E23" s="19">
        <v>0</v>
      </c>
      <c r="F23" s="19">
        <v>1</v>
      </c>
      <c r="G23" s="43"/>
      <c r="H23" s="43" t="s">
        <v>24</v>
      </c>
      <c r="I23" s="44" t="str">
        <f t="shared" si="1"/>
        <v>AmeTek XG 20-84</v>
      </c>
      <c r="J23" s="23">
        <v>0</v>
      </c>
      <c r="K23" s="23" t="str">
        <f>IF(J23&gt;=1,"Yes","No")</f>
        <v>No</v>
      </c>
      <c r="L23" s="24">
        <v>1</v>
      </c>
      <c r="M23" s="24" t="str">
        <f>IF(L23&gt;=1,"Yes","No")</f>
        <v>Yes</v>
      </c>
      <c r="N23" s="25">
        <v>0</v>
      </c>
      <c r="O23" s="25" t="str">
        <f>IF(N23&gt;=1,"Yes","No")</f>
        <v>No</v>
      </c>
      <c r="P23" s="23">
        <v>0</v>
      </c>
      <c r="Q23" s="26" t="str">
        <f>IF(P23&gt;=1,"Yes","No")</f>
        <v>No</v>
      </c>
      <c r="R23" s="19">
        <v>1</v>
      </c>
      <c r="S23" s="19">
        <v>0</v>
      </c>
      <c r="T23" s="19">
        <v>0</v>
      </c>
      <c r="U23" s="19"/>
      <c r="V23" s="19"/>
    </row>
    <row r="24" spans="1:22" ht="15" thickTop="1" x14ac:dyDescent="0.3">
      <c r="A24">
        <v>48</v>
      </c>
      <c r="B24" s="8">
        <v>1</v>
      </c>
      <c r="C24" s="9">
        <v>1</v>
      </c>
      <c r="D24" s="9" t="s">
        <v>22</v>
      </c>
      <c r="E24" s="9">
        <v>1</v>
      </c>
      <c r="F24" s="9">
        <v>0</v>
      </c>
      <c r="G24" s="27" t="s">
        <v>27</v>
      </c>
      <c r="H24" s="28" t="s">
        <v>24</v>
      </c>
      <c r="I24" s="13" t="str">
        <f t="shared" si="1"/>
        <v>TDK-Lambda GEN 60-40</v>
      </c>
      <c r="J24" s="14">
        <v>1</v>
      </c>
      <c r="K24" s="14" t="str">
        <f>IF(J24&gt;=1,"Yes","No")</f>
        <v>Yes</v>
      </c>
      <c r="L24" s="15">
        <v>0</v>
      </c>
      <c r="M24" s="15" t="str">
        <f>IF(L24&gt;=1,"Yes","No")</f>
        <v>No</v>
      </c>
      <c r="N24" s="16">
        <v>0</v>
      </c>
      <c r="O24" s="16" t="str">
        <f>IF(N24&gt;=1,"Yes","No")</f>
        <v>No</v>
      </c>
      <c r="P24" s="14">
        <v>0</v>
      </c>
      <c r="Q24" s="17" t="str">
        <f>IF(P24&gt;=1,"Yes","No")</f>
        <v>No</v>
      </c>
      <c r="R24" s="9">
        <v>1</v>
      </c>
      <c r="S24" s="9">
        <v>0</v>
      </c>
      <c r="T24" s="9">
        <v>0</v>
      </c>
      <c r="U24" s="67" t="s">
        <v>50</v>
      </c>
      <c r="V24" s="68" t="s">
        <v>51</v>
      </c>
    </row>
    <row r="25" spans="1:22" x14ac:dyDescent="0.3">
      <c r="A25">
        <v>48</v>
      </c>
      <c r="B25" s="31">
        <v>1</v>
      </c>
      <c r="C25" s="32">
        <v>0</v>
      </c>
      <c r="D25" s="32" t="s">
        <v>22</v>
      </c>
      <c r="E25" s="32">
        <v>0</v>
      </c>
      <c r="F25" s="32">
        <v>1</v>
      </c>
      <c r="G25" s="33" t="s">
        <v>27</v>
      </c>
      <c r="H25" s="34" t="s">
        <v>24</v>
      </c>
      <c r="I25" s="35" t="str">
        <f t="shared" si="1"/>
        <v>TDK-Lambda GEN 60-40</v>
      </c>
      <c r="J25" s="36">
        <v>0</v>
      </c>
      <c r="K25" s="36" t="str">
        <f>IF(J25&gt;=1,"Yes","No")</f>
        <v>No</v>
      </c>
      <c r="L25" s="37">
        <v>0</v>
      </c>
      <c r="M25" s="37" t="str">
        <f>IF(L25&gt;=1,"Yes","No")</f>
        <v>No</v>
      </c>
      <c r="N25" s="38">
        <v>0</v>
      </c>
      <c r="O25" s="38" t="str">
        <f>IF(N25&gt;=1,"Yes","No")</f>
        <v>No</v>
      </c>
      <c r="P25" s="36">
        <v>0</v>
      </c>
      <c r="Q25" s="39" t="str">
        <f>IF(P25&gt;=1,"Yes","No")</f>
        <v>No</v>
      </c>
      <c r="R25" s="32">
        <v>0</v>
      </c>
      <c r="S25" s="32">
        <v>0</v>
      </c>
      <c r="T25" s="32">
        <v>0</v>
      </c>
      <c r="U25" s="69" t="s">
        <v>50</v>
      </c>
      <c r="V25" s="70" t="s">
        <v>51</v>
      </c>
    </row>
    <row r="26" spans="1:22" x14ac:dyDescent="0.3">
      <c r="A26">
        <v>48</v>
      </c>
      <c r="B26" s="31">
        <v>2</v>
      </c>
      <c r="C26" s="32">
        <v>1</v>
      </c>
      <c r="D26" s="32" t="s">
        <v>22</v>
      </c>
      <c r="E26" s="32">
        <v>1</v>
      </c>
      <c r="F26" s="32">
        <v>0</v>
      </c>
      <c r="G26" s="33" t="s">
        <v>27</v>
      </c>
      <c r="H26" s="34" t="s">
        <v>24</v>
      </c>
      <c r="I26" s="35" t="str">
        <f t="shared" si="1"/>
        <v>TDK-Lambda GEN 60-40</v>
      </c>
      <c r="J26" s="36">
        <v>1</v>
      </c>
      <c r="K26" s="36" t="str">
        <f>IF(J26&gt;=1,"Yes","No")</f>
        <v>Yes</v>
      </c>
      <c r="L26" s="37">
        <v>0</v>
      </c>
      <c r="M26" s="37" t="str">
        <f>IF(L26&gt;=1,"Yes","No")</f>
        <v>No</v>
      </c>
      <c r="N26" s="38">
        <v>0</v>
      </c>
      <c r="O26" s="38" t="str">
        <f>IF(N26&gt;=1,"Yes","No")</f>
        <v>No</v>
      </c>
      <c r="P26" s="36">
        <v>0</v>
      </c>
      <c r="Q26" s="39" t="str">
        <f>IF(P26&gt;=1,"Yes","No")</f>
        <v>No</v>
      </c>
      <c r="R26" s="32">
        <v>1</v>
      </c>
      <c r="S26" s="32">
        <v>0</v>
      </c>
      <c r="T26" s="32">
        <v>0</v>
      </c>
      <c r="U26" s="32"/>
      <c r="V26" s="32"/>
    </row>
    <row r="27" spans="1:22" ht="15" thickBot="1" x14ac:dyDescent="0.35">
      <c r="A27">
        <v>48</v>
      </c>
      <c r="B27" s="18">
        <v>2</v>
      </c>
      <c r="C27" s="19">
        <v>0</v>
      </c>
      <c r="D27" s="19" t="s">
        <v>22</v>
      </c>
      <c r="E27" s="19">
        <v>0</v>
      </c>
      <c r="F27" s="19">
        <v>1</v>
      </c>
      <c r="G27" s="42" t="s">
        <v>27</v>
      </c>
      <c r="H27" s="43" t="s">
        <v>24</v>
      </c>
      <c r="I27" s="44" t="str">
        <f t="shared" si="1"/>
        <v>TDK-Lambda GEN 60-40</v>
      </c>
      <c r="J27" s="23">
        <v>0</v>
      </c>
      <c r="K27" s="23" t="str">
        <f>IF(J27&gt;=1,"Yes","No")</f>
        <v>No</v>
      </c>
      <c r="L27" s="24">
        <v>0</v>
      </c>
      <c r="M27" s="24" t="str">
        <f>IF(L27&gt;=1,"Yes","No")</f>
        <v>No</v>
      </c>
      <c r="N27" s="25">
        <v>0</v>
      </c>
      <c r="O27" s="25" t="str">
        <f>IF(N27&gt;=1,"Yes","No")</f>
        <v>No</v>
      </c>
      <c r="P27" s="23">
        <v>0</v>
      </c>
      <c r="Q27" s="26" t="str">
        <f>IF(P27&gt;=1,"Yes","No")</f>
        <v>No</v>
      </c>
      <c r="R27" s="19">
        <v>0</v>
      </c>
      <c r="S27" s="19">
        <v>0</v>
      </c>
      <c r="T27" s="19">
        <v>0</v>
      </c>
      <c r="U27" s="19"/>
      <c r="V27" s="19"/>
    </row>
    <row r="28" spans="1:22" ht="15" thickTop="1" x14ac:dyDescent="0.3">
      <c r="A28">
        <v>49</v>
      </c>
      <c r="B28" s="8">
        <v>1</v>
      </c>
      <c r="C28" s="9">
        <v>1</v>
      </c>
      <c r="D28" s="9" t="s">
        <v>22</v>
      </c>
      <c r="E28" s="9">
        <v>1</v>
      </c>
      <c r="F28" s="9">
        <v>0</v>
      </c>
      <c r="G28" s="28" t="s">
        <v>52</v>
      </c>
      <c r="H28" s="28" t="s">
        <v>24</v>
      </c>
      <c r="I28" s="13" t="str">
        <f t="shared" si="1"/>
        <v>TDK-Lambda GEN 60-40</v>
      </c>
      <c r="J28" s="14">
        <v>1</v>
      </c>
      <c r="K28" s="14" t="str">
        <f>IF(J28&gt;=1,"Yes","No")</f>
        <v>Yes</v>
      </c>
      <c r="L28" s="15">
        <v>0</v>
      </c>
      <c r="M28" s="15" t="str">
        <f>IF(L28&gt;=1,"Yes","No")</f>
        <v>No</v>
      </c>
      <c r="N28" s="16">
        <v>0</v>
      </c>
      <c r="O28" s="16" t="str">
        <f>IF(N28&gt;=1,"Yes","No")</f>
        <v>No</v>
      </c>
      <c r="P28" s="14">
        <v>0</v>
      </c>
      <c r="Q28" s="17" t="str">
        <f>IF(P28&gt;=1,"Yes","No")</f>
        <v>No</v>
      </c>
      <c r="R28" s="9">
        <v>1</v>
      </c>
      <c r="S28" s="9">
        <v>0</v>
      </c>
      <c r="T28" s="9">
        <v>0</v>
      </c>
      <c r="U28" s="71" t="s">
        <v>53</v>
      </c>
      <c r="V28" s="30" t="s">
        <v>54</v>
      </c>
    </row>
    <row r="29" spans="1:22" x14ac:dyDescent="0.3">
      <c r="A29">
        <v>49</v>
      </c>
      <c r="B29" s="31">
        <v>1</v>
      </c>
      <c r="C29" s="32">
        <v>0</v>
      </c>
      <c r="D29" s="32" t="s">
        <v>22</v>
      </c>
      <c r="E29" s="32">
        <v>0</v>
      </c>
      <c r="F29" s="32">
        <v>1</v>
      </c>
      <c r="G29" s="34" t="s">
        <v>52</v>
      </c>
      <c r="H29" s="34" t="s">
        <v>24</v>
      </c>
      <c r="I29" s="35" t="str">
        <f t="shared" si="1"/>
        <v>TDK-Lambda GEN 60-40</v>
      </c>
      <c r="J29" s="36">
        <v>0</v>
      </c>
      <c r="K29" s="36" t="str">
        <f>IF(J29&gt;=1,"Yes","No")</f>
        <v>No</v>
      </c>
      <c r="L29" s="37">
        <v>0</v>
      </c>
      <c r="M29" s="37" t="str">
        <f>IF(L29&gt;=1,"Yes","No")</f>
        <v>No</v>
      </c>
      <c r="N29" s="38">
        <v>0</v>
      </c>
      <c r="O29" s="38" t="str">
        <f>IF(N29&gt;=1,"Yes","No")</f>
        <v>No</v>
      </c>
      <c r="P29" s="36">
        <v>0</v>
      </c>
      <c r="Q29" s="39" t="str">
        <f>IF(P29&gt;=1,"Yes","No")</f>
        <v>No</v>
      </c>
      <c r="R29" s="32">
        <v>0</v>
      </c>
      <c r="S29" s="32">
        <v>0</v>
      </c>
      <c r="T29" s="32">
        <v>0</v>
      </c>
      <c r="U29" s="72" t="s">
        <v>53</v>
      </c>
      <c r="V29" s="41" t="s">
        <v>54</v>
      </c>
    </row>
    <row r="30" spans="1:22" x14ac:dyDescent="0.3">
      <c r="A30">
        <v>49</v>
      </c>
      <c r="B30" s="31">
        <v>2</v>
      </c>
      <c r="C30" s="32">
        <v>1</v>
      </c>
      <c r="D30" s="32" t="s">
        <v>22</v>
      </c>
      <c r="E30" s="32">
        <v>1</v>
      </c>
      <c r="F30" s="32">
        <v>0</v>
      </c>
      <c r="G30" s="34" t="s">
        <v>52</v>
      </c>
      <c r="H30" s="34" t="s">
        <v>24</v>
      </c>
      <c r="I30" s="35" t="str">
        <f t="shared" si="1"/>
        <v>TDK-Lambda GEN 60-40</v>
      </c>
      <c r="J30" s="36">
        <v>1</v>
      </c>
      <c r="K30" s="36" t="str">
        <f>IF(J30&gt;=1,"Yes","No")</f>
        <v>Yes</v>
      </c>
      <c r="L30" s="37">
        <v>0</v>
      </c>
      <c r="M30" s="37" t="str">
        <f>IF(L30&gt;=1,"Yes","No")</f>
        <v>No</v>
      </c>
      <c r="N30" s="38">
        <v>0</v>
      </c>
      <c r="O30" s="38" t="str">
        <f>IF(N30&gt;=1,"Yes","No")</f>
        <v>No</v>
      </c>
      <c r="P30" s="36">
        <v>0</v>
      </c>
      <c r="Q30" s="39" t="str">
        <f>IF(P30&gt;=1,"Yes","No")</f>
        <v>No</v>
      </c>
      <c r="R30" s="32">
        <v>1</v>
      </c>
      <c r="S30" s="32">
        <v>0</v>
      </c>
      <c r="T30" s="32">
        <v>0</v>
      </c>
      <c r="U30" s="72" t="s">
        <v>55</v>
      </c>
      <c r="V30" s="41" t="s">
        <v>56</v>
      </c>
    </row>
    <row r="31" spans="1:22" ht="15" thickBot="1" x14ac:dyDescent="0.35">
      <c r="A31">
        <v>49</v>
      </c>
      <c r="B31" s="18">
        <v>2</v>
      </c>
      <c r="C31" s="19">
        <v>0</v>
      </c>
      <c r="D31" s="19" t="s">
        <v>22</v>
      </c>
      <c r="E31" s="19">
        <v>0</v>
      </c>
      <c r="F31" s="19">
        <v>1</v>
      </c>
      <c r="G31" s="43" t="s">
        <v>52</v>
      </c>
      <c r="H31" s="43" t="s">
        <v>24</v>
      </c>
      <c r="I31" s="44" t="str">
        <f t="shared" si="1"/>
        <v>TDK-Lambda GEN 60-40</v>
      </c>
      <c r="J31" s="23">
        <v>0</v>
      </c>
      <c r="K31" s="23" t="str">
        <f>IF(J31&gt;=1,"Yes","No")</f>
        <v>No</v>
      </c>
      <c r="L31" s="24">
        <v>0</v>
      </c>
      <c r="M31" s="24" t="str">
        <f>IF(L31&gt;=1,"Yes","No")</f>
        <v>No</v>
      </c>
      <c r="N31" s="25">
        <v>0</v>
      </c>
      <c r="O31" s="25" t="str">
        <f>IF(N31&gt;=1,"Yes","No")</f>
        <v>No</v>
      </c>
      <c r="P31" s="23">
        <v>0</v>
      </c>
      <c r="Q31" s="26" t="str">
        <f>IF(P31&gt;=1,"Yes","No")</f>
        <v>No</v>
      </c>
      <c r="R31" s="19">
        <v>0</v>
      </c>
      <c r="S31" s="19">
        <v>0</v>
      </c>
      <c r="T31" s="19">
        <v>0</v>
      </c>
      <c r="U31" s="73" t="s">
        <v>55</v>
      </c>
      <c r="V31" s="46" t="s">
        <v>56</v>
      </c>
    </row>
    <row r="32" spans="1:22" ht="15" thickTop="1" x14ac:dyDescent="0.3">
      <c r="A32">
        <v>50</v>
      </c>
      <c r="B32" s="8">
        <v>1</v>
      </c>
      <c r="C32" s="9">
        <v>1</v>
      </c>
      <c r="D32" s="9" t="s">
        <v>22</v>
      </c>
      <c r="E32" s="9">
        <v>1</v>
      </c>
      <c r="F32" s="9">
        <v>0</v>
      </c>
      <c r="G32" s="28" t="s">
        <v>52</v>
      </c>
      <c r="H32" s="28" t="s">
        <v>24</v>
      </c>
      <c r="I32" s="13" t="str">
        <f t="shared" si="1"/>
        <v>TDK-Lambda GEN 60-40</v>
      </c>
      <c r="J32" s="14">
        <v>1</v>
      </c>
      <c r="K32" s="14" t="str">
        <f>IF(J32&gt;=1,"Yes","No")</f>
        <v>Yes</v>
      </c>
      <c r="L32" s="15">
        <v>0</v>
      </c>
      <c r="M32" s="15" t="str">
        <f>IF(L32&gt;=1,"Yes","No")</f>
        <v>No</v>
      </c>
      <c r="N32" s="16">
        <v>0</v>
      </c>
      <c r="O32" s="16" t="str">
        <f>IF(N32&gt;=1,"Yes","No")</f>
        <v>No</v>
      </c>
      <c r="P32" s="14">
        <v>0</v>
      </c>
      <c r="Q32" s="17" t="str">
        <f>IF(P32&gt;=1,"Yes","No")</f>
        <v>No</v>
      </c>
      <c r="R32" s="9">
        <v>1</v>
      </c>
      <c r="S32" s="9">
        <v>0</v>
      </c>
      <c r="T32" s="9">
        <v>0</v>
      </c>
      <c r="U32" s="71" t="s">
        <v>57</v>
      </c>
      <c r="V32" s="30" t="s">
        <v>58</v>
      </c>
    </row>
    <row r="33" spans="1:22" x14ac:dyDescent="0.3">
      <c r="A33">
        <v>50</v>
      </c>
      <c r="B33" s="31">
        <v>1</v>
      </c>
      <c r="C33" s="32">
        <v>0</v>
      </c>
      <c r="D33" s="32" t="s">
        <v>22</v>
      </c>
      <c r="E33" s="32">
        <v>0</v>
      </c>
      <c r="F33" s="32">
        <v>1</v>
      </c>
      <c r="G33" s="34" t="s">
        <v>52</v>
      </c>
      <c r="H33" s="34" t="s">
        <v>24</v>
      </c>
      <c r="I33" s="35" t="str">
        <f t="shared" si="1"/>
        <v>TDK-Lambda GEN 60-40</v>
      </c>
      <c r="J33" s="36">
        <v>0</v>
      </c>
      <c r="K33" s="36" t="str">
        <f>IF(J33&gt;=1,"Yes","No")</f>
        <v>No</v>
      </c>
      <c r="L33" s="37">
        <v>0</v>
      </c>
      <c r="M33" s="37" t="str">
        <f>IF(L33&gt;=1,"Yes","No")</f>
        <v>No</v>
      </c>
      <c r="N33" s="38">
        <v>0</v>
      </c>
      <c r="O33" s="38" t="str">
        <f>IF(N33&gt;=1,"Yes","No")</f>
        <v>No</v>
      </c>
      <c r="P33" s="36">
        <v>0</v>
      </c>
      <c r="Q33" s="39" t="str">
        <f>IF(P33&gt;=1,"Yes","No")</f>
        <v>No</v>
      </c>
      <c r="R33" s="32">
        <v>0</v>
      </c>
      <c r="S33" s="32">
        <v>0</v>
      </c>
      <c r="T33" s="32">
        <v>0</v>
      </c>
      <c r="U33" s="72" t="s">
        <v>57</v>
      </c>
      <c r="V33" s="41" t="s">
        <v>58</v>
      </c>
    </row>
    <row r="34" spans="1:22" x14ac:dyDescent="0.3">
      <c r="A34">
        <v>50</v>
      </c>
      <c r="B34" s="31">
        <v>2</v>
      </c>
      <c r="C34" s="32">
        <v>1</v>
      </c>
      <c r="D34" s="32" t="s">
        <v>22</v>
      </c>
      <c r="E34" s="32">
        <v>1</v>
      </c>
      <c r="F34" s="32">
        <v>0</v>
      </c>
      <c r="G34" s="34" t="s">
        <v>52</v>
      </c>
      <c r="H34" s="34" t="s">
        <v>24</v>
      </c>
      <c r="I34" s="35" t="str">
        <f t="shared" si="1"/>
        <v>TDK-Lambda GEN 60-40</v>
      </c>
      <c r="J34" s="36">
        <v>1</v>
      </c>
      <c r="K34" s="36" t="str">
        <f>IF(J34&gt;=1,"Yes","No")</f>
        <v>Yes</v>
      </c>
      <c r="L34" s="37">
        <v>0</v>
      </c>
      <c r="M34" s="37" t="str">
        <f>IF(L34&gt;=1,"Yes","No")</f>
        <v>No</v>
      </c>
      <c r="N34" s="38">
        <v>0</v>
      </c>
      <c r="O34" s="38" t="str">
        <f>IF(N34&gt;=1,"Yes","No")</f>
        <v>No</v>
      </c>
      <c r="P34" s="36">
        <v>0</v>
      </c>
      <c r="Q34" s="39" t="str">
        <f>IF(P34&gt;=1,"Yes","No")</f>
        <v>No</v>
      </c>
      <c r="R34" s="32">
        <v>1</v>
      </c>
      <c r="S34" s="32">
        <v>0</v>
      </c>
      <c r="T34" s="32">
        <v>0</v>
      </c>
      <c r="U34" s="72" t="s">
        <v>59</v>
      </c>
      <c r="V34" s="41" t="s">
        <v>60</v>
      </c>
    </row>
    <row r="35" spans="1:22" ht="15" thickBot="1" x14ac:dyDescent="0.35">
      <c r="A35">
        <v>50</v>
      </c>
      <c r="B35" s="18">
        <v>2</v>
      </c>
      <c r="C35" s="19">
        <v>0</v>
      </c>
      <c r="D35" s="19" t="s">
        <v>22</v>
      </c>
      <c r="E35" s="19">
        <v>0</v>
      </c>
      <c r="F35" s="19">
        <v>1</v>
      </c>
      <c r="G35" s="43" t="s">
        <v>52</v>
      </c>
      <c r="H35" s="43" t="s">
        <v>24</v>
      </c>
      <c r="I35" s="44" t="str">
        <f t="shared" si="1"/>
        <v>TDK-Lambda GEN 60-40</v>
      </c>
      <c r="J35" s="23">
        <v>0</v>
      </c>
      <c r="K35" s="23" t="str">
        <f>IF(J35&gt;=1,"Yes","No")</f>
        <v>No</v>
      </c>
      <c r="L35" s="24">
        <v>0</v>
      </c>
      <c r="M35" s="24" t="str">
        <f>IF(L35&gt;=1,"Yes","No")</f>
        <v>No</v>
      </c>
      <c r="N35" s="25">
        <v>0</v>
      </c>
      <c r="O35" s="25" t="str">
        <f>IF(N35&gt;=1,"Yes","No")</f>
        <v>No</v>
      </c>
      <c r="P35" s="23">
        <v>0</v>
      </c>
      <c r="Q35" s="26" t="str">
        <f>IF(P35&gt;=1,"Yes","No")</f>
        <v>No</v>
      </c>
      <c r="R35" s="19">
        <v>0</v>
      </c>
      <c r="S35" s="19">
        <v>0</v>
      </c>
      <c r="T35" s="19">
        <v>0</v>
      </c>
      <c r="U35" s="73" t="s">
        <v>59</v>
      </c>
      <c r="V35" s="46" t="s">
        <v>60</v>
      </c>
    </row>
    <row r="36" spans="1:22" ht="15" thickTop="1" x14ac:dyDescent="0.3">
      <c r="A36">
        <v>51</v>
      </c>
      <c r="B36" s="8">
        <v>1</v>
      </c>
      <c r="C36" s="9">
        <v>1</v>
      </c>
      <c r="D36" s="9" t="s">
        <v>22</v>
      </c>
      <c r="E36" s="9">
        <v>1</v>
      </c>
      <c r="F36" s="9">
        <v>0</v>
      </c>
      <c r="G36" s="28" t="s">
        <v>52</v>
      </c>
      <c r="H36" s="28" t="s">
        <v>24</v>
      </c>
      <c r="I36" s="13" t="str">
        <f t="shared" si="1"/>
        <v>TDK-Lambda GEN 60-40</v>
      </c>
      <c r="J36" s="14">
        <v>1</v>
      </c>
      <c r="K36" s="14" t="str">
        <f>IF(J36&gt;=1,"Yes","No")</f>
        <v>Yes</v>
      </c>
      <c r="L36" s="15">
        <v>0</v>
      </c>
      <c r="M36" s="15" t="str">
        <f>IF(L36&gt;=1,"Yes","No")</f>
        <v>No</v>
      </c>
      <c r="N36" s="16">
        <v>0</v>
      </c>
      <c r="O36" s="16" t="str">
        <f>IF(N36&gt;=1,"Yes","No")</f>
        <v>No</v>
      </c>
      <c r="P36" s="14">
        <v>0</v>
      </c>
      <c r="Q36" s="17" t="str">
        <f>IF(P36&gt;=1,"Yes","No")</f>
        <v>No</v>
      </c>
      <c r="R36" s="9">
        <v>1</v>
      </c>
      <c r="S36" s="9">
        <v>0</v>
      </c>
      <c r="T36" s="9">
        <v>0</v>
      </c>
      <c r="U36" s="29" t="s">
        <v>61</v>
      </c>
      <c r="V36" s="30" t="s">
        <v>62</v>
      </c>
    </row>
    <row r="37" spans="1:22" x14ac:dyDescent="0.3">
      <c r="A37">
        <v>51</v>
      </c>
      <c r="B37" s="31">
        <v>1</v>
      </c>
      <c r="C37" s="32">
        <v>0</v>
      </c>
      <c r="D37" s="32" t="s">
        <v>22</v>
      </c>
      <c r="E37" s="32">
        <v>0</v>
      </c>
      <c r="F37" s="32">
        <v>1</v>
      </c>
      <c r="G37" s="34" t="s">
        <v>52</v>
      </c>
      <c r="H37" s="34" t="s">
        <v>24</v>
      </c>
      <c r="I37" s="35" t="str">
        <f t="shared" si="1"/>
        <v>TDK-Lambda GEN 60-40</v>
      </c>
      <c r="J37" s="36">
        <v>0</v>
      </c>
      <c r="K37" s="36" t="str">
        <f>IF(J37&gt;=1,"Yes","No")</f>
        <v>No</v>
      </c>
      <c r="L37" s="37">
        <v>0</v>
      </c>
      <c r="M37" s="37" t="str">
        <f>IF(L37&gt;=1,"Yes","No")</f>
        <v>No</v>
      </c>
      <c r="N37" s="38">
        <v>0</v>
      </c>
      <c r="O37" s="38" t="str">
        <f>IF(N37&gt;=1,"Yes","No")</f>
        <v>No</v>
      </c>
      <c r="P37" s="36">
        <v>0</v>
      </c>
      <c r="Q37" s="39" t="str">
        <f>IF(P37&gt;=1,"Yes","No")</f>
        <v>No</v>
      </c>
      <c r="R37" s="32">
        <v>0</v>
      </c>
      <c r="S37" s="32">
        <v>0</v>
      </c>
      <c r="T37" s="32">
        <v>0</v>
      </c>
      <c r="U37" s="40" t="s">
        <v>61</v>
      </c>
      <c r="V37" s="41" t="s">
        <v>62</v>
      </c>
    </row>
    <row r="38" spans="1:22" x14ac:dyDescent="0.3">
      <c r="A38">
        <v>51</v>
      </c>
      <c r="B38" s="31">
        <v>2</v>
      </c>
      <c r="C38" s="32">
        <v>1</v>
      </c>
      <c r="D38" s="32" t="s">
        <v>22</v>
      </c>
      <c r="E38" s="32">
        <v>1</v>
      </c>
      <c r="F38" s="32">
        <v>0</v>
      </c>
      <c r="G38" s="34" t="s">
        <v>52</v>
      </c>
      <c r="H38" s="34" t="s">
        <v>24</v>
      </c>
      <c r="I38" s="35" t="str">
        <f t="shared" si="1"/>
        <v>TDK-Lambda GEN 60-40</v>
      </c>
      <c r="J38" s="36">
        <v>1</v>
      </c>
      <c r="K38" s="36" t="str">
        <f>IF(J38&gt;=1,"Yes","No")</f>
        <v>Yes</v>
      </c>
      <c r="L38" s="37">
        <v>0</v>
      </c>
      <c r="M38" s="37" t="str">
        <f>IF(L38&gt;=1,"Yes","No")</f>
        <v>No</v>
      </c>
      <c r="N38" s="38">
        <v>0</v>
      </c>
      <c r="O38" s="38" t="str">
        <f>IF(N38&gt;=1,"Yes","No")</f>
        <v>No</v>
      </c>
      <c r="P38" s="36">
        <v>0</v>
      </c>
      <c r="Q38" s="39" t="str">
        <f>IF(P38&gt;=1,"Yes","No")</f>
        <v>No</v>
      </c>
      <c r="R38" s="32">
        <v>1</v>
      </c>
      <c r="S38" s="32">
        <v>0</v>
      </c>
      <c r="T38" s="32">
        <v>0</v>
      </c>
      <c r="U38" s="40" t="s">
        <v>63</v>
      </c>
      <c r="V38" s="41" t="s">
        <v>64</v>
      </c>
    </row>
    <row r="39" spans="1:22" ht="15" thickBot="1" x14ac:dyDescent="0.35">
      <c r="A39">
        <v>51</v>
      </c>
      <c r="B39" s="18">
        <v>2</v>
      </c>
      <c r="C39" s="19">
        <v>0</v>
      </c>
      <c r="D39" s="19" t="s">
        <v>22</v>
      </c>
      <c r="E39" s="19">
        <v>0</v>
      </c>
      <c r="F39" s="19">
        <v>1</v>
      </c>
      <c r="G39" s="43" t="s">
        <v>52</v>
      </c>
      <c r="H39" s="43" t="s">
        <v>24</v>
      </c>
      <c r="I39" s="44" t="str">
        <f t="shared" si="1"/>
        <v>TDK-Lambda GEN 60-40</v>
      </c>
      <c r="J39" s="23">
        <v>0</v>
      </c>
      <c r="K39" s="23" t="str">
        <f>IF(J39&gt;=1,"Yes","No")</f>
        <v>No</v>
      </c>
      <c r="L39" s="24">
        <v>0</v>
      </c>
      <c r="M39" s="24" t="str">
        <f>IF(L39&gt;=1,"Yes","No")</f>
        <v>No</v>
      </c>
      <c r="N39" s="25">
        <v>0</v>
      </c>
      <c r="O39" s="25" t="str">
        <f>IF(N39&gt;=1,"Yes","No")</f>
        <v>No</v>
      </c>
      <c r="P39" s="23">
        <v>0</v>
      </c>
      <c r="Q39" s="26" t="str">
        <f>IF(P39&gt;=1,"Yes","No")</f>
        <v>No</v>
      </c>
      <c r="R39" s="19">
        <v>0</v>
      </c>
      <c r="S39" s="19">
        <v>0</v>
      </c>
      <c r="T39" s="19">
        <v>0</v>
      </c>
      <c r="U39" s="45" t="s">
        <v>63</v>
      </c>
      <c r="V39" s="46" t="s">
        <v>64</v>
      </c>
    </row>
    <row r="40" spans="1:22" ht="15" thickTop="1" x14ac:dyDescent="0.3">
      <c r="A40">
        <v>52</v>
      </c>
      <c r="B40" s="8">
        <v>1</v>
      </c>
      <c r="C40" s="9">
        <v>1</v>
      </c>
      <c r="D40" s="9" t="s">
        <v>22</v>
      </c>
      <c r="E40" s="9">
        <v>1</v>
      </c>
      <c r="F40" s="9">
        <v>0</v>
      </c>
      <c r="G40" s="28" t="s">
        <v>52</v>
      </c>
      <c r="H40" s="28" t="s">
        <v>24</v>
      </c>
      <c r="I40" s="13" t="str">
        <f t="shared" si="1"/>
        <v>TDK-Lambda GEN 60-40</v>
      </c>
      <c r="J40" s="14">
        <v>1</v>
      </c>
      <c r="K40" s="14" t="str">
        <f>IF(J40&gt;=1,"Yes","No")</f>
        <v>Yes</v>
      </c>
      <c r="L40" s="15">
        <v>0</v>
      </c>
      <c r="M40" s="15" t="str">
        <f>IF(L40&gt;=1,"Yes","No")</f>
        <v>No</v>
      </c>
      <c r="N40" s="16">
        <v>0</v>
      </c>
      <c r="O40" s="16" t="str">
        <f>IF(N40&gt;=1,"Yes","No")</f>
        <v>No</v>
      </c>
      <c r="P40" s="14">
        <v>0</v>
      </c>
      <c r="Q40" s="17" t="str">
        <f>IF(P40&gt;=1,"Yes","No")</f>
        <v>No</v>
      </c>
      <c r="R40" s="9">
        <v>1</v>
      </c>
      <c r="S40" s="9">
        <v>0</v>
      </c>
      <c r="T40" s="9">
        <v>0</v>
      </c>
      <c r="U40" s="29" t="s">
        <v>65</v>
      </c>
      <c r="V40" s="74" t="s">
        <v>66</v>
      </c>
    </row>
    <row r="41" spans="1:22" x14ac:dyDescent="0.3">
      <c r="A41">
        <v>52</v>
      </c>
      <c r="B41" s="31">
        <v>1</v>
      </c>
      <c r="C41" s="32">
        <v>0</v>
      </c>
      <c r="D41" s="32" t="s">
        <v>22</v>
      </c>
      <c r="E41" s="32">
        <v>0</v>
      </c>
      <c r="F41" s="32">
        <v>1</v>
      </c>
      <c r="G41" s="34" t="s">
        <v>52</v>
      </c>
      <c r="H41" s="34" t="s">
        <v>24</v>
      </c>
      <c r="I41" s="35" t="str">
        <f t="shared" si="1"/>
        <v>TDK-Lambda GEN 60-40</v>
      </c>
      <c r="J41" s="36">
        <v>0</v>
      </c>
      <c r="K41" s="36" t="str">
        <f>IF(J41&gt;=1,"Yes","No")</f>
        <v>No</v>
      </c>
      <c r="L41" s="37">
        <v>0</v>
      </c>
      <c r="M41" s="37" t="str">
        <f>IF(L41&gt;=1,"Yes","No")</f>
        <v>No</v>
      </c>
      <c r="N41" s="38">
        <v>0</v>
      </c>
      <c r="O41" s="38" t="str">
        <f>IF(N41&gt;=1,"Yes","No")</f>
        <v>No</v>
      </c>
      <c r="P41" s="36">
        <v>0</v>
      </c>
      <c r="Q41" s="39" t="str">
        <f>IF(P41&gt;=1,"Yes","No")</f>
        <v>No</v>
      </c>
      <c r="R41" s="32">
        <v>0</v>
      </c>
      <c r="S41" s="32">
        <v>0</v>
      </c>
      <c r="T41" s="32">
        <v>0</v>
      </c>
      <c r="U41" s="40" t="s">
        <v>65</v>
      </c>
      <c r="V41" s="75" t="s">
        <v>66</v>
      </c>
    </row>
    <row r="42" spans="1:22" x14ac:dyDescent="0.3">
      <c r="A42">
        <v>52</v>
      </c>
      <c r="B42" s="31">
        <v>2</v>
      </c>
      <c r="C42" s="32">
        <v>1</v>
      </c>
      <c r="D42" s="32" t="s">
        <v>22</v>
      </c>
      <c r="E42" s="32">
        <v>1</v>
      </c>
      <c r="F42" s="32">
        <v>0</v>
      </c>
      <c r="G42" s="34" t="s">
        <v>52</v>
      </c>
      <c r="H42" s="34" t="s">
        <v>24</v>
      </c>
      <c r="I42" s="35" t="str">
        <f t="shared" si="1"/>
        <v>TDK-Lambda GEN 60-40</v>
      </c>
      <c r="J42" s="36">
        <v>1</v>
      </c>
      <c r="K42" s="36" t="str">
        <f>IF(J42&gt;=1,"Yes","No")</f>
        <v>Yes</v>
      </c>
      <c r="L42" s="37">
        <v>0</v>
      </c>
      <c r="M42" s="37" t="str">
        <f>IF(L42&gt;=1,"Yes","No")</f>
        <v>No</v>
      </c>
      <c r="N42" s="38">
        <v>0</v>
      </c>
      <c r="O42" s="38" t="str">
        <f>IF(N42&gt;=1,"Yes","No")</f>
        <v>No</v>
      </c>
      <c r="P42" s="36">
        <v>0</v>
      </c>
      <c r="Q42" s="39" t="str">
        <f>IF(P42&gt;=1,"Yes","No")</f>
        <v>No</v>
      </c>
      <c r="R42" s="32">
        <v>1</v>
      </c>
      <c r="S42" s="32">
        <v>0</v>
      </c>
      <c r="T42" s="32">
        <v>0</v>
      </c>
      <c r="U42" s="40" t="s">
        <v>67</v>
      </c>
      <c r="V42" s="75" t="s">
        <v>68</v>
      </c>
    </row>
    <row r="43" spans="1:22" ht="15" thickBot="1" x14ac:dyDescent="0.35">
      <c r="A43">
        <v>52</v>
      </c>
      <c r="B43" s="18">
        <v>2</v>
      </c>
      <c r="C43" s="19">
        <v>0</v>
      </c>
      <c r="D43" s="19" t="s">
        <v>22</v>
      </c>
      <c r="E43" s="19">
        <v>0</v>
      </c>
      <c r="F43" s="19">
        <v>1</v>
      </c>
      <c r="G43" s="43" t="s">
        <v>52</v>
      </c>
      <c r="H43" s="43" t="s">
        <v>24</v>
      </c>
      <c r="I43" s="44" t="str">
        <f t="shared" si="1"/>
        <v>TDK-Lambda GEN 60-40</v>
      </c>
      <c r="J43" s="23">
        <v>0</v>
      </c>
      <c r="K43" s="23" t="str">
        <f>IF(J43&gt;=1,"Yes","No")</f>
        <v>No</v>
      </c>
      <c r="L43" s="24">
        <v>0</v>
      </c>
      <c r="M43" s="24" t="str">
        <f>IF(L43&gt;=1,"Yes","No")</f>
        <v>No</v>
      </c>
      <c r="N43" s="25">
        <v>0</v>
      </c>
      <c r="O43" s="25" t="str">
        <f>IF(N43&gt;=1,"Yes","No")</f>
        <v>No</v>
      </c>
      <c r="P43" s="23">
        <v>0</v>
      </c>
      <c r="Q43" s="26" t="str">
        <f>IF(P43&gt;=1,"Yes","No")</f>
        <v>No</v>
      </c>
      <c r="R43" s="19">
        <v>0</v>
      </c>
      <c r="S43" s="19">
        <v>0</v>
      </c>
      <c r="T43" s="19">
        <v>0</v>
      </c>
      <c r="U43" s="45" t="s">
        <v>67</v>
      </c>
      <c r="V43" s="76" t="s">
        <v>68</v>
      </c>
    </row>
    <row r="44" spans="1:22" ht="15" thickTop="1" x14ac:dyDescent="0.3">
      <c r="A44">
        <v>53</v>
      </c>
      <c r="B44" s="77">
        <v>1</v>
      </c>
      <c r="C44" s="78">
        <v>1</v>
      </c>
      <c r="D44" s="78" t="s">
        <v>22</v>
      </c>
      <c r="E44" s="78">
        <v>1</v>
      </c>
      <c r="F44" s="78">
        <v>0</v>
      </c>
      <c r="G44" s="28" t="s">
        <v>52</v>
      </c>
      <c r="H44" s="28" t="s">
        <v>24</v>
      </c>
      <c r="I44" s="79" t="str">
        <f t="shared" si="1"/>
        <v>TDK-Lambda GEN 60-40</v>
      </c>
      <c r="J44" s="80">
        <v>1</v>
      </c>
      <c r="K44" s="80" t="str">
        <f>IF(J44&gt;=1,"Yes","No")</f>
        <v>Yes</v>
      </c>
      <c r="L44" s="81">
        <v>0</v>
      </c>
      <c r="M44" s="81" t="str">
        <f>IF(L44&gt;=1,"Yes","No")</f>
        <v>No</v>
      </c>
      <c r="N44" s="82">
        <v>0</v>
      </c>
      <c r="O44" s="82" t="str">
        <f>IF(N44&gt;=1,"Yes","No")</f>
        <v>No</v>
      </c>
      <c r="P44" s="80">
        <v>0</v>
      </c>
      <c r="Q44" s="83" t="str">
        <f>IF(P44&gt;=1,"Yes","No")</f>
        <v>No</v>
      </c>
      <c r="R44" s="78">
        <v>1</v>
      </c>
      <c r="S44" s="78">
        <v>0</v>
      </c>
      <c r="T44" s="78">
        <v>0</v>
      </c>
      <c r="U44" s="84" t="s">
        <v>69</v>
      </c>
      <c r="V44" s="85" t="s">
        <v>70</v>
      </c>
    </row>
    <row r="45" spans="1:22" x14ac:dyDescent="0.3">
      <c r="A45">
        <v>53</v>
      </c>
      <c r="B45" s="31">
        <v>1</v>
      </c>
      <c r="C45" s="32">
        <v>0</v>
      </c>
      <c r="D45" s="32" t="s">
        <v>22</v>
      </c>
      <c r="E45" s="32">
        <v>0</v>
      </c>
      <c r="F45" s="32">
        <v>1</v>
      </c>
      <c r="G45" s="34" t="s">
        <v>52</v>
      </c>
      <c r="H45" s="34" t="s">
        <v>24</v>
      </c>
      <c r="I45" s="35" t="str">
        <f t="shared" si="1"/>
        <v>TDK-Lambda GEN 60-40</v>
      </c>
      <c r="J45" s="36">
        <v>0</v>
      </c>
      <c r="K45" s="36" t="str">
        <f>IF(J45&gt;=1,"Yes","No")</f>
        <v>No</v>
      </c>
      <c r="L45" s="37">
        <v>0</v>
      </c>
      <c r="M45" s="37" t="str">
        <f>IF(L45&gt;=1,"Yes","No")</f>
        <v>No</v>
      </c>
      <c r="N45" s="38">
        <v>0</v>
      </c>
      <c r="O45" s="38" t="str">
        <f>IF(N45&gt;=1,"Yes","No")</f>
        <v>No</v>
      </c>
      <c r="P45" s="36">
        <v>0</v>
      </c>
      <c r="Q45" s="39" t="str">
        <f>IF(P45&gt;=1,"Yes","No")</f>
        <v>No</v>
      </c>
      <c r="R45" s="32">
        <v>0</v>
      </c>
      <c r="S45" s="32">
        <v>0</v>
      </c>
      <c r="T45" s="32">
        <v>0</v>
      </c>
      <c r="U45" s="40" t="s">
        <v>69</v>
      </c>
      <c r="V45" s="41" t="s">
        <v>70</v>
      </c>
    </row>
    <row r="46" spans="1:22" x14ac:dyDescent="0.3">
      <c r="A46">
        <v>53</v>
      </c>
      <c r="B46" s="31">
        <v>2</v>
      </c>
      <c r="C46" s="32">
        <v>1</v>
      </c>
      <c r="D46" s="32" t="s">
        <v>22</v>
      </c>
      <c r="E46" s="32">
        <v>1</v>
      </c>
      <c r="F46" s="32">
        <v>0</v>
      </c>
      <c r="G46" s="34" t="s">
        <v>52</v>
      </c>
      <c r="H46" s="34" t="s">
        <v>24</v>
      </c>
      <c r="I46" s="35" t="str">
        <f t="shared" si="1"/>
        <v>TDK-Lambda GEN 60-40</v>
      </c>
      <c r="J46" s="36">
        <v>1</v>
      </c>
      <c r="K46" s="36" t="str">
        <f>IF(J46&gt;=1,"Yes","No")</f>
        <v>Yes</v>
      </c>
      <c r="L46" s="37">
        <v>0</v>
      </c>
      <c r="M46" s="37" t="str">
        <f>IF(L46&gt;=1,"Yes","No")</f>
        <v>No</v>
      </c>
      <c r="N46" s="38">
        <v>0</v>
      </c>
      <c r="O46" s="38" t="str">
        <f>IF(N46&gt;=1,"Yes","No")</f>
        <v>No</v>
      </c>
      <c r="P46" s="36">
        <v>0</v>
      </c>
      <c r="Q46" s="39" t="str">
        <f>IF(P46&gt;=1,"Yes","No")</f>
        <v>No</v>
      </c>
      <c r="R46" s="32">
        <v>1</v>
      </c>
      <c r="S46" s="32">
        <v>0</v>
      </c>
      <c r="T46" s="32">
        <v>0</v>
      </c>
      <c r="U46" s="40" t="s">
        <v>71</v>
      </c>
      <c r="V46" s="41" t="s">
        <v>72</v>
      </c>
    </row>
    <row r="47" spans="1:22" ht="15" thickBot="1" x14ac:dyDescent="0.35">
      <c r="A47">
        <v>53</v>
      </c>
      <c r="B47" s="18">
        <v>2</v>
      </c>
      <c r="C47" s="19">
        <v>0</v>
      </c>
      <c r="D47" s="19" t="s">
        <v>22</v>
      </c>
      <c r="E47" s="19">
        <v>0</v>
      </c>
      <c r="F47" s="19">
        <v>1</v>
      </c>
      <c r="G47" s="43" t="s">
        <v>52</v>
      </c>
      <c r="H47" s="43" t="s">
        <v>24</v>
      </c>
      <c r="I47" s="44" t="str">
        <f t="shared" si="1"/>
        <v>TDK-Lambda GEN 60-40</v>
      </c>
      <c r="J47" s="23">
        <v>0</v>
      </c>
      <c r="K47" s="23" t="str">
        <f>IF(J47&gt;=1,"Yes","No")</f>
        <v>No</v>
      </c>
      <c r="L47" s="24">
        <v>0</v>
      </c>
      <c r="M47" s="24" t="str">
        <f>IF(L47&gt;=1,"Yes","No")</f>
        <v>No</v>
      </c>
      <c r="N47" s="25">
        <v>0</v>
      </c>
      <c r="O47" s="25" t="str">
        <f>IF(N47&gt;=1,"Yes","No")</f>
        <v>No</v>
      </c>
      <c r="P47" s="23">
        <v>0</v>
      </c>
      <c r="Q47" s="26" t="str">
        <f>IF(P47&gt;=1,"Yes","No")</f>
        <v>No</v>
      </c>
      <c r="R47" s="19">
        <v>0</v>
      </c>
      <c r="S47" s="19">
        <v>0</v>
      </c>
      <c r="T47" s="86">
        <v>0</v>
      </c>
      <c r="U47" s="40" t="s">
        <v>71</v>
      </c>
      <c r="V47" s="41" t="s">
        <v>72</v>
      </c>
    </row>
    <row r="48" spans="1:22" ht="15" thickTop="1" x14ac:dyDescent="0.3">
      <c r="A48">
        <v>54</v>
      </c>
      <c r="B48" s="8">
        <v>1</v>
      </c>
      <c r="C48" s="9">
        <v>1</v>
      </c>
      <c r="D48" s="9" t="s">
        <v>22</v>
      </c>
      <c r="E48" s="9">
        <v>0</v>
      </c>
      <c r="F48" s="9">
        <v>1</v>
      </c>
      <c r="G48" s="28"/>
      <c r="H48" s="28" t="str">
        <f t="shared" ref="H48:H70" si="2">IF(F48=0,"0","84 A")</f>
        <v>84 A</v>
      </c>
      <c r="I48" s="13" t="str">
        <f t="shared" si="1"/>
        <v>AmeTek XG 20-84</v>
      </c>
      <c r="J48" s="14">
        <v>1</v>
      </c>
      <c r="K48" s="14" t="str">
        <f>IF(J48&gt;=1,"Yes","No")</f>
        <v>Yes</v>
      </c>
      <c r="L48" s="15">
        <v>0</v>
      </c>
      <c r="M48" s="15" t="str">
        <f>IF(L48&gt;=1,"Yes","No")</f>
        <v>No</v>
      </c>
      <c r="N48" s="16">
        <v>0</v>
      </c>
      <c r="O48" s="16" t="str">
        <f>IF(N48&gt;=1,"Yes","No")</f>
        <v>No</v>
      </c>
      <c r="P48" s="14">
        <v>0</v>
      </c>
      <c r="Q48" s="17" t="str">
        <f>IF(P48&gt;=1,"Yes","No")</f>
        <v>No</v>
      </c>
      <c r="R48" s="9">
        <v>1</v>
      </c>
      <c r="S48" s="9">
        <v>0</v>
      </c>
      <c r="T48" s="78">
        <v>0</v>
      </c>
      <c r="U48" s="40" t="s">
        <v>73</v>
      </c>
      <c r="V48" s="41" t="s">
        <v>74</v>
      </c>
    </row>
    <row r="49" spans="1:22" ht="15" thickBot="1" x14ac:dyDescent="0.35">
      <c r="A49">
        <v>54</v>
      </c>
      <c r="B49" s="18">
        <v>2</v>
      </c>
      <c r="C49" s="19">
        <v>1</v>
      </c>
      <c r="D49" s="19" t="s">
        <v>22</v>
      </c>
      <c r="E49" s="19">
        <v>0</v>
      </c>
      <c r="F49" s="19">
        <v>1</v>
      </c>
      <c r="G49" s="43"/>
      <c r="H49" s="43" t="s">
        <v>24</v>
      </c>
      <c r="I49" s="44" t="str">
        <f t="shared" si="1"/>
        <v>AmeTek XG 20-84</v>
      </c>
      <c r="J49" s="23">
        <v>1</v>
      </c>
      <c r="K49" s="23" t="str">
        <f>IF(J49&gt;=1,"Yes","No")</f>
        <v>Yes</v>
      </c>
      <c r="L49" s="24">
        <v>0</v>
      </c>
      <c r="M49" s="24" t="str">
        <f>IF(L49&gt;=1,"Yes","No")</f>
        <v>No</v>
      </c>
      <c r="N49" s="25">
        <v>0</v>
      </c>
      <c r="O49" s="25" t="str">
        <f>IF(N49&gt;=1,"Yes","No")</f>
        <v>No</v>
      </c>
      <c r="P49" s="23">
        <v>0</v>
      </c>
      <c r="Q49" s="26" t="str">
        <f>IF(P49&gt;=1,"Yes","No")</f>
        <v>No</v>
      </c>
      <c r="R49" s="19">
        <v>1</v>
      </c>
      <c r="S49" s="19">
        <v>0</v>
      </c>
      <c r="T49" s="86">
        <v>0</v>
      </c>
      <c r="U49" s="40" t="s">
        <v>75</v>
      </c>
      <c r="V49" s="41" t="s">
        <v>76</v>
      </c>
    </row>
    <row r="50" spans="1:22" ht="15" thickTop="1" x14ac:dyDescent="0.3">
      <c r="A50">
        <v>55</v>
      </c>
      <c r="B50" s="8">
        <v>1</v>
      </c>
      <c r="C50" s="9">
        <v>1</v>
      </c>
      <c r="D50" s="9" t="s">
        <v>22</v>
      </c>
      <c r="E50" s="9">
        <v>0</v>
      </c>
      <c r="F50" s="9">
        <v>1</v>
      </c>
      <c r="G50" s="28"/>
      <c r="H50" s="28" t="str">
        <f t="shared" si="2"/>
        <v>84 A</v>
      </c>
      <c r="I50" s="13" t="str">
        <f t="shared" si="1"/>
        <v>AmeTek XG 20-84</v>
      </c>
      <c r="J50" s="14">
        <v>1</v>
      </c>
      <c r="K50" s="14" t="str">
        <f>IF(J50&gt;=1,"Yes","No")</f>
        <v>Yes</v>
      </c>
      <c r="L50" s="15">
        <v>1</v>
      </c>
      <c r="M50" s="15" t="str">
        <f>IF(L50&gt;=1,"Yes","No")</f>
        <v>Yes</v>
      </c>
      <c r="N50" s="16">
        <v>0</v>
      </c>
      <c r="O50" s="16" t="str">
        <f>IF(N50&gt;=1,"Yes","No")</f>
        <v>No</v>
      </c>
      <c r="P50" s="14">
        <v>0</v>
      </c>
      <c r="Q50" s="17" t="str">
        <f>IF(P50&gt;=1,"Yes","No")</f>
        <v>No</v>
      </c>
      <c r="R50" s="9">
        <v>1</v>
      </c>
      <c r="S50" s="9">
        <v>0</v>
      </c>
      <c r="T50" s="78">
        <v>0</v>
      </c>
      <c r="U50" s="40" t="s">
        <v>77</v>
      </c>
      <c r="V50" s="41" t="s">
        <v>78</v>
      </c>
    </row>
    <row r="51" spans="1:22" x14ac:dyDescent="0.3">
      <c r="A51">
        <v>55</v>
      </c>
      <c r="B51" s="31">
        <v>2</v>
      </c>
      <c r="C51" s="32">
        <v>1</v>
      </c>
      <c r="D51" s="32" t="s">
        <v>22</v>
      </c>
      <c r="E51" s="32">
        <v>0</v>
      </c>
      <c r="F51" s="32">
        <v>0</v>
      </c>
      <c r="G51" s="34"/>
      <c r="H51" s="34" t="s">
        <v>24</v>
      </c>
      <c r="I51" s="35" t="str">
        <f t="shared" si="1"/>
        <v>AmeTek XG 20-84</v>
      </c>
      <c r="J51" s="36">
        <v>0</v>
      </c>
      <c r="K51" s="36" t="str">
        <f>IF(J51&gt;=1,"Yes","No")</f>
        <v>No</v>
      </c>
      <c r="L51" s="37">
        <v>1</v>
      </c>
      <c r="M51" s="37" t="str">
        <f>IF(L51&gt;=1,"Yes","No")</f>
        <v>Yes</v>
      </c>
      <c r="N51" s="38">
        <v>0</v>
      </c>
      <c r="O51" s="38" t="str">
        <f>IF(N51&gt;=1,"Yes","No")</f>
        <v>No</v>
      </c>
      <c r="P51" s="36">
        <v>0</v>
      </c>
      <c r="Q51" s="39" t="str">
        <f>IF(P51&gt;=1,"Yes","No")</f>
        <v>No</v>
      </c>
      <c r="R51" s="32">
        <v>1</v>
      </c>
      <c r="S51" s="32">
        <v>0</v>
      </c>
      <c r="T51" s="32">
        <v>0</v>
      </c>
      <c r="U51" s="40" t="s">
        <v>79</v>
      </c>
      <c r="V51" s="41" t="s">
        <v>80</v>
      </c>
    </row>
    <row r="52" spans="1:22" x14ac:dyDescent="0.3">
      <c r="A52">
        <v>55</v>
      </c>
      <c r="B52" s="31">
        <v>3</v>
      </c>
      <c r="C52" s="32">
        <v>1</v>
      </c>
      <c r="D52" s="32" t="s">
        <v>22</v>
      </c>
      <c r="E52" s="32">
        <v>0</v>
      </c>
      <c r="F52" s="32">
        <v>0</v>
      </c>
      <c r="G52" s="34"/>
      <c r="H52" s="34" t="s">
        <v>24</v>
      </c>
      <c r="I52" s="35" t="str">
        <f t="shared" si="1"/>
        <v>AmeTek XG 20-84</v>
      </c>
      <c r="J52" s="36">
        <v>1</v>
      </c>
      <c r="K52" s="36" t="str">
        <f>IF(J52&gt;=1,"Yes","No")</f>
        <v>Yes</v>
      </c>
      <c r="L52" s="37">
        <v>1</v>
      </c>
      <c r="M52" s="37" t="str">
        <f>IF(L52&gt;=1,"Yes","No")</f>
        <v>Yes</v>
      </c>
      <c r="N52" s="38">
        <v>0</v>
      </c>
      <c r="O52" s="38" t="str">
        <f>IF(N52&gt;=1,"Yes","No")</f>
        <v>No</v>
      </c>
      <c r="P52" s="36">
        <v>0</v>
      </c>
      <c r="Q52" s="39" t="str">
        <f>IF(P52&gt;=1,"Yes","No")</f>
        <v>No</v>
      </c>
      <c r="R52" s="32">
        <v>1</v>
      </c>
      <c r="S52" s="32">
        <v>0</v>
      </c>
      <c r="T52" s="32">
        <v>0</v>
      </c>
      <c r="U52" s="40" t="s">
        <v>81</v>
      </c>
      <c r="V52" s="41" t="s">
        <v>82</v>
      </c>
    </row>
    <row r="53" spans="1:22" ht="15" thickBot="1" x14ac:dyDescent="0.35">
      <c r="A53">
        <v>55</v>
      </c>
      <c r="B53" s="18">
        <v>4</v>
      </c>
      <c r="C53" s="19">
        <v>1</v>
      </c>
      <c r="D53" s="19" t="s">
        <v>22</v>
      </c>
      <c r="E53" s="19">
        <v>0</v>
      </c>
      <c r="F53" s="19">
        <v>1</v>
      </c>
      <c r="G53" s="43"/>
      <c r="H53" s="43" t="s">
        <v>24</v>
      </c>
      <c r="I53" s="44" t="str">
        <f t="shared" si="1"/>
        <v>AmeTek XG 20-84</v>
      </c>
      <c r="J53" s="23">
        <v>0</v>
      </c>
      <c r="K53" s="23" t="str">
        <f>IF(J53&gt;=1,"Yes","No")</f>
        <v>No</v>
      </c>
      <c r="L53" s="24">
        <v>1</v>
      </c>
      <c r="M53" s="24" t="str">
        <f>IF(L53&gt;=1,"Yes","No")</f>
        <v>Yes</v>
      </c>
      <c r="N53" s="25">
        <v>0</v>
      </c>
      <c r="O53" s="25" t="str">
        <f>IF(N53&gt;=1,"Yes","No")</f>
        <v>No</v>
      </c>
      <c r="P53" s="23">
        <v>0</v>
      </c>
      <c r="Q53" s="26" t="str">
        <f>IF(P53&gt;=1,"Yes","No")</f>
        <v>No</v>
      </c>
      <c r="R53" s="19">
        <v>1</v>
      </c>
      <c r="S53" s="19">
        <v>0</v>
      </c>
      <c r="T53" s="86">
        <v>0</v>
      </c>
      <c r="U53" s="40" t="s">
        <v>83</v>
      </c>
      <c r="V53" s="41" t="s">
        <v>84</v>
      </c>
    </row>
    <row r="54" spans="1:22" ht="15" thickTop="1" x14ac:dyDescent="0.3">
      <c r="A54">
        <v>56</v>
      </c>
      <c r="B54" s="8">
        <v>1</v>
      </c>
      <c r="C54" s="9">
        <v>1</v>
      </c>
      <c r="D54" s="9" t="s">
        <v>22</v>
      </c>
      <c r="E54" s="9">
        <v>0</v>
      </c>
      <c r="F54" s="9">
        <v>1</v>
      </c>
      <c r="G54" s="28"/>
      <c r="H54" s="28" t="str">
        <f t="shared" si="2"/>
        <v>84 A</v>
      </c>
      <c r="I54" s="13" t="str">
        <f t="shared" si="1"/>
        <v>AmeTek XG 20-84</v>
      </c>
      <c r="J54" s="14">
        <v>1</v>
      </c>
      <c r="K54" s="14" t="str">
        <f>IF(J54&gt;=1,"Yes","No")</f>
        <v>Yes</v>
      </c>
      <c r="L54" s="15">
        <v>0</v>
      </c>
      <c r="M54" s="15" t="str">
        <f>IF(L54&gt;=1,"Yes","No")</f>
        <v>No</v>
      </c>
      <c r="N54" s="16">
        <v>0</v>
      </c>
      <c r="O54" s="16" t="str">
        <f>IF(N54&gt;=1,"Yes","No")</f>
        <v>No</v>
      </c>
      <c r="P54" s="14">
        <v>0</v>
      </c>
      <c r="Q54" s="17" t="str">
        <f>IF(P54&gt;=1,"Yes","No")</f>
        <v>No</v>
      </c>
      <c r="R54" s="9">
        <v>1</v>
      </c>
      <c r="S54" s="9">
        <v>0</v>
      </c>
      <c r="T54" s="78">
        <v>0</v>
      </c>
      <c r="U54" s="40" t="s">
        <v>85</v>
      </c>
      <c r="V54" s="41" t="s">
        <v>86</v>
      </c>
    </row>
    <row r="55" spans="1:22" ht="15" thickBot="1" x14ac:dyDescent="0.35">
      <c r="A55">
        <v>56</v>
      </c>
      <c r="B55" s="18">
        <v>2</v>
      </c>
      <c r="C55" s="19">
        <v>1</v>
      </c>
      <c r="D55" s="19" t="s">
        <v>22</v>
      </c>
      <c r="E55" s="19">
        <v>0</v>
      </c>
      <c r="F55" s="19">
        <v>1</v>
      </c>
      <c r="G55" s="43"/>
      <c r="H55" s="43" t="s">
        <v>24</v>
      </c>
      <c r="I55" s="44" t="str">
        <f t="shared" si="1"/>
        <v>AmeTek XG 20-84</v>
      </c>
      <c r="J55" s="23">
        <v>1</v>
      </c>
      <c r="K55" s="23" t="str">
        <f>IF(J55&gt;=1,"Yes","No")</f>
        <v>Yes</v>
      </c>
      <c r="L55" s="24">
        <v>0</v>
      </c>
      <c r="M55" s="24" t="str">
        <f>IF(L55&gt;=1,"Yes","No")</f>
        <v>No</v>
      </c>
      <c r="N55" s="25">
        <v>0</v>
      </c>
      <c r="O55" s="25" t="str">
        <f>IF(N55&gt;=1,"Yes","No")</f>
        <v>No</v>
      </c>
      <c r="P55" s="23">
        <v>0</v>
      </c>
      <c r="Q55" s="26" t="str">
        <f>IF(P55&gt;=1,"Yes","No")</f>
        <v>No</v>
      </c>
      <c r="R55" s="19">
        <v>1</v>
      </c>
      <c r="S55" s="19">
        <v>0</v>
      </c>
      <c r="T55" s="86">
        <v>0</v>
      </c>
      <c r="U55" s="40" t="s">
        <v>87</v>
      </c>
      <c r="V55" s="41" t="s">
        <v>88</v>
      </c>
    </row>
    <row r="56" spans="1:22" ht="15" thickTop="1" x14ac:dyDescent="0.3">
      <c r="A56">
        <v>57</v>
      </c>
      <c r="B56" s="8">
        <v>1</v>
      </c>
      <c r="C56" s="9">
        <v>1</v>
      </c>
      <c r="D56" s="9" t="s">
        <v>22</v>
      </c>
      <c r="E56" s="9">
        <v>1</v>
      </c>
      <c r="F56" s="9">
        <v>0</v>
      </c>
      <c r="G56" s="28" t="s">
        <v>52</v>
      </c>
      <c r="H56" s="28" t="s">
        <v>24</v>
      </c>
      <c r="I56" s="13" t="str">
        <f t="shared" si="1"/>
        <v>TDK-Lambda GEN 60-40</v>
      </c>
      <c r="J56" s="14">
        <v>1</v>
      </c>
      <c r="K56" s="14" t="str">
        <f>IF(J56&gt;=1,"Yes","No")</f>
        <v>Yes</v>
      </c>
      <c r="L56" s="15">
        <v>0</v>
      </c>
      <c r="M56" s="15" t="str">
        <f>IF(L56&gt;=1,"Yes","No")</f>
        <v>No</v>
      </c>
      <c r="N56" s="16">
        <v>0</v>
      </c>
      <c r="O56" s="16" t="str">
        <f>IF(N56&gt;=1,"Yes","No")</f>
        <v>No</v>
      </c>
      <c r="P56" s="14">
        <v>0</v>
      </c>
      <c r="Q56" s="17" t="str">
        <f>IF(P56&gt;=1,"Yes","No")</f>
        <v>No</v>
      </c>
      <c r="R56" s="9">
        <v>1</v>
      </c>
      <c r="S56" s="9">
        <v>0</v>
      </c>
      <c r="T56" s="78">
        <v>0</v>
      </c>
      <c r="U56" s="40" t="s">
        <v>89</v>
      </c>
      <c r="V56" s="41" t="s">
        <v>90</v>
      </c>
    </row>
    <row r="57" spans="1:22" x14ac:dyDescent="0.3">
      <c r="A57">
        <v>57</v>
      </c>
      <c r="B57" s="31">
        <v>1</v>
      </c>
      <c r="C57" s="32">
        <v>0</v>
      </c>
      <c r="D57" s="32" t="s">
        <v>22</v>
      </c>
      <c r="E57" s="32">
        <v>0</v>
      </c>
      <c r="F57" s="32">
        <v>1</v>
      </c>
      <c r="G57" s="34" t="s">
        <v>52</v>
      </c>
      <c r="H57" s="34" t="s">
        <v>24</v>
      </c>
      <c r="I57" s="35" t="str">
        <f t="shared" si="1"/>
        <v>TDK-Lambda GEN 60-40</v>
      </c>
      <c r="J57" s="36">
        <v>0</v>
      </c>
      <c r="K57" s="36" t="str">
        <f>IF(J57&gt;=1,"Yes","No")</f>
        <v>No</v>
      </c>
      <c r="L57" s="37">
        <v>0</v>
      </c>
      <c r="M57" s="37" t="str">
        <f>IF(L57&gt;=1,"Yes","No")</f>
        <v>No</v>
      </c>
      <c r="N57" s="38">
        <v>0</v>
      </c>
      <c r="O57" s="38" t="str">
        <f>IF(N57&gt;=1,"Yes","No")</f>
        <v>No</v>
      </c>
      <c r="P57" s="36">
        <v>0</v>
      </c>
      <c r="Q57" s="39" t="str">
        <f>IF(P57&gt;=1,"Yes","No")</f>
        <v>No</v>
      </c>
      <c r="R57" s="32">
        <v>0</v>
      </c>
      <c r="S57" s="32">
        <v>0</v>
      </c>
      <c r="T57" s="32">
        <v>0</v>
      </c>
      <c r="U57" s="40" t="s">
        <v>89</v>
      </c>
      <c r="V57" s="41" t="s">
        <v>90</v>
      </c>
    </row>
    <row r="58" spans="1:22" x14ac:dyDescent="0.3">
      <c r="A58">
        <v>57</v>
      </c>
      <c r="B58" s="31">
        <v>2</v>
      </c>
      <c r="C58" s="32">
        <v>1</v>
      </c>
      <c r="D58" s="32" t="s">
        <v>22</v>
      </c>
      <c r="E58" s="32">
        <v>1</v>
      </c>
      <c r="F58" s="32">
        <v>0</v>
      </c>
      <c r="G58" s="34" t="s">
        <v>52</v>
      </c>
      <c r="H58" s="34" t="s">
        <v>24</v>
      </c>
      <c r="I58" s="35" t="str">
        <f t="shared" si="1"/>
        <v>TDK-Lambda GEN 60-40</v>
      </c>
      <c r="J58" s="36">
        <v>1</v>
      </c>
      <c r="K58" s="36" t="str">
        <f>IF(J58&gt;=1,"Yes","No")</f>
        <v>Yes</v>
      </c>
      <c r="L58" s="37">
        <v>0</v>
      </c>
      <c r="M58" s="37" t="str">
        <f>IF(L58&gt;=1,"Yes","No")</f>
        <v>No</v>
      </c>
      <c r="N58" s="38">
        <v>0</v>
      </c>
      <c r="O58" s="38" t="str">
        <f>IF(N58&gt;=1,"Yes","No")</f>
        <v>No</v>
      </c>
      <c r="P58" s="36">
        <v>0</v>
      </c>
      <c r="Q58" s="39" t="str">
        <f>IF(P58&gt;=1,"Yes","No")</f>
        <v>No</v>
      </c>
      <c r="R58" s="32">
        <v>1</v>
      </c>
      <c r="S58" s="32">
        <v>0</v>
      </c>
      <c r="T58" s="32">
        <v>0</v>
      </c>
      <c r="U58" s="32"/>
      <c r="V58" s="32"/>
    </row>
    <row r="59" spans="1:22" ht="15" thickBot="1" x14ac:dyDescent="0.35">
      <c r="A59">
        <v>57</v>
      </c>
      <c r="B59" s="18">
        <v>2</v>
      </c>
      <c r="C59" s="19">
        <v>0</v>
      </c>
      <c r="D59" s="19" t="s">
        <v>22</v>
      </c>
      <c r="E59" s="19">
        <v>0</v>
      </c>
      <c r="F59" s="19">
        <v>1</v>
      </c>
      <c r="G59" s="43" t="s">
        <v>52</v>
      </c>
      <c r="H59" s="43" t="s">
        <v>24</v>
      </c>
      <c r="I59" s="44" t="str">
        <f t="shared" si="1"/>
        <v>TDK-Lambda GEN 60-40</v>
      </c>
      <c r="J59" s="23">
        <v>0</v>
      </c>
      <c r="K59" s="23" t="str">
        <f>IF(J59&gt;=1,"Yes","No")</f>
        <v>No</v>
      </c>
      <c r="L59" s="24">
        <v>0</v>
      </c>
      <c r="M59" s="24" t="str">
        <f>IF(L59&gt;=1,"Yes","No")</f>
        <v>No</v>
      </c>
      <c r="N59" s="25">
        <v>0</v>
      </c>
      <c r="O59" s="25" t="str">
        <f>IF(N59&gt;=1,"Yes","No")</f>
        <v>No</v>
      </c>
      <c r="P59" s="23">
        <v>0</v>
      </c>
      <c r="Q59" s="26" t="str">
        <f>IF(P59&gt;=1,"Yes","No")</f>
        <v>No</v>
      </c>
      <c r="R59" s="19">
        <v>0</v>
      </c>
      <c r="S59" s="19">
        <v>0</v>
      </c>
      <c r="T59" s="19">
        <v>0</v>
      </c>
      <c r="U59" s="19"/>
      <c r="V59" s="19"/>
    </row>
    <row r="60" spans="1:22" ht="15" thickTop="1" x14ac:dyDescent="0.3">
      <c r="A60">
        <v>58</v>
      </c>
      <c r="B60" s="8">
        <v>1</v>
      </c>
      <c r="C60" s="9">
        <v>1</v>
      </c>
      <c r="D60" s="9" t="s">
        <v>22</v>
      </c>
      <c r="E60" s="9">
        <v>1</v>
      </c>
      <c r="F60" s="9">
        <v>0</v>
      </c>
      <c r="G60" s="28" t="s">
        <v>52</v>
      </c>
      <c r="H60" s="28" t="s">
        <v>24</v>
      </c>
      <c r="I60" s="13" t="str">
        <f t="shared" si="1"/>
        <v>TDK-Lambda GEN 60-40</v>
      </c>
      <c r="J60" s="14">
        <v>1</v>
      </c>
      <c r="K60" s="14" t="str">
        <f>IF(J60&gt;=1,"Yes","No")</f>
        <v>Yes</v>
      </c>
      <c r="L60" s="15">
        <v>0</v>
      </c>
      <c r="M60" s="15" t="str">
        <f>IF(L60&gt;=1,"Yes","No")</f>
        <v>No</v>
      </c>
      <c r="N60" s="16">
        <v>0</v>
      </c>
      <c r="O60" s="16" t="str">
        <f>IF(N60&gt;=1,"Yes","No")</f>
        <v>No</v>
      </c>
      <c r="P60" s="14">
        <v>0</v>
      </c>
      <c r="Q60" s="17" t="str">
        <f>IF(P60&gt;=1,"Yes","No")</f>
        <v>No</v>
      </c>
      <c r="R60" s="9">
        <v>1</v>
      </c>
      <c r="S60" s="9">
        <v>0</v>
      </c>
      <c r="T60" s="9">
        <v>0</v>
      </c>
      <c r="U60" s="29" t="s">
        <v>91</v>
      </c>
      <c r="V60" s="30" t="s">
        <v>92</v>
      </c>
    </row>
    <row r="61" spans="1:22" x14ac:dyDescent="0.3">
      <c r="A61">
        <v>58</v>
      </c>
      <c r="B61" s="31">
        <v>1</v>
      </c>
      <c r="C61" s="32">
        <v>0</v>
      </c>
      <c r="D61" s="32" t="s">
        <v>22</v>
      </c>
      <c r="E61" s="32">
        <v>0</v>
      </c>
      <c r="F61" s="32">
        <v>1</v>
      </c>
      <c r="G61" s="34" t="s">
        <v>52</v>
      </c>
      <c r="H61" s="34" t="s">
        <v>24</v>
      </c>
      <c r="I61" s="35" t="str">
        <f t="shared" si="1"/>
        <v>TDK-Lambda GEN 60-40</v>
      </c>
      <c r="J61" s="36">
        <v>0</v>
      </c>
      <c r="K61" s="36" t="str">
        <f>IF(J61&gt;=1,"Yes","No")</f>
        <v>No</v>
      </c>
      <c r="L61" s="37">
        <v>0</v>
      </c>
      <c r="M61" s="37" t="str">
        <f>IF(L61&gt;=1,"Yes","No")</f>
        <v>No</v>
      </c>
      <c r="N61" s="38">
        <v>0</v>
      </c>
      <c r="O61" s="38" t="str">
        <f>IF(N61&gt;=1,"Yes","No")</f>
        <v>No</v>
      </c>
      <c r="P61" s="36">
        <v>0</v>
      </c>
      <c r="Q61" s="39" t="str">
        <f>IF(P61&gt;=1,"Yes","No")</f>
        <v>No</v>
      </c>
      <c r="R61" s="32">
        <v>0</v>
      </c>
      <c r="S61" s="32">
        <v>0</v>
      </c>
      <c r="T61" s="32">
        <v>0</v>
      </c>
      <c r="U61" s="40" t="s">
        <v>91</v>
      </c>
      <c r="V61" s="41" t="s">
        <v>92</v>
      </c>
    </row>
    <row r="62" spans="1:22" x14ac:dyDescent="0.3">
      <c r="A62">
        <v>58</v>
      </c>
      <c r="B62" s="31">
        <v>2</v>
      </c>
      <c r="C62" s="32">
        <v>1</v>
      </c>
      <c r="D62" s="32" t="s">
        <v>22</v>
      </c>
      <c r="E62" s="32">
        <v>1</v>
      </c>
      <c r="F62" s="32">
        <v>0</v>
      </c>
      <c r="G62" s="34" t="s">
        <v>52</v>
      </c>
      <c r="H62" s="34" t="s">
        <v>24</v>
      </c>
      <c r="I62" s="35" t="str">
        <f t="shared" si="1"/>
        <v>TDK-Lambda GEN 60-40</v>
      </c>
      <c r="J62" s="36">
        <v>1</v>
      </c>
      <c r="K62" s="36" t="str">
        <f>IF(J62&gt;=1,"Yes","No")</f>
        <v>Yes</v>
      </c>
      <c r="L62" s="37">
        <v>0</v>
      </c>
      <c r="M62" s="37" t="str">
        <f>IF(L62&gt;=1,"Yes","No")</f>
        <v>No</v>
      </c>
      <c r="N62" s="38">
        <v>0</v>
      </c>
      <c r="O62" s="38" t="str">
        <f>IF(N62&gt;=1,"Yes","No")</f>
        <v>No</v>
      </c>
      <c r="P62" s="36">
        <v>0</v>
      </c>
      <c r="Q62" s="39" t="str">
        <f>IF(P62&gt;=1,"Yes","No")</f>
        <v>No</v>
      </c>
      <c r="R62" s="32">
        <v>1</v>
      </c>
      <c r="S62" s="32">
        <v>0</v>
      </c>
      <c r="T62" s="32">
        <v>0</v>
      </c>
      <c r="U62" s="40" t="s">
        <v>93</v>
      </c>
      <c r="V62" s="41" t="s">
        <v>94</v>
      </c>
    </row>
    <row r="63" spans="1:22" ht="15" thickBot="1" x14ac:dyDescent="0.35">
      <c r="A63">
        <v>58</v>
      </c>
      <c r="B63" s="18">
        <v>2</v>
      </c>
      <c r="C63" s="19">
        <v>0</v>
      </c>
      <c r="D63" s="19" t="s">
        <v>22</v>
      </c>
      <c r="E63" s="19">
        <v>0</v>
      </c>
      <c r="F63" s="19">
        <v>1</v>
      </c>
      <c r="G63" s="43" t="s">
        <v>52</v>
      </c>
      <c r="H63" s="43" t="s">
        <v>24</v>
      </c>
      <c r="I63" s="44" t="str">
        <f t="shared" si="1"/>
        <v>TDK-Lambda GEN 60-40</v>
      </c>
      <c r="J63" s="23">
        <v>0</v>
      </c>
      <c r="K63" s="23" t="str">
        <f>IF(J63&gt;=1,"Yes","No")</f>
        <v>No</v>
      </c>
      <c r="L63" s="24">
        <v>0</v>
      </c>
      <c r="M63" s="24" t="str">
        <f>IF(L63&gt;=1,"Yes","No")</f>
        <v>No</v>
      </c>
      <c r="N63" s="25">
        <v>0</v>
      </c>
      <c r="O63" s="25" t="str">
        <f>IF(N63&gt;=1,"Yes","No")</f>
        <v>No</v>
      </c>
      <c r="P63" s="23">
        <v>0</v>
      </c>
      <c r="Q63" s="26" t="str">
        <f>IF(P63&gt;=1,"Yes","No")</f>
        <v>No</v>
      </c>
      <c r="R63" s="19">
        <v>0</v>
      </c>
      <c r="S63" s="19">
        <v>0</v>
      </c>
      <c r="T63" s="86">
        <v>0</v>
      </c>
      <c r="U63" s="40" t="s">
        <v>93</v>
      </c>
      <c r="V63" s="41" t="s">
        <v>94</v>
      </c>
    </row>
    <row r="64" spans="1:22" ht="15" thickTop="1" x14ac:dyDescent="0.3">
      <c r="A64">
        <v>59</v>
      </c>
      <c r="B64" s="8">
        <v>1</v>
      </c>
      <c r="C64" s="9">
        <v>1</v>
      </c>
      <c r="D64" s="9" t="s">
        <v>22</v>
      </c>
      <c r="E64" s="9">
        <v>0</v>
      </c>
      <c r="F64" s="9">
        <v>0</v>
      </c>
      <c r="G64" s="28"/>
      <c r="H64" s="28" t="str">
        <f t="shared" si="2"/>
        <v>0</v>
      </c>
      <c r="I64" s="13" t="str">
        <f t="shared" si="1"/>
        <v>AmeTek XG 20-84</v>
      </c>
      <c r="J64" s="14">
        <v>1</v>
      </c>
      <c r="K64" s="14" t="str">
        <f>IF(J64&gt;=1,"Yes","No")</f>
        <v>Yes</v>
      </c>
      <c r="L64" s="15">
        <v>1</v>
      </c>
      <c r="M64" s="15" t="str">
        <f>IF(L64&gt;=1,"Yes","No")</f>
        <v>Yes</v>
      </c>
      <c r="N64" s="16">
        <v>0</v>
      </c>
      <c r="O64" s="16" t="str">
        <f>IF(N64&gt;=1,"Yes","No")</f>
        <v>No</v>
      </c>
      <c r="P64" s="14">
        <v>0</v>
      </c>
      <c r="Q64" s="17" t="str">
        <f>IF(P64&gt;=1,"Yes","No")</f>
        <v>No</v>
      </c>
      <c r="R64" s="9">
        <v>1</v>
      </c>
      <c r="S64" s="9">
        <v>0</v>
      </c>
      <c r="T64" s="78">
        <v>0</v>
      </c>
      <c r="U64" s="40" t="s">
        <v>95</v>
      </c>
      <c r="V64" s="41" t="s">
        <v>96</v>
      </c>
    </row>
    <row r="65" spans="1:22" x14ac:dyDescent="0.3">
      <c r="A65">
        <v>59</v>
      </c>
      <c r="B65" s="31">
        <v>2</v>
      </c>
      <c r="C65" s="32">
        <v>1</v>
      </c>
      <c r="D65" s="32" t="s">
        <v>22</v>
      </c>
      <c r="E65" s="32">
        <v>0</v>
      </c>
      <c r="F65" s="32">
        <v>1</v>
      </c>
      <c r="G65" s="34"/>
      <c r="H65" s="34" t="s">
        <v>24</v>
      </c>
      <c r="I65" s="35" t="str">
        <f t="shared" si="1"/>
        <v>AmeTek XG 20-84</v>
      </c>
      <c r="J65" s="36">
        <v>0</v>
      </c>
      <c r="K65" s="36" t="str">
        <f>IF(J65&gt;=1,"Yes","No")</f>
        <v>No</v>
      </c>
      <c r="L65" s="37">
        <v>1</v>
      </c>
      <c r="M65" s="37" t="str">
        <f>IF(L65&gt;=1,"Yes","No")</f>
        <v>Yes</v>
      </c>
      <c r="N65" s="38">
        <v>0</v>
      </c>
      <c r="O65" s="38" t="str">
        <f>IF(N65&gt;=1,"Yes","No")</f>
        <v>No</v>
      </c>
      <c r="P65" s="36">
        <v>0</v>
      </c>
      <c r="Q65" s="39" t="str">
        <f>IF(P65&gt;=1,"Yes","No")</f>
        <v>No</v>
      </c>
      <c r="R65" s="32">
        <v>1</v>
      </c>
      <c r="S65" s="32">
        <v>0</v>
      </c>
      <c r="T65" s="32">
        <v>0</v>
      </c>
      <c r="U65" s="40" t="s">
        <v>97</v>
      </c>
      <c r="V65" s="41" t="s">
        <v>98</v>
      </c>
    </row>
    <row r="66" spans="1:22" x14ac:dyDescent="0.3">
      <c r="A66">
        <v>59</v>
      </c>
      <c r="B66" s="31">
        <v>3</v>
      </c>
      <c r="C66" s="32">
        <v>1</v>
      </c>
      <c r="D66" s="32" t="s">
        <v>22</v>
      </c>
      <c r="E66" s="32">
        <v>0</v>
      </c>
      <c r="F66" s="32">
        <v>0</v>
      </c>
      <c r="G66" s="34"/>
      <c r="H66" s="34" t="s">
        <v>24</v>
      </c>
      <c r="I66" s="35" t="str">
        <f t="shared" si="1"/>
        <v>AmeTek XG 20-84</v>
      </c>
      <c r="J66" s="36">
        <v>1</v>
      </c>
      <c r="K66" s="36" t="str">
        <f>IF(J66&gt;=1,"Yes","No")</f>
        <v>Yes</v>
      </c>
      <c r="L66" s="37">
        <v>1</v>
      </c>
      <c r="M66" s="37" t="str">
        <f>IF(L66&gt;=1,"Yes","No")</f>
        <v>Yes</v>
      </c>
      <c r="N66" s="38">
        <v>0</v>
      </c>
      <c r="O66" s="38" t="str">
        <f>IF(N66&gt;=1,"Yes","No")</f>
        <v>No</v>
      </c>
      <c r="P66" s="36">
        <v>0</v>
      </c>
      <c r="Q66" s="39" t="str">
        <f>IF(P66&gt;=1,"Yes","No")</f>
        <v>No</v>
      </c>
      <c r="R66" s="32">
        <v>1</v>
      </c>
      <c r="S66" s="32">
        <v>0</v>
      </c>
      <c r="T66" s="32">
        <v>0</v>
      </c>
      <c r="U66" s="40" t="s">
        <v>99</v>
      </c>
      <c r="V66" s="41" t="s">
        <v>100</v>
      </c>
    </row>
    <row r="67" spans="1:22" ht="15" thickBot="1" x14ac:dyDescent="0.35">
      <c r="A67">
        <v>59</v>
      </c>
      <c r="B67" s="18">
        <v>4</v>
      </c>
      <c r="C67" s="19">
        <v>1</v>
      </c>
      <c r="D67" s="19" t="s">
        <v>22</v>
      </c>
      <c r="E67" s="19">
        <v>0</v>
      </c>
      <c r="F67" s="19">
        <v>1</v>
      </c>
      <c r="G67" s="43"/>
      <c r="H67" s="43" t="s">
        <v>24</v>
      </c>
      <c r="I67" s="44" t="str">
        <f t="shared" si="1"/>
        <v>AmeTek XG 20-84</v>
      </c>
      <c r="J67" s="23">
        <v>0</v>
      </c>
      <c r="K67" s="23" t="str">
        <f>IF(J67&gt;=1,"Yes","No")</f>
        <v>No</v>
      </c>
      <c r="L67" s="24">
        <v>1</v>
      </c>
      <c r="M67" s="24" t="str">
        <f>IF(L67&gt;=1,"Yes","No")</f>
        <v>Yes</v>
      </c>
      <c r="N67" s="25">
        <v>0</v>
      </c>
      <c r="O67" s="25" t="str">
        <f>IF(N67&gt;=1,"Yes","No")</f>
        <v>No</v>
      </c>
      <c r="P67" s="23">
        <v>0</v>
      </c>
      <c r="Q67" s="26" t="str">
        <f>IF(P67&gt;=1,"Yes","No")</f>
        <v>No</v>
      </c>
      <c r="R67" s="19">
        <v>1</v>
      </c>
      <c r="S67" s="19">
        <v>0</v>
      </c>
      <c r="T67" s="86">
        <v>0</v>
      </c>
      <c r="U67" s="40" t="s">
        <v>101</v>
      </c>
      <c r="V67" s="41" t="s">
        <v>102</v>
      </c>
    </row>
    <row r="68" spans="1:22" ht="15" thickTop="1" x14ac:dyDescent="0.3">
      <c r="A68">
        <v>60</v>
      </c>
      <c r="B68" s="8">
        <v>1</v>
      </c>
      <c r="C68" s="9">
        <v>1</v>
      </c>
      <c r="D68" s="9" t="s">
        <v>22</v>
      </c>
      <c r="E68" s="9">
        <v>0</v>
      </c>
      <c r="F68" s="9">
        <v>1</v>
      </c>
      <c r="G68" s="28"/>
      <c r="H68" s="28" t="str">
        <f t="shared" si="2"/>
        <v>84 A</v>
      </c>
      <c r="I68" s="13" t="str">
        <f t="shared" si="1"/>
        <v>AmeTek XG 20-84</v>
      </c>
      <c r="J68" s="14">
        <v>1</v>
      </c>
      <c r="K68" s="14" t="str">
        <f>IF(J68&gt;=1,"Yes","No")</f>
        <v>Yes</v>
      </c>
      <c r="L68" s="15">
        <v>0</v>
      </c>
      <c r="M68" s="15" t="str">
        <f>IF(L68&gt;=1,"Yes","No")</f>
        <v>No</v>
      </c>
      <c r="N68" s="16">
        <v>0</v>
      </c>
      <c r="O68" s="16" t="str">
        <f>IF(N68&gt;=1,"Yes","No")</f>
        <v>No</v>
      </c>
      <c r="P68" s="14">
        <v>0</v>
      </c>
      <c r="Q68" s="17" t="str">
        <f>IF(P68&gt;=1,"Yes","No")</f>
        <v>No</v>
      </c>
      <c r="R68" s="9">
        <v>1</v>
      </c>
      <c r="S68" s="9">
        <v>0</v>
      </c>
      <c r="T68" s="78">
        <v>0</v>
      </c>
      <c r="U68" s="70" t="s">
        <v>103</v>
      </c>
      <c r="V68" s="41" t="s">
        <v>104</v>
      </c>
    </row>
    <row r="69" spans="1:22" ht="15" thickBot="1" x14ac:dyDescent="0.35">
      <c r="A69">
        <v>60</v>
      </c>
      <c r="B69" s="18">
        <v>2</v>
      </c>
      <c r="C69" s="19">
        <v>1</v>
      </c>
      <c r="D69" s="19" t="s">
        <v>22</v>
      </c>
      <c r="E69" s="19">
        <v>0</v>
      </c>
      <c r="F69" s="19">
        <v>1</v>
      </c>
      <c r="G69" s="43"/>
      <c r="H69" s="43" t="s">
        <v>24</v>
      </c>
      <c r="I69" s="44" t="str">
        <f t="shared" si="1"/>
        <v>AmeTek XG 20-84</v>
      </c>
      <c r="J69" s="23">
        <v>1</v>
      </c>
      <c r="K69" s="23" t="str">
        <f>IF(J69&gt;=1,"Yes","No")</f>
        <v>Yes</v>
      </c>
      <c r="L69" s="24">
        <v>0</v>
      </c>
      <c r="M69" s="24" t="str">
        <f>IF(L69&gt;=1,"Yes","No")</f>
        <v>No</v>
      </c>
      <c r="N69" s="25">
        <v>0</v>
      </c>
      <c r="O69" s="25" t="str">
        <f>IF(N69&gt;=1,"Yes","No")</f>
        <v>No</v>
      </c>
      <c r="P69" s="23">
        <v>0</v>
      </c>
      <c r="Q69" s="26" t="str">
        <f>IF(P69&gt;=1,"Yes","No")</f>
        <v>No</v>
      </c>
      <c r="R69" s="19">
        <v>1</v>
      </c>
      <c r="S69" s="19">
        <v>0</v>
      </c>
      <c r="T69" s="86">
        <v>0</v>
      </c>
      <c r="U69" s="70" t="s">
        <v>105</v>
      </c>
      <c r="V69" s="41" t="s">
        <v>106</v>
      </c>
    </row>
    <row r="70" spans="1:22" ht="15" thickTop="1" x14ac:dyDescent="0.3">
      <c r="A70">
        <v>61</v>
      </c>
      <c r="B70" s="8">
        <v>1</v>
      </c>
      <c r="C70" s="9">
        <v>1</v>
      </c>
      <c r="D70" s="9" t="s">
        <v>22</v>
      </c>
      <c r="E70" s="9">
        <v>0</v>
      </c>
      <c r="F70" s="9">
        <v>1</v>
      </c>
      <c r="G70" s="28"/>
      <c r="H70" s="28" t="str">
        <f t="shared" si="2"/>
        <v>84 A</v>
      </c>
      <c r="I70" s="13" t="str">
        <f t="shared" si="1"/>
        <v>AmeTek XG 20-84</v>
      </c>
      <c r="J70" s="14">
        <v>1</v>
      </c>
      <c r="K70" s="14" t="str">
        <f>IF(J70&gt;=1,"Yes","No")</f>
        <v>Yes</v>
      </c>
      <c r="L70" s="15">
        <v>0</v>
      </c>
      <c r="M70" s="15" t="str">
        <f>IF(L70&gt;=1,"Yes","No")</f>
        <v>No</v>
      </c>
      <c r="N70" s="16">
        <v>0</v>
      </c>
      <c r="O70" s="16" t="str">
        <f>IF(N70&gt;=1,"Yes","No")</f>
        <v>No</v>
      </c>
      <c r="P70" s="14">
        <v>0</v>
      </c>
      <c r="Q70" s="17" t="str">
        <f>IF(P70&gt;=1,"Yes","No")</f>
        <v>No</v>
      </c>
      <c r="R70" s="9">
        <v>1</v>
      </c>
      <c r="S70" s="9">
        <v>0</v>
      </c>
      <c r="T70" s="78">
        <v>0</v>
      </c>
      <c r="U70" s="69" t="s">
        <v>107</v>
      </c>
      <c r="V70" s="41" t="s">
        <v>108</v>
      </c>
    </row>
    <row r="71" spans="1:22" ht="15" thickBot="1" x14ac:dyDescent="0.35">
      <c r="A71">
        <v>61</v>
      </c>
      <c r="B71" s="18">
        <v>2</v>
      </c>
      <c r="C71" s="19">
        <v>1</v>
      </c>
      <c r="D71" s="19" t="s">
        <v>22</v>
      </c>
      <c r="E71" s="19">
        <v>0</v>
      </c>
      <c r="F71" s="19">
        <v>1</v>
      </c>
      <c r="G71" s="43"/>
      <c r="H71" s="43" t="s">
        <v>24</v>
      </c>
      <c r="I71" s="44" t="str">
        <f t="shared" ref="I71:I85" si="3">IF(G71&gt;=40,"TDK-Lambda GEN 60-40",IF(G71=0,"AmeTek XG 20-84","AmeTek XG 60-40"))</f>
        <v>AmeTek XG 20-84</v>
      </c>
      <c r="J71" s="23">
        <v>1</v>
      </c>
      <c r="K71" s="23" t="str">
        <f>IF(J71&gt;=1,"Yes","No")</f>
        <v>Yes</v>
      </c>
      <c r="L71" s="24">
        <v>0</v>
      </c>
      <c r="M71" s="24" t="str">
        <f>IF(L71&gt;=1,"Yes","No")</f>
        <v>No</v>
      </c>
      <c r="N71" s="25">
        <v>0</v>
      </c>
      <c r="O71" s="25" t="str">
        <f>IF(N71&gt;=1,"Yes","No")</f>
        <v>No</v>
      </c>
      <c r="P71" s="23">
        <v>0</v>
      </c>
      <c r="Q71" s="26" t="str">
        <f>IF(P71&gt;=1,"Yes","No")</f>
        <v>No</v>
      </c>
      <c r="R71" s="19">
        <v>1</v>
      </c>
      <c r="S71" s="19">
        <v>0</v>
      </c>
      <c r="T71" s="86">
        <v>0</v>
      </c>
      <c r="U71" s="69" t="s">
        <v>109</v>
      </c>
      <c r="V71" s="41" t="s">
        <v>110</v>
      </c>
    </row>
    <row r="72" spans="1:22" ht="15" thickTop="1" x14ac:dyDescent="0.3">
      <c r="A72">
        <v>62</v>
      </c>
      <c r="B72" s="8">
        <v>1</v>
      </c>
      <c r="C72" s="9">
        <v>1</v>
      </c>
      <c r="D72" s="9" t="s">
        <v>22</v>
      </c>
      <c r="E72" s="9">
        <v>0</v>
      </c>
      <c r="F72" s="9">
        <v>1</v>
      </c>
      <c r="G72" s="28"/>
      <c r="H72" s="28" t="str">
        <f t="shared" ref="H72:H82" si="4">IF(F72=0,"0","84 A")</f>
        <v>84 A</v>
      </c>
      <c r="I72" s="13" t="str">
        <f t="shared" si="3"/>
        <v>AmeTek XG 20-84</v>
      </c>
      <c r="J72" s="14">
        <v>1</v>
      </c>
      <c r="K72" s="14" t="str">
        <f>IF(J72&gt;=1,"Yes","No")</f>
        <v>Yes</v>
      </c>
      <c r="L72" s="15">
        <v>0</v>
      </c>
      <c r="M72" s="15" t="str">
        <f>IF(L72&gt;=1,"Yes","No")</f>
        <v>No</v>
      </c>
      <c r="N72" s="16">
        <v>0</v>
      </c>
      <c r="O72" s="16" t="str">
        <f>IF(N72&gt;=1,"Yes","No")</f>
        <v>No</v>
      </c>
      <c r="P72" s="14">
        <v>0</v>
      </c>
      <c r="Q72" s="17" t="str">
        <f>IF(P72&gt;=1,"Yes","No")</f>
        <v>No</v>
      </c>
      <c r="R72" s="9">
        <v>1</v>
      </c>
      <c r="S72" s="9">
        <v>0</v>
      </c>
      <c r="T72" s="78">
        <v>0</v>
      </c>
      <c r="U72" s="69" t="s">
        <v>111</v>
      </c>
      <c r="V72" s="41" t="s">
        <v>112</v>
      </c>
    </row>
    <row r="73" spans="1:22" ht="15" thickBot="1" x14ac:dyDescent="0.35">
      <c r="A73">
        <v>62</v>
      </c>
      <c r="B73" s="18">
        <v>2</v>
      </c>
      <c r="C73" s="19">
        <v>1</v>
      </c>
      <c r="D73" s="19" t="s">
        <v>22</v>
      </c>
      <c r="E73" s="19">
        <v>0</v>
      </c>
      <c r="F73" s="19">
        <v>1</v>
      </c>
      <c r="G73" s="43"/>
      <c r="H73" s="43" t="s">
        <v>24</v>
      </c>
      <c r="I73" s="44" t="str">
        <f t="shared" si="3"/>
        <v>AmeTek XG 20-84</v>
      </c>
      <c r="J73" s="23">
        <v>1</v>
      </c>
      <c r="K73" s="23" t="str">
        <f>IF(J73&gt;=1,"Yes","No")</f>
        <v>Yes</v>
      </c>
      <c r="L73" s="24">
        <v>0</v>
      </c>
      <c r="M73" s="24" t="str">
        <f>IF(L73&gt;=1,"Yes","No")</f>
        <v>No</v>
      </c>
      <c r="N73" s="25">
        <v>0</v>
      </c>
      <c r="O73" s="25" t="str">
        <f>IF(N73&gt;=1,"Yes","No")</f>
        <v>No</v>
      </c>
      <c r="P73" s="23">
        <v>0</v>
      </c>
      <c r="Q73" s="26" t="str">
        <f>IF(P73&gt;=1,"Yes","No")</f>
        <v>No</v>
      </c>
      <c r="R73" s="19">
        <v>1</v>
      </c>
      <c r="S73" s="19">
        <v>0</v>
      </c>
      <c r="T73" s="86">
        <v>0</v>
      </c>
      <c r="U73" s="69" t="s">
        <v>113</v>
      </c>
      <c r="V73" s="41" t="s">
        <v>114</v>
      </c>
    </row>
    <row r="74" spans="1:22" ht="15" thickTop="1" x14ac:dyDescent="0.3">
      <c r="A74">
        <v>63</v>
      </c>
      <c r="B74" s="8">
        <v>1</v>
      </c>
      <c r="C74" s="9">
        <v>1</v>
      </c>
      <c r="D74" s="9" t="s">
        <v>22</v>
      </c>
      <c r="E74" s="9">
        <v>0</v>
      </c>
      <c r="F74" s="9">
        <v>1</v>
      </c>
      <c r="G74" s="28"/>
      <c r="H74" s="28" t="str">
        <f t="shared" si="4"/>
        <v>84 A</v>
      </c>
      <c r="I74" s="13" t="str">
        <f t="shared" si="3"/>
        <v>AmeTek XG 20-84</v>
      </c>
      <c r="J74" s="14">
        <v>1</v>
      </c>
      <c r="K74" s="14" t="str">
        <f>IF(J74&gt;=1,"Yes","No")</f>
        <v>Yes</v>
      </c>
      <c r="L74" s="15">
        <v>0</v>
      </c>
      <c r="M74" s="15" t="str">
        <f>IF(L74&gt;=1,"Yes","No")</f>
        <v>No</v>
      </c>
      <c r="N74" s="16">
        <v>0</v>
      </c>
      <c r="O74" s="16" t="str">
        <f>IF(N74&gt;=1,"Yes","No")</f>
        <v>No</v>
      </c>
      <c r="P74" s="14">
        <v>0</v>
      </c>
      <c r="Q74" s="17" t="str">
        <f>IF(P74&gt;=1,"Yes","No")</f>
        <v>No</v>
      </c>
      <c r="R74" s="9">
        <v>1</v>
      </c>
      <c r="S74" s="9">
        <v>0</v>
      </c>
      <c r="T74" s="78">
        <v>0</v>
      </c>
      <c r="U74" s="69" t="s">
        <v>115</v>
      </c>
      <c r="V74" s="41" t="s">
        <v>116</v>
      </c>
    </row>
    <row r="75" spans="1:22" ht="15" thickBot="1" x14ac:dyDescent="0.35">
      <c r="A75">
        <v>63</v>
      </c>
      <c r="B75" s="18">
        <v>2</v>
      </c>
      <c r="C75" s="19">
        <v>1</v>
      </c>
      <c r="D75" s="19" t="s">
        <v>22</v>
      </c>
      <c r="E75" s="19">
        <v>0</v>
      </c>
      <c r="F75" s="19">
        <v>1</v>
      </c>
      <c r="G75" s="43"/>
      <c r="H75" s="43" t="s">
        <v>24</v>
      </c>
      <c r="I75" s="44" t="str">
        <f t="shared" si="3"/>
        <v>AmeTek XG 20-84</v>
      </c>
      <c r="J75" s="23">
        <v>1</v>
      </c>
      <c r="K75" s="23" t="str">
        <f>IF(J75&gt;=1,"Yes","No")</f>
        <v>Yes</v>
      </c>
      <c r="L75" s="24">
        <v>0</v>
      </c>
      <c r="M75" s="24" t="str">
        <f>IF(L75&gt;=1,"Yes","No")</f>
        <v>No</v>
      </c>
      <c r="N75" s="25">
        <v>0</v>
      </c>
      <c r="O75" s="25" t="str">
        <f>IF(N75&gt;=1,"Yes","No")</f>
        <v>No</v>
      </c>
      <c r="P75" s="23">
        <v>0</v>
      </c>
      <c r="Q75" s="26" t="str">
        <f>IF(P75&gt;=1,"Yes","No")</f>
        <v>No</v>
      </c>
      <c r="R75" s="19">
        <v>1</v>
      </c>
      <c r="S75" s="19">
        <v>0</v>
      </c>
      <c r="T75" s="86">
        <v>0</v>
      </c>
      <c r="U75" s="69" t="s">
        <v>117</v>
      </c>
      <c r="V75" s="41" t="s">
        <v>118</v>
      </c>
    </row>
    <row r="76" spans="1:22" ht="15" thickTop="1" x14ac:dyDescent="0.3">
      <c r="A76">
        <v>64</v>
      </c>
      <c r="B76" s="8">
        <v>1</v>
      </c>
      <c r="C76" s="9">
        <v>1</v>
      </c>
      <c r="D76" s="9" t="s">
        <v>22</v>
      </c>
      <c r="E76" s="9">
        <v>1</v>
      </c>
      <c r="F76" s="9">
        <v>0</v>
      </c>
      <c r="G76" s="27" t="s">
        <v>27</v>
      </c>
      <c r="H76" s="28" t="s">
        <v>24</v>
      </c>
      <c r="I76" s="13" t="str">
        <f t="shared" si="3"/>
        <v>TDK-Lambda GEN 60-40</v>
      </c>
      <c r="J76" s="14">
        <v>1</v>
      </c>
      <c r="K76" s="14" t="str">
        <f>IF(J76&gt;=1,"Yes","No")</f>
        <v>Yes</v>
      </c>
      <c r="L76" s="15">
        <v>0</v>
      </c>
      <c r="M76" s="15" t="str">
        <f>IF(L76&gt;=1,"Yes","No")</f>
        <v>No</v>
      </c>
      <c r="N76" s="16">
        <v>0</v>
      </c>
      <c r="O76" s="16" t="str">
        <f>IF(N76&gt;=1,"Yes","No")</f>
        <v>No</v>
      </c>
      <c r="P76" s="14">
        <v>0</v>
      </c>
      <c r="Q76" s="17" t="str">
        <f>IF(P76&gt;=1,"Yes","No")</f>
        <v>No</v>
      </c>
      <c r="R76" s="9">
        <v>1</v>
      </c>
      <c r="S76" s="9">
        <v>0</v>
      </c>
      <c r="T76" s="78">
        <v>0</v>
      </c>
      <c r="U76" s="69" t="s">
        <v>119</v>
      </c>
      <c r="V76" s="41" t="s">
        <v>120</v>
      </c>
    </row>
    <row r="77" spans="1:22" x14ac:dyDescent="0.3">
      <c r="A77">
        <v>64</v>
      </c>
      <c r="B77" s="31">
        <v>1</v>
      </c>
      <c r="C77" s="32">
        <v>0</v>
      </c>
      <c r="D77" s="32" t="s">
        <v>22</v>
      </c>
      <c r="E77" s="32">
        <v>0</v>
      </c>
      <c r="F77" s="32">
        <v>1</v>
      </c>
      <c r="G77" s="33" t="s">
        <v>27</v>
      </c>
      <c r="H77" s="34" t="s">
        <v>24</v>
      </c>
      <c r="I77" s="35" t="str">
        <f t="shared" si="3"/>
        <v>TDK-Lambda GEN 60-40</v>
      </c>
      <c r="J77" s="36">
        <v>0</v>
      </c>
      <c r="K77" s="36" t="str">
        <f>IF(J77&gt;=1,"Yes","No")</f>
        <v>No</v>
      </c>
      <c r="L77" s="37">
        <v>0</v>
      </c>
      <c r="M77" s="37" t="str">
        <f>IF(L77&gt;=1,"Yes","No")</f>
        <v>No</v>
      </c>
      <c r="N77" s="38">
        <v>0</v>
      </c>
      <c r="O77" s="38" t="str">
        <f>IF(N77&gt;=1,"Yes","No")</f>
        <v>No</v>
      </c>
      <c r="P77" s="36">
        <v>0</v>
      </c>
      <c r="Q77" s="39" t="str">
        <f>IF(P77&gt;=1,"Yes","No")</f>
        <v>No</v>
      </c>
      <c r="R77" s="32">
        <v>0</v>
      </c>
      <c r="S77" s="32">
        <v>0</v>
      </c>
      <c r="T77" s="32">
        <v>0</v>
      </c>
      <c r="U77" s="69" t="s">
        <v>119</v>
      </c>
      <c r="V77" s="41" t="s">
        <v>120</v>
      </c>
    </row>
    <row r="78" spans="1:22" x14ac:dyDescent="0.3">
      <c r="A78">
        <v>64</v>
      </c>
      <c r="B78" s="31">
        <v>2</v>
      </c>
      <c r="C78" s="32">
        <v>1</v>
      </c>
      <c r="D78" s="32" t="s">
        <v>22</v>
      </c>
      <c r="E78" s="32">
        <v>1</v>
      </c>
      <c r="F78" s="32">
        <v>0</v>
      </c>
      <c r="G78" s="33" t="s">
        <v>27</v>
      </c>
      <c r="H78" s="34" t="s">
        <v>24</v>
      </c>
      <c r="I78" s="35" t="str">
        <f t="shared" si="3"/>
        <v>TDK-Lambda GEN 60-40</v>
      </c>
      <c r="J78" s="36">
        <v>1</v>
      </c>
      <c r="K78" s="36" t="str">
        <f>IF(J78&gt;=1,"Yes","No")</f>
        <v>Yes</v>
      </c>
      <c r="L78" s="37">
        <v>0</v>
      </c>
      <c r="M78" s="37" t="str">
        <f>IF(L78&gt;=1,"Yes","No")</f>
        <v>No</v>
      </c>
      <c r="N78" s="38">
        <v>0</v>
      </c>
      <c r="O78" s="38" t="str">
        <f>IF(N78&gt;=1,"Yes","No")</f>
        <v>No</v>
      </c>
      <c r="P78" s="36">
        <v>0</v>
      </c>
      <c r="Q78" s="39" t="str">
        <f>IF(P78&gt;=1,"Yes","No")</f>
        <v>No</v>
      </c>
      <c r="R78" s="32">
        <v>1</v>
      </c>
      <c r="S78" s="32">
        <v>0</v>
      </c>
      <c r="T78" s="32">
        <v>0</v>
      </c>
      <c r="U78" s="69" t="s">
        <v>121</v>
      </c>
      <c r="V78" s="41" t="s">
        <v>122</v>
      </c>
    </row>
    <row r="79" spans="1:22" ht="15" thickBot="1" x14ac:dyDescent="0.35">
      <c r="A79">
        <v>64</v>
      </c>
      <c r="B79" s="18">
        <v>2</v>
      </c>
      <c r="C79" s="19">
        <v>0</v>
      </c>
      <c r="D79" s="19" t="s">
        <v>22</v>
      </c>
      <c r="E79" s="19">
        <v>0</v>
      </c>
      <c r="F79" s="19">
        <v>1</v>
      </c>
      <c r="G79" s="42" t="s">
        <v>27</v>
      </c>
      <c r="H79" s="43" t="s">
        <v>24</v>
      </c>
      <c r="I79" s="44" t="str">
        <f t="shared" si="3"/>
        <v>TDK-Lambda GEN 60-40</v>
      </c>
      <c r="J79" s="23">
        <v>0</v>
      </c>
      <c r="K79" s="23" t="str">
        <f>IF(J79&gt;=1,"Yes","No")</f>
        <v>No</v>
      </c>
      <c r="L79" s="24">
        <v>0</v>
      </c>
      <c r="M79" s="24" t="str">
        <f>IF(L79&gt;=1,"Yes","No")</f>
        <v>No</v>
      </c>
      <c r="N79" s="25">
        <v>0</v>
      </c>
      <c r="O79" s="25" t="str">
        <f>IF(N79&gt;=1,"Yes","No")</f>
        <v>No</v>
      </c>
      <c r="P79" s="23">
        <v>0</v>
      </c>
      <c r="Q79" s="26" t="str">
        <f>IF(P79&gt;=1,"Yes","No")</f>
        <v>No</v>
      </c>
      <c r="R79" s="19">
        <v>0</v>
      </c>
      <c r="S79" s="19">
        <v>0</v>
      </c>
      <c r="T79" s="86">
        <v>0</v>
      </c>
      <c r="U79" s="69" t="s">
        <v>121</v>
      </c>
      <c r="V79" s="41" t="s">
        <v>122</v>
      </c>
    </row>
    <row r="80" spans="1:22" ht="15" thickTop="1" x14ac:dyDescent="0.3">
      <c r="A80">
        <v>65</v>
      </c>
      <c r="B80" s="8">
        <v>1</v>
      </c>
      <c r="C80" s="9">
        <v>1</v>
      </c>
      <c r="D80" s="9" t="s">
        <v>22</v>
      </c>
      <c r="E80" s="9">
        <v>0</v>
      </c>
      <c r="F80" s="9">
        <v>1</v>
      </c>
      <c r="G80" s="28"/>
      <c r="H80" s="28" t="str">
        <f t="shared" si="4"/>
        <v>84 A</v>
      </c>
      <c r="I80" s="13" t="str">
        <f t="shared" si="3"/>
        <v>AmeTek XG 20-84</v>
      </c>
      <c r="J80" s="14">
        <v>1</v>
      </c>
      <c r="K80" s="14" t="str">
        <f>IF(J80&gt;=1,"Yes","No")</f>
        <v>Yes</v>
      </c>
      <c r="L80" s="15">
        <v>0</v>
      </c>
      <c r="M80" s="15" t="str">
        <f>IF(L80&gt;=1,"Yes","No")</f>
        <v>No</v>
      </c>
      <c r="N80" s="16">
        <v>0</v>
      </c>
      <c r="O80" s="16" t="str">
        <f>IF(N80&gt;=1,"Yes","No")</f>
        <v>No</v>
      </c>
      <c r="P80" s="14">
        <v>0</v>
      </c>
      <c r="Q80" s="17" t="str">
        <f>IF(P80&gt;=1,"Yes","No")</f>
        <v>No</v>
      </c>
      <c r="R80" s="9">
        <v>1</v>
      </c>
      <c r="S80" s="9">
        <v>0</v>
      </c>
      <c r="T80" s="78">
        <v>0</v>
      </c>
      <c r="U80" s="69" t="s">
        <v>65</v>
      </c>
      <c r="V80" s="41" t="s">
        <v>123</v>
      </c>
    </row>
    <row r="81" spans="1:22" ht="15" thickBot="1" x14ac:dyDescent="0.35">
      <c r="A81">
        <v>65</v>
      </c>
      <c r="B81" s="18">
        <v>2</v>
      </c>
      <c r="C81" s="19">
        <v>1</v>
      </c>
      <c r="D81" s="19" t="s">
        <v>22</v>
      </c>
      <c r="E81" s="19">
        <v>0</v>
      </c>
      <c r="F81" s="19">
        <v>1</v>
      </c>
      <c r="G81" s="43"/>
      <c r="H81" s="43" t="s">
        <v>24</v>
      </c>
      <c r="I81" s="44" t="str">
        <f t="shared" si="3"/>
        <v>AmeTek XG 20-84</v>
      </c>
      <c r="J81" s="23">
        <v>1</v>
      </c>
      <c r="K81" s="23" t="str">
        <f>IF(J81&gt;=1,"Yes","No")</f>
        <v>Yes</v>
      </c>
      <c r="L81" s="24">
        <v>0</v>
      </c>
      <c r="M81" s="24" t="str">
        <f>IF(L81&gt;=1,"Yes","No")</f>
        <v>No</v>
      </c>
      <c r="N81" s="25">
        <v>0</v>
      </c>
      <c r="O81" s="25" t="str">
        <f>IF(N81&gt;=1,"Yes","No")</f>
        <v>No</v>
      </c>
      <c r="P81" s="23">
        <v>0</v>
      </c>
      <c r="Q81" s="26" t="str">
        <f>IF(P81&gt;=1,"Yes","No")</f>
        <v>No</v>
      </c>
      <c r="R81" s="19">
        <v>1</v>
      </c>
      <c r="S81" s="19">
        <v>0</v>
      </c>
      <c r="T81" s="86">
        <v>0</v>
      </c>
      <c r="U81" s="69" t="s">
        <v>124</v>
      </c>
      <c r="V81" s="41" t="s">
        <v>125</v>
      </c>
    </row>
    <row r="82" spans="1:22" ht="15" thickTop="1" x14ac:dyDescent="0.3">
      <c r="A82">
        <v>66</v>
      </c>
      <c r="B82" s="8">
        <v>1</v>
      </c>
      <c r="C82" s="9">
        <v>1</v>
      </c>
      <c r="D82" s="9" t="s">
        <v>22</v>
      </c>
      <c r="E82" s="9">
        <v>0</v>
      </c>
      <c r="F82" s="9">
        <v>0</v>
      </c>
      <c r="G82" s="28"/>
      <c r="H82" s="28" t="str">
        <f t="shared" si="4"/>
        <v>0</v>
      </c>
      <c r="I82" s="13" t="str">
        <f t="shared" si="3"/>
        <v>AmeTek XG 20-84</v>
      </c>
      <c r="J82" s="14">
        <v>1</v>
      </c>
      <c r="K82" s="14" t="str">
        <f>IF(J82&gt;=1,"Yes","No")</f>
        <v>Yes</v>
      </c>
      <c r="L82" s="15">
        <v>1</v>
      </c>
      <c r="M82" s="15" t="str">
        <f>IF(L82&gt;=1,"Yes","No")</f>
        <v>Yes</v>
      </c>
      <c r="N82" s="16">
        <v>0</v>
      </c>
      <c r="O82" s="16" t="str">
        <f>IF(N82&gt;=1,"Yes","No")</f>
        <v>No</v>
      </c>
      <c r="P82" s="14">
        <v>0</v>
      </c>
      <c r="Q82" s="17" t="str">
        <f>IF(P82&gt;=1,"Yes","No")</f>
        <v>No</v>
      </c>
      <c r="R82" s="9">
        <v>1</v>
      </c>
      <c r="S82" s="9">
        <v>0</v>
      </c>
      <c r="T82" s="78">
        <v>0</v>
      </c>
      <c r="U82" s="69" t="s">
        <v>126</v>
      </c>
      <c r="V82" s="41" t="s">
        <v>127</v>
      </c>
    </row>
    <row r="83" spans="1:22" x14ac:dyDescent="0.3">
      <c r="A83">
        <v>66</v>
      </c>
      <c r="B83" s="31">
        <v>2</v>
      </c>
      <c r="C83" s="32">
        <v>1</v>
      </c>
      <c r="D83" s="32" t="s">
        <v>22</v>
      </c>
      <c r="E83" s="32">
        <v>0</v>
      </c>
      <c r="F83" s="32">
        <v>1</v>
      </c>
      <c r="G83" s="34"/>
      <c r="H83" s="34" t="s">
        <v>24</v>
      </c>
      <c r="I83" s="35" t="str">
        <f t="shared" si="3"/>
        <v>AmeTek XG 20-84</v>
      </c>
      <c r="J83" s="36">
        <v>0</v>
      </c>
      <c r="K83" s="36" t="str">
        <f>IF(J83&gt;=1,"Yes","No")</f>
        <v>No</v>
      </c>
      <c r="L83" s="37">
        <v>1</v>
      </c>
      <c r="M83" s="37" t="str">
        <f>IF(L83&gt;=1,"Yes","No")</f>
        <v>Yes</v>
      </c>
      <c r="N83" s="38">
        <v>0</v>
      </c>
      <c r="O83" s="38" t="str">
        <f>IF(N83&gt;=1,"Yes","No")</f>
        <v>No</v>
      </c>
      <c r="P83" s="36">
        <v>0</v>
      </c>
      <c r="Q83" s="39" t="str">
        <f>IF(P83&gt;=1,"Yes","No")</f>
        <v>No</v>
      </c>
      <c r="R83" s="32">
        <v>1</v>
      </c>
      <c r="S83" s="32">
        <v>0</v>
      </c>
      <c r="T83" s="32">
        <v>0</v>
      </c>
      <c r="U83" s="69" t="s">
        <v>128</v>
      </c>
      <c r="V83" s="41" t="s">
        <v>129</v>
      </c>
    </row>
    <row r="84" spans="1:22" x14ac:dyDescent="0.3">
      <c r="A84">
        <v>66</v>
      </c>
      <c r="B84" s="31">
        <v>3</v>
      </c>
      <c r="C84" s="32">
        <v>1</v>
      </c>
      <c r="D84" s="32" t="s">
        <v>22</v>
      </c>
      <c r="E84" s="32">
        <v>0</v>
      </c>
      <c r="F84" s="32">
        <v>0</v>
      </c>
      <c r="G84" s="34"/>
      <c r="H84" s="34" t="s">
        <v>24</v>
      </c>
      <c r="I84" s="35" t="str">
        <f t="shared" si="3"/>
        <v>AmeTek XG 20-84</v>
      </c>
      <c r="J84" s="36">
        <v>1</v>
      </c>
      <c r="K84" s="36" t="str">
        <f>IF(J84&gt;=1,"Yes","No")</f>
        <v>Yes</v>
      </c>
      <c r="L84" s="37">
        <v>1</v>
      </c>
      <c r="M84" s="37" t="str">
        <f>IF(L84&gt;=1,"Yes","No")</f>
        <v>Yes</v>
      </c>
      <c r="N84" s="38">
        <v>0</v>
      </c>
      <c r="O84" s="38" t="str">
        <f>IF(N84&gt;=1,"Yes","No")</f>
        <v>No</v>
      </c>
      <c r="P84" s="36">
        <v>0</v>
      </c>
      <c r="Q84" s="39" t="str">
        <f>IF(P84&gt;=1,"Yes","No")</f>
        <v>No</v>
      </c>
      <c r="R84" s="32">
        <v>1</v>
      </c>
      <c r="S84" s="32">
        <v>0</v>
      </c>
      <c r="T84" s="32">
        <v>0</v>
      </c>
      <c r="U84" s="69" t="s">
        <v>130</v>
      </c>
      <c r="V84" s="41" t="s">
        <v>131</v>
      </c>
    </row>
    <row r="85" spans="1:22" ht="15" thickBot="1" x14ac:dyDescent="0.35">
      <c r="A85">
        <v>66</v>
      </c>
      <c r="B85" s="18">
        <v>4</v>
      </c>
      <c r="C85" s="19">
        <v>1</v>
      </c>
      <c r="D85" s="19" t="s">
        <v>22</v>
      </c>
      <c r="E85" s="19">
        <v>0</v>
      </c>
      <c r="F85" s="19">
        <v>1</v>
      </c>
      <c r="G85" s="43"/>
      <c r="H85" s="43" t="s">
        <v>24</v>
      </c>
      <c r="I85" s="44" t="str">
        <f t="shared" si="3"/>
        <v>AmeTek XG 20-84</v>
      </c>
      <c r="J85" s="23">
        <v>0</v>
      </c>
      <c r="K85" s="23" t="str">
        <f>IF(J85&gt;=1,"Yes","No")</f>
        <v>No</v>
      </c>
      <c r="L85" s="24">
        <v>1</v>
      </c>
      <c r="M85" s="24" t="str">
        <f>IF(L85&gt;=1,"Yes","No")</f>
        <v>Yes</v>
      </c>
      <c r="N85" s="25">
        <v>0</v>
      </c>
      <c r="O85" s="25" t="str">
        <f>IF(N85&gt;=1,"Yes","No")</f>
        <v>No</v>
      </c>
      <c r="P85" s="23">
        <v>0</v>
      </c>
      <c r="Q85" s="26" t="str">
        <f>IF(P85&gt;=1,"Yes","No")</f>
        <v>No</v>
      </c>
      <c r="R85" s="19">
        <v>1</v>
      </c>
      <c r="S85" s="19">
        <v>0</v>
      </c>
      <c r="T85" s="19">
        <v>0</v>
      </c>
      <c r="U85" s="87" t="s">
        <v>132</v>
      </c>
      <c r="V85" s="46" t="s">
        <v>133</v>
      </c>
    </row>
    <row r="86" spans="1:22" ht="15.6" thickTop="1" thickBot="1" x14ac:dyDescent="0.35">
      <c r="A86">
        <v>67</v>
      </c>
      <c r="B86" s="8">
        <v>1</v>
      </c>
      <c r="C86" s="9">
        <v>1</v>
      </c>
      <c r="D86" s="9" t="s">
        <v>22</v>
      </c>
      <c r="E86" s="9">
        <v>1</v>
      </c>
      <c r="F86" s="9">
        <v>1</v>
      </c>
      <c r="G86" s="28" t="s">
        <v>134</v>
      </c>
      <c r="H86" s="32" t="s">
        <v>135</v>
      </c>
      <c r="I86" s="13" t="s">
        <v>136</v>
      </c>
      <c r="J86" s="14">
        <v>1</v>
      </c>
      <c r="K86" s="14" t="str">
        <f>IF(J86&gt;=1,"Yes","No")</f>
        <v>Yes</v>
      </c>
      <c r="L86" s="15">
        <v>0</v>
      </c>
      <c r="M86" s="15" t="str">
        <f>IF(L86&gt;=1,"Yes","No")</f>
        <v>No</v>
      </c>
      <c r="N86" s="16">
        <v>0</v>
      </c>
      <c r="O86" s="16" t="str">
        <f>IF(N86&gt;=1,"Yes","No")</f>
        <v>No</v>
      </c>
      <c r="P86" s="14">
        <v>0</v>
      </c>
      <c r="Q86" s="17" t="str">
        <f>IF(P86&gt;=1,"Yes","No")</f>
        <v>No</v>
      </c>
      <c r="R86" s="9">
        <v>1</v>
      </c>
      <c r="S86" s="9">
        <v>1</v>
      </c>
      <c r="T86" s="9">
        <v>0</v>
      </c>
      <c r="U86" s="40" t="s">
        <v>137</v>
      </c>
      <c r="V86" s="75" t="s">
        <v>138</v>
      </c>
    </row>
    <row r="87" spans="1:22" ht="15.6" thickTop="1" thickBot="1" x14ac:dyDescent="0.35">
      <c r="A87">
        <v>67</v>
      </c>
      <c r="B87" s="31">
        <v>2</v>
      </c>
      <c r="C87" s="32">
        <v>1</v>
      </c>
      <c r="D87" s="32" t="s">
        <v>22</v>
      </c>
      <c r="E87" s="32">
        <v>1</v>
      </c>
      <c r="F87" s="32">
        <v>1</v>
      </c>
      <c r="G87" s="32" t="s">
        <v>134</v>
      </c>
      <c r="H87" s="32" t="s">
        <v>135</v>
      </c>
      <c r="I87" s="13" t="s">
        <v>136</v>
      </c>
      <c r="J87" s="36">
        <v>1</v>
      </c>
      <c r="K87" s="36" t="str">
        <f>IF(J87&gt;=1,"Yes","No")</f>
        <v>Yes</v>
      </c>
      <c r="L87" s="37">
        <v>0</v>
      </c>
      <c r="M87" s="37" t="str">
        <f>IF(L87&gt;=1,"Yes","No")</f>
        <v>No</v>
      </c>
      <c r="N87" s="38">
        <v>0</v>
      </c>
      <c r="O87" s="38" t="str">
        <f>IF(N87&gt;=1,"Yes","No")</f>
        <v>No</v>
      </c>
      <c r="P87" s="36">
        <v>0</v>
      </c>
      <c r="Q87" s="39" t="str">
        <f>IF(P87&gt;=1,"Yes","No")</f>
        <v>No</v>
      </c>
      <c r="R87" s="32">
        <v>1</v>
      </c>
      <c r="S87" s="32">
        <v>1</v>
      </c>
      <c r="T87" s="32">
        <v>0</v>
      </c>
      <c r="U87" s="40" t="s">
        <v>139</v>
      </c>
      <c r="V87" s="75" t="s">
        <v>140</v>
      </c>
    </row>
    <row r="88" spans="1:22" ht="15.6" thickTop="1" thickBot="1" x14ac:dyDescent="0.35">
      <c r="A88">
        <v>67</v>
      </c>
      <c r="B88" s="31">
        <v>3</v>
      </c>
      <c r="C88" s="32">
        <v>1</v>
      </c>
      <c r="D88" s="32" t="s">
        <v>22</v>
      </c>
      <c r="E88" s="32">
        <v>1</v>
      </c>
      <c r="F88" s="32">
        <v>1</v>
      </c>
      <c r="G88" s="32" t="s">
        <v>134</v>
      </c>
      <c r="H88" s="32" t="s">
        <v>135</v>
      </c>
      <c r="I88" s="13" t="s">
        <v>136</v>
      </c>
      <c r="J88" s="36">
        <v>1</v>
      </c>
      <c r="K88" s="36" t="str">
        <f>IF(J88&gt;=1,"Yes","No")</f>
        <v>Yes</v>
      </c>
      <c r="L88" s="37">
        <v>0</v>
      </c>
      <c r="M88" s="37" t="str">
        <f>IF(L88&gt;=1,"Yes","No")</f>
        <v>No</v>
      </c>
      <c r="N88" s="38">
        <v>0</v>
      </c>
      <c r="O88" s="38" t="str">
        <f>IF(N88&gt;=1,"Yes","No")</f>
        <v>No</v>
      </c>
      <c r="P88" s="36">
        <v>0</v>
      </c>
      <c r="Q88" s="39" t="str">
        <f>IF(P88&gt;=1,"Yes","No")</f>
        <v>No</v>
      </c>
      <c r="R88" s="32">
        <v>1</v>
      </c>
      <c r="S88" s="32">
        <v>1</v>
      </c>
      <c r="T88" s="32">
        <v>0</v>
      </c>
      <c r="U88" s="40" t="s">
        <v>141</v>
      </c>
      <c r="V88" s="75" t="s">
        <v>142</v>
      </c>
    </row>
    <row r="89" spans="1:22" ht="15.6" thickTop="1" thickBot="1" x14ac:dyDescent="0.35">
      <c r="A89">
        <v>67</v>
      </c>
      <c r="B89" s="18">
        <v>4</v>
      </c>
      <c r="C89" s="19">
        <v>1</v>
      </c>
      <c r="D89" s="19" t="s">
        <v>22</v>
      </c>
      <c r="E89" s="19">
        <v>1</v>
      </c>
      <c r="F89" s="19">
        <v>1</v>
      </c>
      <c r="G89" s="32" t="s">
        <v>134</v>
      </c>
      <c r="H89" s="32" t="s">
        <v>135</v>
      </c>
      <c r="I89" s="13" t="s">
        <v>136</v>
      </c>
      <c r="J89" s="23">
        <v>1</v>
      </c>
      <c r="K89" s="23" t="str">
        <f>IF(J89&gt;=1,"Yes","No")</f>
        <v>Yes</v>
      </c>
      <c r="L89" s="24">
        <v>0</v>
      </c>
      <c r="M89" s="24" t="str">
        <f>IF(L89&gt;=1,"Yes","No")</f>
        <v>No</v>
      </c>
      <c r="N89" s="25">
        <v>0</v>
      </c>
      <c r="O89" s="25" t="str">
        <f>IF(N89&gt;=1,"Yes","No")</f>
        <v>No</v>
      </c>
      <c r="P89" s="23">
        <v>0</v>
      </c>
      <c r="Q89" s="26" t="str">
        <f>IF(P89&gt;=1,"Yes","No")</f>
        <v>No</v>
      </c>
      <c r="R89" s="19">
        <v>1</v>
      </c>
      <c r="S89" s="19">
        <v>1</v>
      </c>
      <c r="T89" s="19">
        <v>0</v>
      </c>
      <c r="U89" s="40" t="s">
        <v>143</v>
      </c>
      <c r="V89" s="75" t="s">
        <v>144</v>
      </c>
    </row>
    <row r="90" spans="1:22" ht="15.6" thickTop="1" thickBot="1" x14ac:dyDescent="0.35">
      <c r="A90">
        <v>68</v>
      </c>
      <c r="B90" s="8">
        <v>1</v>
      </c>
      <c r="C90" s="9">
        <v>1</v>
      </c>
      <c r="D90" s="9" t="s">
        <v>22</v>
      </c>
      <c r="E90" s="9">
        <v>1</v>
      </c>
      <c r="F90" s="9">
        <v>1</v>
      </c>
      <c r="G90" s="28" t="s">
        <v>134</v>
      </c>
      <c r="H90" s="88" t="s">
        <v>135</v>
      </c>
      <c r="I90" s="13" t="s">
        <v>136</v>
      </c>
      <c r="J90" s="14">
        <v>1</v>
      </c>
      <c r="K90" s="14" t="str">
        <f>IF(J90&gt;=1,"Yes","No")</f>
        <v>Yes</v>
      </c>
      <c r="L90" s="15">
        <v>0</v>
      </c>
      <c r="M90" s="15" t="str">
        <f>IF(L90&gt;=1,"Yes","No")</f>
        <v>No</v>
      </c>
      <c r="N90" s="16">
        <v>0</v>
      </c>
      <c r="O90" s="16" t="str">
        <f>IF(N90&gt;=1,"Yes","No")</f>
        <v>No</v>
      </c>
      <c r="P90" s="14">
        <v>0</v>
      </c>
      <c r="Q90" s="17" t="str">
        <f>IF(P90&gt;=1,"Yes","No")</f>
        <v>No</v>
      </c>
      <c r="R90" s="9">
        <v>1</v>
      </c>
      <c r="S90" s="9">
        <v>1</v>
      </c>
      <c r="T90" s="9">
        <v>0</v>
      </c>
      <c r="U90" s="40" t="s">
        <v>145</v>
      </c>
      <c r="V90" s="75" t="s">
        <v>146</v>
      </c>
    </row>
    <row r="91" spans="1:22" ht="15.6" thickTop="1" thickBot="1" x14ac:dyDescent="0.35">
      <c r="A91">
        <v>68</v>
      </c>
      <c r="B91" s="31">
        <v>2</v>
      </c>
      <c r="C91" s="32">
        <v>1</v>
      </c>
      <c r="D91" s="32" t="s">
        <v>22</v>
      </c>
      <c r="E91" s="32">
        <v>1</v>
      </c>
      <c r="F91" s="32">
        <v>1</v>
      </c>
      <c r="G91" s="32" t="s">
        <v>134</v>
      </c>
      <c r="H91" s="32" t="s">
        <v>135</v>
      </c>
      <c r="I91" s="13" t="s">
        <v>136</v>
      </c>
      <c r="J91" s="36">
        <v>1</v>
      </c>
      <c r="K91" s="36" t="str">
        <f>IF(J91&gt;=1,"Yes","No")</f>
        <v>Yes</v>
      </c>
      <c r="L91" s="37">
        <v>0</v>
      </c>
      <c r="M91" s="37" t="str">
        <f>IF(L91&gt;=1,"Yes","No")</f>
        <v>No</v>
      </c>
      <c r="N91" s="38">
        <v>0</v>
      </c>
      <c r="O91" s="38" t="str">
        <f>IF(N91&gt;=1,"Yes","No")</f>
        <v>No</v>
      </c>
      <c r="P91" s="36">
        <v>0</v>
      </c>
      <c r="Q91" s="39" t="str">
        <f>IF(P91&gt;=1,"Yes","No")</f>
        <v>No</v>
      </c>
      <c r="R91" s="32">
        <v>1</v>
      </c>
      <c r="S91" s="32">
        <v>1</v>
      </c>
      <c r="T91" s="32">
        <v>0</v>
      </c>
      <c r="U91" s="40" t="s">
        <v>147</v>
      </c>
      <c r="V91" s="75" t="s">
        <v>148</v>
      </c>
    </row>
    <row r="92" spans="1:22" ht="15.6" thickTop="1" thickBot="1" x14ac:dyDescent="0.35">
      <c r="A92">
        <v>68</v>
      </c>
      <c r="B92" s="31">
        <v>3</v>
      </c>
      <c r="C92" s="32">
        <v>1</v>
      </c>
      <c r="D92" s="32" t="s">
        <v>22</v>
      </c>
      <c r="E92" s="32">
        <v>1</v>
      </c>
      <c r="F92" s="32">
        <v>1</v>
      </c>
      <c r="G92" s="32" t="s">
        <v>134</v>
      </c>
      <c r="H92" s="32" t="s">
        <v>135</v>
      </c>
      <c r="I92" s="13" t="s">
        <v>136</v>
      </c>
      <c r="J92" s="36">
        <v>1</v>
      </c>
      <c r="K92" s="36" t="str">
        <f>IF(J92&gt;=1,"Yes","No")</f>
        <v>Yes</v>
      </c>
      <c r="L92" s="37">
        <v>0</v>
      </c>
      <c r="M92" s="37" t="str">
        <f>IF(L92&gt;=1,"Yes","No")</f>
        <v>No</v>
      </c>
      <c r="N92" s="38">
        <v>0</v>
      </c>
      <c r="O92" s="38" t="str">
        <f>IF(N92&gt;=1,"Yes","No")</f>
        <v>No</v>
      </c>
      <c r="P92" s="36">
        <v>0</v>
      </c>
      <c r="Q92" s="39" t="str">
        <f>IF(P92&gt;=1,"Yes","No")</f>
        <v>No</v>
      </c>
      <c r="R92" s="32">
        <v>1</v>
      </c>
      <c r="S92" s="32">
        <v>1</v>
      </c>
      <c r="T92" s="32">
        <v>0</v>
      </c>
      <c r="U92" s="40" t="s">
        <v>149</v>
      </c>
      <c r="V92" s="75" t="s">
        <v>150</v>
      </c>
    </row>
    <row r="93" spans="1:22" ht="15.6" thickTop="1" thickBot="1" x14ac:dyDescent="0.35">
      <c r="A93">
        <v>68</v>
      </c>
      <c r="B93" s="18">
        <v>4</v>
      </c>
      <c r="C93" s="19">
        <v>1</v>
      </c>
      <c r="D93" s="19" t="s">
        <v>22</v>
      </c>
      <c r="E93" s="19">
        <v>1</v>
      </c>
      <c r="F93" s="19">
        <v>1</v>
      </c>
      <c r="G93" s="32" t="s">
        <v>134</v>
      </c>
      <c r="H93" s="32" t="s">
        <v>135</v>
      </c>
      <c r="I93" s="13" t="s">
        <v>136</v>
      </c>
      <c r="J93" s="23">
        <v>1</v>
      </c>
      <c r="K93" s="23" t="str">
        <f>IF(J93&gt;=1,"Yes","No")</f>
        <v>Yes</v>
      </c>
      <c r="L93" s="24">
        <v>0</v>
      </c>
      <c r="M93" s="24" t="str">
        <f>IF(L93&gt;=1,"Yes","No")</f>
        <v>No</v>
      </c>
      <c r="N93" s="25">
        <v>0</v>
      </c>
      <c r="O93" s="25" t="str">
        <f>IF(N93&gt;=1,"Yes","No")</f>
        <v>No</v>
      </c>
      <c r="P93" s="23">
        <v>0</v>
      </c>
      <c r="Q93" s="26" t="str">
        <f>IF(P93&gt;=1,"Yes","No")</f>
        <v>No</v>
      </c>
      <c r="R93" s="19">
        <v>1</v>
      </c>
      <c r="S93" s="19">
        <v>1</v>
      </c>
      <c r="T93" s="19">
        <v>0</v>
      </c>
      <c r="U93" s="40" t="s">
        <v>151</v>
      </c>
      <c r="V93" s="75" t="s">
        <v>152</v>
      </c>
    </row>
    <row r="94" spans="1:22" ht="15.6" thickTop="1" thickBot="1" x14ac:dyDescent="0.35">
      <c r="A94">
        <v>69</v>
      </c>
      <c r="B94" s="8">
        <v>1</v>
      </c>
      <c r="C94" s="9">
        <v>1</v>
      </c>
      <c r="D94" s="9" t="s">
        <v>22</v>
      </c>
      <c r="E94" s="9">
        <v>1</v>
      </c>
      <c r="F94" s="9">
        <v>1</v>
      </c>
      <c r="G94" s="28" t="s">
        <v>134</v>
      </c>
      <c r="H94" s="88" t="s">
        <v>135</v>
      </c>
      <c r="I94" s="13" t="s">
        <v>136</v>
      </c>
      <c r="J94" s="14">
        <v>1</v>
      </c>
      <c r="K94" s="14" t="str">
        <f>IF(J94&gt;=1,"Yes","No")</f>
        <v>Yes</v>
      </c>
      <c r="L94" s="15">
        <v>0</v>
      </c>
      <c r="M94" s="15" t="str">
        <f>IF(L94&gt;=1,"Yes","No")</f>
        <v>No</v>
      </c>
      <c r="N94" s="16">
        <v>0</v>
      </c>
      <c r="O94" s="16" t="str">
        <f>IF(N94&gt;=1,"Yes","No")</f>
        <v>No</v>
      </c>
      <c r="P94" s="14">
        <v>0</v>
      </c>
      <c r="Q94" s="17" t="str">
        <f>IF(P94&gt;=1,"Yes","No")</f>
        <v>No</v>
      </c>
      <c r="R94" s="9">
        <v>1</v>
      </c>
      <c r="S94" s="9">
        <v>1</v>
      </c>
      <c r="T94" s="9">
        <v>0</v>
      </c>
      <c r="U94" s="9"/>
      <c r="V94" s="9"/>
    </row>
    <row r="95" spans="1:22" ht="15.6" thickTop="1" thickBot="1" x14ac:dyDescent="0.35">
      <c r="A95">
        <v>69</v>
      </c>
      <c r="B95" s="31">
        <v>2</v>
      </c>
      <c r="C95" s="32">
        <v>1</v>
      </c>
      <c r="D95" s="32" t="s">
        <v>22</v>
      </c>
      <c r="E95" s="32">
        <v>1</v>
      </c>
      <c r="F95" s="32">
        <v>1</v>
      </c>
      <c r="G95" s="32" t="s">
        <v>134</v>
      </c>
      <c r="H95" s="32" t="s">
        <v>135</v>
      </c>
      <c r="I95" s="13" t="s">
        <v>136</v>
      </c>
      <c r="J95" s="36">
        <v>1</v>
      </c>
      <c r="K95" s="36" t="str">
        <f>IF(J95&gt;=1,"Yes","No")</f>
        <v>Yes</v>
      </c>
      <c r="L95" s="37">
        <v>0</v>
      </c>
      <c r="M95" s="37" t="str">
        <f>IF(L95&gt;=1,"Yes","No")</f>
        <v>No</v>
      </c>
      <c r="N95" s="38">
        <v>0</v>
      </c>
      <c r="O95" s="38" t="str">
        <f>IF(N95&gt;=1,"Yes","No")</f>
        <v>No</v>
      </c>
      <c r="P95" s="36">
        <v>0</v>
      </c>
      <c r="Q95" s="39" t="str">
        <f>IF(P95&gt;=1,"Yes","No")</f>
        <v>No</v>
      </c>
      <c r="R95" s="32">
        <v>1</v>
      </c>
      <c r="S95" s="32">
        <v>1</v>
      </c>
      <c r="T95" s="32">
        <v>0</v>
      </c>
      <c r="U95" s="32"/>
      <c r="V95" s="32"/>
    </row>
    <row r="96" spans="1:22" ht="15.6" thickTop="1" thickBot="1" x14ac:dyDescent="0.35">
      <c r="A96">
        <v>69</v>
      </c>
      <c r="B96" s="31">
        <v>3</v>
      </c>
      <c r="C96" s="32">
        <v>1</v>
      </c>
      <c r="D96" s="32" t="s">
        <v>22</v>
      </c>
      <c r="E96" s="32">
        <v>1</v>
      </c>
      <c r="F96" s="32">
        <v>1</v>
      </c>
      <c r="G96" s="32" t="s">
        <v>134</v>
      </c>
      <c r="H96" s="32" t="s">
        <v>135</v>
      </c>
      <c r="I96" s="13" t="s">
        <v>136</v>
      </c>
      <c r="J96" s="36">
        <v>1</v>
      </c>
      <c r="K96" s="36" t="str">
        <f>IF(J96&gt;=1,"Yes","No")</f>
        <v>Yes</v>
      </c>
      <c r="L96" s="37">
        <v>0</v>
      </c>
      <c r="M96" s="37" t="str">
        <f>IF(L96&gt;=1,"Yes","No")</f>
        <v>No</v>
      </c>
      <c r="N96" s="38">
        <v>0</v>
      </c>
      <c r="O96" s="38" t="str">
        <f>IF(N96&gt;=1,"Yes","No")</f>
        <v>No</v>
      </c>
      <c r="P96" s="36">
        <v>0</v>
      </c>
      <c r="Q96" s="39" t="str">
        <f>IF(P96&gt;=1,"Yes","No")</f>
        <v>No</v>
      </c>
      <c r="R96" s="32">
        <v>1</v>
      </c>
      <c r="S96" s="32">
        <v>1</v>
      </c>
      <c r="T96" s="32">
        <v>0</v>
      </c>
      <c r="U96" s="32"/>
      <c r="V96" s="32"/>
    </row>
    <row r="97" spans="1:22" ht="15.6" thickTop="1" thickBot="1" x14ac:dyDescent="0.35">
      <c r="A97">
        <v>69</v>
      </c>
      <c r="B97" s="18">
        <v>4</v>
      </c>
      <c r="C97" s="19">
        <v>1</v>
      </c>
      <c r="D97" s="19" t="s">
        <v>22</v>
      </c>
      <c r="E97" s="19">
        <v>1</v>
      </c>
      <c r="F97" s="19">
        <v>1</v>
      </c>
      <c r="G97" s="32" t="s">
        <v>134</v>
      </c>
      <c r="H97" s="32" t="s">
        <v>135</v>
      </c>
      <c r="I97" s="13" t="s">
        <v>136</v>
      </c>
      <c r="J97" s="23">
        <v>1</v>
      </c>
      <c r="K97" s="23" t="str">
        <f>IF(J97&gt;=1,"Yes","No")</f>
        <v>Yes</v>
      </c>
      <c r="L97" s="24">
        <v>0</v>
      </c>
      <c r="M97" s="24" t="str">
        <f>IF(L97&gt;=1,"Yes","No")</f>
        <v>No</v>
      </c>
      <c r="N97" s="25">
        <v>0</v>
      </c>
      <c r="O97" s="25" t="str">
        <f>IF(N97&gt;=1,"Yes","No")</f>
        <v>No</v>
      </c>
      <c r="P97" s="23">
        <v>0</v>
      </c>
      <c r="Q97" s="26" t="str">
        <f>IF(P97&gt;=1,"Yes","No")</f>
        <v>No</v>
      </c>
      <c r="R97" s="19">
        <v>1</v>
      </c>
      <c r="S97" s="19">
        <v>1</v>
      </c>
      <c r="T97" s="19">
        <v>0</v>
      </c>
      <c r="U97" s="19"/>
      <c r="V97" s="19"/>
    </row>
    <row r="98" spans="1:22" ht="15.6" thickTop="1" thickBot="1" x14ac:dyDescent="0.35">
      <c r="A98">
        <v>70</v>
      </c>
      <c r="B98" s="8">
        <v>1</v>
      </c>
      <c r="C98" s="9">
        <v>1</v>
      </c>
      <c r="D98" s="9" t="s">
        <v>22</v>
      </c>
      <c r="E98" s="9">
        <v>1</v>
      </c>
      <c r="F98" s="9">
        <v>1</v>
      </c>
      <c r="G98" s="28" t="s">
        <v>134</v>
      </c>
      <c r="H98" s="88" t="s">
        <v>135</v>
      </c>
      <c r="I98" s="13" t="s">
        <v>136</v>
      </c>
      <c r="J98" s="14">
        <v>1</v>
      </c>
      <c r="K98" s="14" t="str">
        <f>IF(J98&gt;=1,"Yes","No")</f>
        <v>Yes</v>
      </c>
      <c r="L98" s="15">
        <v>0</v>
      </c>
      <c r="M98" s="15" t="str">
        <f>IF(L98&gt;=1,"Yes","No")</f>
        <v>No</v>
      </c>
      <c r="N98" s="16">
        <v>0</v>
      </c>
      <c r="O98" s="16" t="str">
        <f>IF(N98&gt;=1,"Yes","No")</f>
        <v>No</v>
      </c>
      <c r="P98" s="14">
        <v>0</v>
      </c>
      <c r="Q98" s="17" t="str">
        <f>IF(P98&gt;=1,"Yes","No")</f>
        <v>No</v>
      </c>
      <c r="R98" s="9">
        <v>1</v>
      </c>
      <c r="S98" s="9">
        <v>0</v>
      </c>
      <c r="T98" s="9">
        <v>0</v>
      </c>
      <c r="U98" s="9"/>
      <c r="V98" s="9"/>
    </row>
    <row r="99" spans="1:22" ht="15.6" thickTop="1" thickBot="1" x14ac:dyDescent="0.35">
      <c r="A99">
        <v>70</v>
      </c>
      <c r="B99" s="31">
        <v>2</v>
      </c>
      <c r="C99" s="32">
        <v>1</v>
      </c>
      <c r="D99" s="32" t="s">
        <v>22</v>
      </c>
      <c r="E99" s="32">
        <v>1</v>
      </c>
      <c r="F99" s="32">
        <v>1</v>
      </c>
      <c r="G99" s="32" t="s">
        <v>134</v>
      </c>
      <c r="H99" s="32" t="s">
        <v>135</v>
      </c>
      <c r="I99" s="13" t="s">
        <v>136</v>
      </c>
      <c r="J99" s="36">
        <v>1</v>
      </c>
      <c r="K99" s="36" t="str">
        <f>IF(J99&gt;=1,"Yes","No")</f>
        <v>Yes</v>
      </c>
      <c r="L99" s="37">
        <v>0</v>
      </c>
      <c r="M99" s="37" t="str">
        <f>IF(L99&gt;=1,"Yes","No")</f>
        <v>No</v>
      </c>
      <c r="N99" s="38">
        <v>0</v>
      </c>
      <c r="O99" s="38" t="str">
        <f>IF(N99&gt;=1,"Yes","No")</f>
        <v>No</v>
      </c>
      <c r="P99" s="36">
        <v>0</v>
      </c>
      <c r="Q99" s="39" t="str">
        <f>IF(P99&gt;=1,"Yes","No")</f>
        <v>No</v>
      </c>
      <c r="R99" s="32">
        <v>1</v>
      </c>
      <c r="S99" s="32">
        <v>0</v>
      </c>
      <c r="T99" s="32">
        <v>0</v>
      </c>
      <c r="U99" s="32"/>
      <c r="V99" s="32"/>
    </row>
    <row r="100" spans="1:22" ht="15.6" thickTop="1" thickBot="1" x14ac:dyDescent="0.35">
      <c r="A100">
        <v>70</v>
      </c>
      <c r="B100" s="31">
        <v>3</v>
      </c>
      <c r="C100" s="32">
        <v>1</v>
      </c>
      <c r="D100" s="32" t="s">
        <v>22</v>
      </c>
      <c r="E100" s="32">
        <v>1</v>
      </c>
      <c r="F100" s="32">
        <v>1</v>
      </c>
      <c r="G100" s="32" t="s">
        <v>134</v>
      </c>
      <c r="H100" s="32" t="s">
        <v>135</v>
      </c>
      <c r="I100" s="13" t="s">
        <v>136</v>
      </c>
      <c r="J100" s="36">
        <v>1</v>
      </c>
      <c r="K100" s="36" t="str">
        <f>IF(J100&gt;=1,"Yes","No")</f>
        <v>Yes</v>
      </c>
      <c r="L100" s="37">
        <v>0</v>
      </c>
      <c r="M100" s="37" t="str">
        <f>IF(L100&gt;=1,"Yes","No")</f>
        <v>No</v>
      </c>
      <c r="N100" s="38">
        <v>0</v>
      </c>
      <c r="O100" s="38" t="str">
        <f>IF(N100&gt;=1,"Yes","No")</f>
        <v>No</v>
      </c>
      <c r="P100" s="36">
        <v>0</v>
      </c>
      <c r="Q100" s="39" t="str">
        <f>IF(P100&gt;=1,"Yes","No")</f>
        <v>No</v>
      </c>
      <c r="R100" s="32">
        <v>1</v>
      </c>
      <c r="S100" s="32">
        <v>0</v>
      </c>
      <c r="T100" s="32">
        <v>0</v>
      </c>
      <c r="U100" s="32"/>
      <c r="V100" s="32"/>
    </row>
    <row r="101" spans="1:22" ht="15.6" thickTop="1" thickBot="1" x14ac:dyDescent="0.35">
      <c r="A101">
        <v>70</v>
      </c>
      <c r="B101" s="18">
        <v>4</v>
      </c>
      <c r="C101" s="19">
        <v>1</v>
      </c>
      <c r="D101" s="19" t="s">
        <v>22</v>
      </c>
      <c r="E101" s="19">
        <v>1</v>
      </c>
      <c r="F101" s="19">
        <v>1</v>
      </c>
      <c r="G101" s="32" t="s">
        <v>134</v>
      </c>
      <c r="H101" s="32" t="s">
        <v>135</v>
      </c>
      <c r="I101" s="13" t="s">
        <v>136</v>
      </c>
      <c r="J101" s="23">
        <v>1</v>
      </c>
      <c r="K101" s="23" t="str">
        <f>IF(J101&gt;=1,"Yes","No")</f>
        <v>Yes</v>
      </c>
      <c r="L101" s="24">
        <v>0</v>
      </c>
      <c r="M101" s="24" t="str">
        <f>IF(L101&gt;=1,"Yes","No")</f>
        <v>No</v>
      </c>
      <c r="N101" s="25">
        <v>0</v>
      </c>
      <c r="O101" s="25" t="str">
        <f>IF(N101&gt;=1,"Yes","No")</f>
        <v>No</v>
      </c>
      <c r="P101" s="23">
        <v>0</v>
      </c>
      <c r="Q101" s="26" t="str">
        <f>IF(P101&gt;=1,"Yes","No")</f>
        <v>No</v>
      </c>
      <c r="R101" s="19">
        <v>1</v>
      </c>
      <c r="S101" s="19">
        <v>0</v>
      </c>
      <c r="T101" s="19">
        <v>0</v>
      </c>
      <c r="U101" s="19"/>
      <c r="V101" s="19"/>
    </row>
    <row r="102" spans="1:22" ht="15" thickTop="1" x14ac:dyDescent="0.3">
      <c r="A102" s="89">
        <v>74</v>
      </c>
      <c r="B102" s="8">
        <v>1</v>
      </c>
      <c r="C102" s="9">
        <v>1</v>
      </c>
      <c r="D102" s="9" t="s">
        <v>22</v>
      </c>
      <c r="E102" s="9">
        <v>0</v>
      </c>
      <c r="F102" s="9">
        <v>1</v>
      </c>
      <c r="G102" s="11"/>
      <c r="H102" s="27" t="s">
        <v>153</v>
      </c>
      <c r="I102" s="13" t="s">
        <v>154</v>
      </c>
      <c r="J102" s="14">
        <v>0</v>
      </c>
      <c r="K102" s="14" t="str">
        <f>IF(J102&gt;=1,"Yes","No")</f>
        <v>No</v>
      </c>
      <c r="L102" s="15">
        <v>1</v>
      </c>
      <c r="M102" s="15" t="str">
        <f>IF(L102&gt;=1,"Yes","No")</f>
        <v>Yes</v>
      </c>
      <c r="N102" s="16">
        <v>0</v>
      </c>
      <c r="O102" s="16" t="str">
        <f>IF(N102&gt;=1,"Yes","No")</f>
        <v>No</v>
      </c>
      <c r="P102" s="14">
        <v>0</v>
      </c>
      <c r="Q102" s="17" t="str">
        <f>IF(P102&gt;=1,"Yes","No")</f>
        <v>No</v>
      </c>
      <c r="R102" s="9">
        <v>1</v>
      </c>
      <c r="S102" s="9">
        <v>0</v>
      </c>
      <c r="T102" s="9">
        <v>0</v>
      </c>
      <c r="U102" s="67" t="s">
        <v>155</v>
      </c>
      <c r="V102" s="74" t="s">
        <v>156</v>
      </c>
    </row>
    <row r="103" spans="1:22" x14ac:dyDescent="0.3">
      <c r="A103" s="89">
        <v>74</v>
      </c>
      <c r="B103" s="31">
        <v>2</v>
      </c>
      <c r="C103" s="32">
        <v>1</v>
      </c>
      <c r="D103" s="32" t="s">
        <v>22</v>
      </c>
      <c r="E103" s="32">
        <v>0</v>
      </c>
      <c r="F103" s="32">
        <v>1</v>
      </c>
      <c r="G103" s="90"/>
      <c r="H103" s="33" t="s">
        <v>153</v>
      </c>
      <c r="I103" s="35" t="s">
        <v>154</v>
      </c>
      <c r="J103" s="36">
        <v>0</v>
      </c>
      <c r="K103" s="36" t="str">
        <f>IF(J103&gt;=1,"Yes","No")</f>
        <v>No</v>
      </c>
      <c r="L103" s="37">
        <v>1</v>
      </c>
      <c r="M103" s="37" t="str">
        <f>IF(L103&gt;=1,"Yes","No")</f>
        <v>Yes</v>
      </c>
      <c r="N103" s="38">
        <v>0</v>
      </c>
      <c r="O103" s="38" t="str">
        <f>IF(N103&gt;=1,"Yes","No")</f>
        <v>No</v>
      </c>
      <c r="P103" s="36">
        <v>0</v>
      </c>
      <c r="Q103" s="39" t="str">
        <f>IF(P103&gt;=1,"Yes","No")</f>
        <v>No</v>
      </c>
      <c r="R103" s="32">
        <v>1</v>
      </c>
      <c r="S103" s="32">
        <v>0</v>
      </c>
      <c r="T103" s="32">
        <v>0</v>
      </c>
      <c r="U103" s="69" t="s">
        <v>50</v>
      </c>
      <c r="V103" s="75" t="s">
        <v>157</v>
      </c>
    </row>
    <row r="104" spans="1:22" x14ac:dyDescent="0.3">
      <c r="A104" s="89">
        <v>74</v>
      </c>
      <c r="B104" s="31">
        <v>3</v>
      </c>
      <c r="C104" s="32">
        <v>1</v>
      </c>
      <c r="D104" s="32" t="s">
        <v>22</v>
      </c>
      <c r="E104" s="32">
        <v>0</v>
      </c>
      <c r="F104" s="32">
        <v>1</v>
      </c>
      <c r="G104" s="90"/>
      <c r="H104" s="33" t="s">
        <v>153</v>
      </c>
      <c r="I104" s="35" t="s">
        <v>154</v>
      </c>
      <c r="J104" s="36">
        <v>0</v>
      </c>
      <c r="K104" s="36" t="str">
        <f>IF(J104&gt;=1,"Yes","No")</f>
        <v>No</v>
      </c>
      <c r="L104" s="37">
        <v>1</v>
      </c>
      <c r="M104" s="37" t="str">
        <f>IF(L104&gt;=1,"Yes","No")</f>
        <v>Yes</v>
      </c>
      <c r="N104" s="38">
        <v>0</v>
      </c>
      <c r="O104" s="38" t="str">
        <f>IF(N104&gt;=1,"Yes","No")</f>
        <v>No</v>
      </c>
      <c r="P104" s="36">
        <v>0</v>
      </c>
      <c r="Q104" s="39" t="str">
        <f>IF(P104&gt;=1,"Yes","No")</f>
        <v>No</v>
      </c>
      <c r="R104" s="32">
        <v>1</v>
      </c>
      <c r="S104" s="32">
        <v>0</v>
      </c>
      <c r="T104" s="32">
        <v>0</v>
      </c>
      <c r="U104" s="69" t="s">
        <v>158</v>
      </c>
      <c r="V104" s="75" t="s">
        <v>159</v>
      </c>
    </row>
    <row r="105" spans="1:22" ht="15" thickBot="1" x14ac:dyDescent="0.35">
      <c r="A105" s="89">
        <v>74</v>
      </c>
      <c r="B105" s="18">
        <v>4</v>
      </c>
      <c r="C105" s="19">
        <v>1</v>
      </c>
      <c r="D105" s="19" t="s">
        <v>22</v>
      </c>
      <c r="E105" s="19">
        <v>0</v>
      </c>
      <c r="F105" s="19">
        <v>1</v>
      </c>
      <c r="G105" s="21"/>
      <c r="H105" s="42" t="s">
        <v>153</v>
      </c>
      <c r="I105" s="35" t="s">
        <v>154</v>
      </c>
      <c r="J105" s="23">
        <v>0</v>
      </c>
      <c r="K105" s="91" t="str">
        <f>IF(J105&gt;=1,"Yes","No")</f>
        <v>No</v>
      </c>
      <c r="L105" s="37">
        <v>1</v>
      </c>
      <c r="M105" s="92" t="str">
        <f>IF(L105&gt;=1,"Yes","No")</f>
        <v>Yes</v>
      </c>
      <c r="N105" s="25">
        <v>0</v>
      </c>
      <c r="O105" s="25" t="str">
        <f>IF(N105&gt;=1,"Yes","No")</f>
        <v>No</v>
      </c>
      <c r="P105" s="23">
        <v>0</v>
      </c>
      <c r="Q105" s="26" t="str">
        <f>IF(P105&gt;=1,"Yes","No")</f>
        <v>No</v>
      </c>
      <c r="R105" s="32">
        <v>1</v>
      </c>
      <c r="S105" s="86">
        <v>0</v>
      </c>
      <c r="T105" s="86">
        <v>0</v>
      </c>
      <c r="U105" s="93" t="s">
        <v>160</v>
      </c>
      <c r="V105" s="94" t="s">
        <v>161</v>
      </c>
    </row>
    <row r="106" spans="1:22" ht="15" thickTop="1" x14ac:dyDescent="0.3">
      <c r="A106" s="89">
        <v>75</v>
      </c>
      <c r="B106" s="8">
        <v>1</v>
      </c>
      <c r="C106" s="9">
        <v>1</v>
      </c>
      <c r="D106" s="9" t="s">
        <v>22</v>
      </c>
      <c r="E106" s="9">
        <v>0</v>
      </c>
      <c r="F106" s="9">
        <v>1</v>
      </c>
      <c r="G106" s="28"/>
      <c r="H106" s="28" t="s">
        <v>153</v>
      </c>
      <c r="I106" s="13" t="s">
        <v>154</v>
      </c>
      <c r="J106" s="14">
        <v>0</v>
      </c>
      <c r="K106" s="14" t="str">
        <f>IF(J106&gt;=1,"Yes","No")</f>
        <v>No</v>
      </c>
      <c r="L106" s="15">
        <v>1</v>
      </c>
      <c r="M106" s="15" t="str">
        <f>IF(L106&gt;=1,"Yes","No")</f>
        <v>Yes</v>
      </c>
      <c r="N106" s="16">
        <v>0</v>
      </c>
      <c r="O106" s="16" t="str">
        <f>IF(N106&gt;=1,"Yes","No")</f>
        <v>No</v>
      </c>
      <c r="P106" s="14">
        <v>0</v>
      </c>
      <c r="Q106" s="17" t="str">
        <f>IF(P106&gt;=1,"Yes","No")</f>
        <v>No</v>
      </c>
      <c r="R106" s="9">
        <v>1</v>
      </c>
      <c r="S106" s="9">
        <v>0</v>
      </c>
      <c r="T106" s="78">
        <v>0</v>
      </c>
      <c r="U106" s="95" t="s">
        <v>162</v>
      </c>
      <c r="V106" s="96" t="s">
        <v>163</v>
      </c>
    </row>
    <row r="107" spans="1:22" x14ac:dyDescent="0.3">
      <c r="A107" s="89">
        <v>75</v>
      </c>
      <c r="B107" s="31">
        <v>2</v>
      </c>
      <c r="C107" s="32">
        <v>1</v>
      </c>
      <c r="D107" s="32" t="s">
        <v>22</v>
      </c>
      <c r="E107" s="32">
        <v>0</v>
      </c>
      <c r="F107" s="32">
        <v>1</v>
      </c>
      <c r="G107" s="34"/>
      <c r="H107" s="34" t="s">
        <v>153</v>
      </c>
      <c r="I107" s="35" t="s">
        <v>154</v>
      </c>
      <c r="J107" s="36">
        <v>0</v>
      </c>
      <c r="K107" s="36" t="str">
        <f>IF(J107&gt;=1,"Yes","No")</f>
        <v>No</v>
      </c>
      <c r="L107" s="37">
        <v>1</v>
      </c>
      <c r="M107" s="37" t="str">
        <f>IF(L107&gt;=1,"Yes","No")</f>
        <v>Yes</v>
      </c>
      <c r="N107" s="38">
        <v>0</v>
      </c>
      <c r="O107" s="38" t="str">
        <f>IF(N107&gt;=1,"Yes","No")</f>
        <v>No</v>
      </c>
      <c r="P107" s="36">
        <v>0</v>
      </c>
      <c r="Q107" s="39" t="str">
        <f>IF(P107&gt;=1,"Yes","No")</f>
        <v>No</v>
      </c>
      <c r="R107" s="32">
        <v>1</v>
      </c>
      <c r="S107" s="32">
        <v>0</v>
      </c>
      <c r="T107" s="32">
        <v>0</v>
      </c>
      <c r="U107" s="97" t="s">
        <v>164</v>
      </c>
      <c r="V107" s="98" t="s">
        <v>165</v>
      </c>
    </row>
    <row r="108" spans="1:22" x14ac:dyDescent="0.3">
      <c r="A108" s="89">
        <v>75</v>
      </c>
      <c r="B108" s="31">
        <v>3</v>
      </c>
      <c r="C108" s="32">
        <v>1</v>
      </c>
      <c r="D108" s="32" t="s">
        <v>22</v>
      </c>
      <c r="E108" s="32">
        <v>0</v>
      </c>
      <c r="F108" s="32">
        <v>1</v>
      </c>
      <c r="G108" s="34"/>
      <c r="H108" s="34" t="s">
        <v>153</v>
      </c>
      <c r="I108" s="35" t="s">
        <v>154</v>
      </c>
      <c r="J108" s="36">
        <v>0</v>
      </c>
      <c r="K108" s="36" t="str">
        <f>IF(J108&gt;=1,"Yes","No")</f>
        <v>No</v>
      </c>
      <c r="L108" s="37">
        <v>1</v>
      </c>
      <c r="M108" s="37" t="str">
        <f>IF(L108&gt;=1,"Yes","No")</f>
        <v>Yes</v>
      </c>
      <c r="N108" s="38">
        <v>0</v>
      </c>
      <c r="O108" s="38" t="str">
        <f>IF(N108&gt;=1,"Yes","No")</f>
        <v>No</v>
      </c>
      <c r="P108" s="36">
        <v>0</v>
      </c>
      <c r="Q108" s="39" t="str">
        <f>IF(P108&gt;=1,"Yes","No")</f>
        <v>No</v>
      </c>
      <c r="R108" s="32">
        <v>1</v>
      </c>
      <c r="S108" s="32">
        <v>0</v>
      </c>
      <c r="T108" s="32">
        <v>0</v>
      </c>
      <c r="U108" s="97" t="s">
        <v>166</v>
      </c>
      <c r="V108" s="98" t="s">
        <v>167</v>
      </c>
    </row>
    <row r="109" spans="1:22" ht="15" thickBot="1" x14ac:dyDescent="0.35">
      <c r="A109" s="89">
        <v>75</v>
      </c>
      <c r="B109" s="18">
        <v>4</v>
      </c>
      <c r="C109" s="19">
        <v>1</v>
      </c>
      <c r="D109" s="19" t="s">
        <v>22</v>
      </c>
      <c r="E109" s="19">
        <v>0</v>
      </c>
      <c r="F109" s="19">
        <v>1</v>
      </c>
      <c r="G109" s="43"/>
      <c r="H109" s="43" t="s">
        <v>153</v>
      </c>
      <c r="I109" s="44" t="s">
        <v>154</v>
      </c>
      <c r="J109" s="23">
        <v>0</v>
      </c>
      <c r="K109" s="91" t="str">
        <f>IF(J109&gt;=1,"Yes","No")</f>
        <v>No</v>
      </c>
      <c r="L109" s="37">
        <v>1</v>
      </c>
      <c r="M109" s="92" t="str">
        <f>IF(L109&gt;=1,"Yes","No")</f>
        <v>Yes</v>
      </c>
      <c r="N109" s="25">
        <v>0</v>
      </c>
      <c r="O109" s="25" t="str">
        <f>IF(N109&gt;=1,"Yes","No")</f>
        <v>No</v>
      </c>
      <c r="P109" s="23">
        <v>0</v>
      </c>
      <c r="Q109" s="26" t="str">
        <f>IF(P109&gt;=1,"Yes","No")</f>
        <v>No</v>
      </c>
      <c r="R109" s="32">
        <v>1</v>
      </c>
      <c r="S109" s="86">
        <v>0</v>
      </c>
      <c r="T109" s="86">
        <v>0</v>
      </c>
      <c r="U109" s="99" t="s">
        <v>168</v>
      </c>
      <c r="V109" s="100" t="s">
        <v>169</v>
      </c>
    </row>
    <row r="110" spans="1:22" ht="15" thickTop="1" x14ac:dyDescent="0.3">
      <c r="A110" s="89">
        <v>76</v>
      </c>
      <c r="B110" s="8">
        <v>1</v>
      </c>
      <c r="C110" s="9">
        <v>1</v>
      </c>
      <c r="D110" s="9" t="s">
        <v>22</v>
      </c>
      <c r="E110" s="9">
        <v>0</v>
      </c>
      <c r="F110" s="9">
        <v>1</v>
      </c>
      <c r="G110" s="28"/>
      <c r="H110" s="28" t="s">
        <v>153</v>
      </c>
      <c r="I110" s="13" t="s">
        <v>154</v>
      </c>
      <c r="J110" s="14">
        <v>0</v>
      </c>
      <c r="K110" s="14" t="str">
        <f>IF(J110&gt;=1,"Yes","No")</f>
        <v>No</v>
      </c>
      <c r="L110" s="15">
        <v>1</v>
      </c>
      <c r="M110" s="15" t="str">
        <f>IF(L110&gt;=1,"Yes","No")</f>
        <v>Yes</v>
      </c>
      <c r="N110" s="16">
        <v>0</v>
      </c>
      <c r="O110" s="16" t="str">
        <f>IF(N110&gt;=1,"Yes","No")</f>
        <v>No</v>
      </c>
      <c r="P110" s="14">
        <v>0</v>
      </c>
      <c r="Q110" s="17" t="str">
        <f>IF(P110&gt;=1,"Yes","No")</f>
        <v>No</v>
      </c>
      <c r="R110" s="9">
        <v>1</v>
      </c>
      <c r="S110" s="9">
        <v>1</v>
      </c>
      <c r="T110" s="78">
        <v>0</v>
      </c>
      <c r="U110" s="69" t="s">
        <v>170</v>
      </c>
      <c r="V110" s="101" t="s">
        <v>171</v>
      </c>
    </row>
    <row r="111" spans="1:22" x14ac:dyDescent="0.3">
      <c r="A111" s="89">
        <v>76</v>
      </c>
      <c r="B111" s="31">
        <v>2</v>
      </c>
      <c r="C111" s="32">
        <v>1</v>
      </c>
      <c r="D111" s="32" t="s">
        <v>22</v>
      </c>
      <c r="E111" s="32">
        <v>0</v>
      </c>
      <c r="F111" s="32">
        <v>1</v>
      </c>
      <c r="G111" s="34"/>
      <c r="H111" s="34" t="s">
        <v>153</v>
      </c>
      <c r="I111" s="35" t="s">
        <v>154</v>
      </c>
      <c r="J111" s="36">
        <v>0</v>
      </c>
      <c r="K111" s="36" t="str">
        <f>IF(J111&gt;=1,"Yes","No")</f>
        <v>No</v>
      </c>
      <c r="L111" s="37">
        <v>1</v>
      </c>
      <c r="M111" s="37" t="str">
        <f>IF(L111&gt;=1,"Yes","No")</f>
        <v>Yes</v>
      </c>
      <c r="N111" s="38">
        <v>0</v>
      </c>
      <c r="O111" s="38" t="str">
        <f>IF(N111&gt;=1,"Yes","No")</f>
        <v>No</v>
      </c>
      <c r="P111" s="36">
        <v>0</v>
      </c>
      <c r="Q111" s="39" t="str">
        <f>IF(P111&gt;=1,"Yes","No")</f>
        <v>No</v>
      </c>
      <c r="R111" s="32">
        <v>1</v>
      </c>
      <c r="S111" s="32">
        <v>1</v>
      </c>
      <c r="T111" s="32">
        <v>0</v>
      </c>
      <c r="U111" s="69" t="s">
        <v>172</v>
      </c>
      <c r="V111" s="101" t="s">
        <v>173</v>
      </c>
    </row>
    <row r="112" spans="1:22" x14ac:dyDescent="0.3">
      <c r="A112" s="89">
        <v>76</v>
      </c>
      <c r="B112" s="31">
        <v>3</v>
      </c>
      <c r="C112" s="32">
        <v>1</v>
      </c>
      <c r="D112" s="32" t="s">
        <v>22</v>
      </c>
      <c r="E112" s="32">
        <v>0</v>
      </c>
      <c r="F112" s="32">
        <v>1</v>
      </c>
      <c r="G112" s="34"/>
      <c r="H112" s="34" t="s">
        <v>153</v>
      </c>
      <c r="I112" s="35" t="s">
        <v>154</v>
      </c>
      <c r="J112" s="36">
        <v>0</v>
      </c>
      <c r="K112" s="36" t="str">
        <f>IF(J112&gt;=1,"Yes","No")</f>
        <v>No</v>
      </c>
      <c r="L112" s="37">
        <v>1</v>
      </c>
      <c r="M112" s="37" t="str">
        <f>IF(L112&gt;=1,"Yes","No")</f>
        <v>Yes</v>
      </c>
      <c r="N112" s="38">
        <v>0</v>
      </c>
      <c r="O112" s="38" t="str">
        <f>IF(N112&gt;=1,"Yes","No")</f>
        <v>No</v>
      </c>
      <c r="P112" s="36">
        <v>0</v>
      </c>
      <c r="Q112" s="39" t="str">
        <f>IF(P112&gt;=1,"Yes","No")</f>
        <v>No</v>
      </c>
      <c r="R112" s="32">
        <v>1</v>
      </c>
      <c r="S112" s="32">
        <v>1</v>
      </c>
      <c r="T112" s="32">
        <v>0</v>
      </c>
      <c r="U112" s="69" t="s">
        <v>174</v>
      </c>
      <c r="V112" s="101" t="s">
        <v>175</v>
      </c>
    </row>
    <row r="113" spans="1:22" x14ac:dyDescent="0.3">
      <c r="A113" s="89">
        <v>76</v>
      </c>
      <c r="B113" s="31">
        <v>4</v>
      </c>
      <c r="C113" s="32">
        <v>1</v>
      </c>
      <c r="D113" s="32" t="s">
        <v>22</v>
      </c>
      <c r="E113" s="32">
        <v>0</v>
      </c>
      <c r="F113" s="32">
        <v>1</v>
      </c>
      <c r="G113" s="34"/>
      <c r="H113" s="34" t="s">
        <v>153</v>
      </c>
      <c r="I113" s="35" t="s">
        <v>154</v>
      </c>
      <c r="J113" s="36">
        <v>0</v>
      </c>
      <c r="K113" s="36" t="str">
        <f>IF(J113&gt;=1,"Yes","No")</f>
        <v>No</v>
      </c>
      <c r="L113" s="37">
        <v>1</v>
      </c>
      <c r="M113" s="37" t="str">
        <f>IF(L113&gt;=1,"Yes","No")</f>
        <v>Yes</v>
      </c>
      <c r="N113" s="38">
        <v>0</v>
      </c>
      <c r="O113" s="38" t="str">
        <f>IF(N113&gt;=1,"Yes","No")</f>
        <v>No</v>
      </c>
      <c r="P113" s="36">
        <v>0</v>
      </c>
      <c r="Q113" s="39" t="str">
        <f>IF(P113&gt;=1,"Yes","No")</f>
        <v>No</v>
      </c>
      <c r="R113" s="32">
        <v>1</v>
      </c>
      <c r="S113" s="32">
        <v>1</v>
      </c>
      <c r="T113" s="32">
        <v>0</v>
      </c>
      <c r="U113" s="69" t="s">
        <v>176</v>
      </c>
      <c r="V113" s="101" t="s">
        <v>177</v>
      </c>
    </row>
    <row r="114" spans="1:22" x14ac:dyDescent="0.3">
      <c r="A114" s="89">
        <v>76</v>
      </c>
      <c r="B114" s="31">
        <v>5</v>
      </c>
      <c r="C114" s="32">
        <v>1</v>
      </c>
      <c r="D114" s="32" t="s">
        <v>22</v>
      </c>
      <c r="E114" s="32">
        <v>0</v>
      </c>
      <c r="F114" s="32">
        <v>1</v>
      </c>
      <c r="G114" s="34"/>
      <c r="H114" s="34" t="s">
        <v>153</v>
      </c>
      <c r="I114" s="35" t="s">
        <v>154</v>
      </c>
      <c r="J114" s="36">
        <v>0</v>
      </c>
      <c r="K114" s="36" t="str">
        <f>IF(J114&gt;=1,"Yes","No")</f>
        <v>No</v>
      </c>
      <c r="L114" s="37">
        <v>1</v>
      </c>
      <c r="M114" s="37" t="str">
        <f>IF(L114&gt;=1,"Yes","No")</f>
        <v>Yes</v>
      </c>
      <c r="N114" s="38">
        <v>0</v>
      </c>
      <c r="O114" s="38" t="str">
        <f>IF(N114&gt;=1,"Yes","No")</f>
        <v>No</v>
      </c>
      <c r="P114" s="36">
        <v>0</v>
      </c>
      <c r="Q114" s="39" t="str">
        <f>IF(P114&gt;=1,"Yes","No")</f>
        <v>No</v>
      </c>
      <c r="R114" s="32">
        <v>1</v>
      </c>
      <c r="S114" s="32">
        <v>1</v>
      </c>
      <c r="T114" s="32">
        <v>0</v>
      </c>
      <c r="U114" s="69" t="s">
        <v>178</v>
      </c>
      <c r="V114" s="101" t="s">
        <v>179</v>
      </c>
    </row>
    <row r="115" spans="1:22" ht="15" thickBot="1" x14ac:dyDescent="0.35">
      <c r="A115" s="89">
        <v>76</v>
      </c>
      <c r="B115" s="31">
        <v>6</v>
      </c>
      <c r="C115" s="19">
        <v>1</v>
      </c>
      <c r="D115" s="19" t="s">
        <v>22</v>
      </c>
      <c r="E115" s="19">
        <v>0</v>
      </c>
      <c r="F115" s="19">
        <v>1</v>
      </c>
      <c r="G115" s="43"/>
      <c r="H115" s="43" t="s">
        <v>153</v>
      </c>
      <c r="I115" s="44" t="s">
        <v>154</v>
      </c>
      <c r="J115" s="23">
        <v>0</v>
      </c>
      <c r="K115" s="91" t="str">
        <f>IF(J115&gt;=1,"Yes","No")</f>
        <v>No</v>
      </c>
      <c r="L115" s="37">
        <v>1</v>
      </c>
      <c r="M115" s="92" t="str">
        <f>IF(L115&gt;=1,"Yes","No")</f>
        <v>Yes</v>
      </c>
      <c r="N115" s="25">
        <v>0</v>
      </c>
      <c r="O115" s="25" t="str">
        <f>IF(N115&gt;=1,"Yes","No")</f>
        <v>No</v>
      </c>
      <c r="P115" s="23">
        <v>0</v>
      </c>
      <c r="Q115" s="26" t="str">
        <f>IF(P115&gt;=1,"Yes","No")</f>
        <v>No</v>
      </c>
      <c r="R115" s="32">
        <v>1</v>
      </c>
      <c r="S115" s="86">
        <v>1</v>
      </c>
      <c r="T115" s="86">
        <v>0</v>
      </c>
      <c r="U115" s="69" t="s">
        <v>180</v>
      </c>
      <c r="V115" s="101" t="s">
        <v>181</v>
      </c>
    </row>
    <row r="116" spans="1:22" ht="15" thickTop="1" x14ac:dyDescent="0.3">
      <c r="A116" s="89">
        <v>77</v>
      </c>
      <c r="B116" s="8">
        <v>1</v>
      </c>
      <c r="C116" s="9">
        <v>1</v>
      </c>
      <c r="D116" s="9" t="s">
        <v>22</v>
      </c>
      <c r="E116" s="9">
        <v>0</v>
      </c>
      <c r="F116" s="9">
        <v>1</v>
      </c>
      <c r="G116" s="28"/>
      <c r="H116" s="28" t="s">
        <v>153</v>
      </c>
      <c r="I116" s="13" t="s">
        <v>154</v>
      </c>
      <c r="J116" s="14">
        <v>0</v>
      </c>
      <c r="K116" s="14" t="str">
        <f>IF(J116&gt;=1,"Yes","No")</f>
        <v>No</v>
      </c>
      <c r="L116" s="15">
        <v>1</v>
      </c>
      <c r="M116" s="15" t="str">
        <f>IF(L116&gt;=1,"Yes","No")</f>
        <v>Yes</v>
      </c>
      <c r="N116" s="16">
        <v>0</v>
      </c>
      <c r="O116" s="16" t="str">
        <f>IF(N116&gt;=1,"Yes","No")</f>
        <v>No</v>
      </c>
      <c r="P116" s="14">
        <v>0</v>
      </c>
      <c r="Q116" s="17" t="str">
        <f>IF(P116&gt;=1,"Yes","No")</f>
        <v>No</v>
      </c>
      <c r="R116" s="9">
        <v>1</v>
      </c>
      <c r="S116" s="9">
        <v>1</v>
      </c>
      <c r="T116" s="78">
        <v>0</v>
      </c>
      <c r="U116" s="69" t="s">
        <v>182</v>
      </c>
      <c r="V116" s="75" t="s">
        <v>183</v>
      </c>
    </row>
    <row r="117" spans="1:22" x14ac:dyDescent="0.3">
      <c r="A117" s="89">
        <v>77</v>
      </c>
      <c r="B117" s="31">
        <v>2</v>
      </c>
      <c r="C117" s="32">
        <v>1</v>
      </c>
      <c r="D117" s="32" t="s">
        <v>22</v>
      </c>
      <c r="E117" s="32">
        <v>0</v>
      </c>
      <c r="F117" s="32">
        <v>1</v>
      </c>
      <c r="G117" s="34"/>
      <c r="H117" s="34" t="s">
        <v>153</v>
      </c>
      <c r="I117" s="35" t="s">
        <v>154</v>
      </c>
      <c r="J117" s="36">
        <v>0</v>
      </c>
      <c r="K117" s="36" t="str">
        <f>IF(J117&gt;=1,"Yes","No")</f>
        <v>No</v>
      </c>
      <c r="L117" s="37">
        <v>1</v>
      </c>
      <c r="M117" s="37" t="str">
        <f>IF(L117&gt;=1,"Yes","No")</f>
        <v>Yes</v>
      </c>
      <c r="N117" s="38">
        <v>0</v>
      </c>
      <c r="O117" s="38" t="str">
        <f>IF(N117&gt;=1,"Yes","No")</f>
        <v>No</v>
      </c>
      <c r="P117" s="36">
        <v>0</v>
      </c>
      <c r="Q117" s="39" t="str">
        <f>IF(P117&gt;=1,"Yes","No")</f>
        <v>No</v>
      </c>
      <c r="R117" s="32">
        <v>1</v>
      </c>
      <c r="S117" s="32">
        <v>1</v>
      </c>
      <c r="T117" s="32">
        <v>0</v>
      </c>
      <c r="U117" s="69" t="s">
        <v>38</v>
      </c>
      <c r="V117" s="75" t="s">
        <v>184</v>
      </c>
    </row>
    <row r="118" spans="1:22" x14ac:dyDescent="0.3">
      <c r="A118" s="89">
        <v>77</v>
      </c>
      <c r="B118" s="31">
        <v>3</v>
      </c>
      <c r="C118" s="32">
        <v>1</v>
      </c>
      <c r="D118" s="32" t="s">
        <v>22</v>
      </c>
      <c r="E118" s="32">
        <v>0</v>
      </c>
      <c r="F118" s="32">
        <v>1</v>
      </c>
      <c r="G118" s="34"/>
      <c r="H118" s="34" t="s">
        <v>153</v>
      </c>
      <c r="I118" s="35" t="s">
        <v>154</v>
      </c>
      <c r="J118" s="36">
        <v>0</v>
      </c>
      <c r="K118" s="36" t="str">
        <f>IF(J118&gt;=1,"Yes","No")</f>
        <v>No</v>
      </c>
      <c r="L118" s="37">
        <v>1</v>
      </c>
      <c r="M118" s="37" t="str">
        <f>IF(L118&gt;=1,"Yes","No")</f>
        <v>Yes</v>
      </c>
      <c r="N118" s="38">
        <v>0</v>
      </c>
      <c r="O118" s="38" t="str">
        <f>IF(N118&gt;=1,"Yes","No")</f>
        <v>No</v>
      </c>
      <c r="P118" s="36">
        <v>0</v>
      </c>
      <c r="Q118" s="39" t="str">
        <f>IF(P118&gt;=1,"Yes","No")</f>
        <v>No</v>
      </c>
      <c r="R118" s="32">
        <v>1</v>
      </c>
      <c r="S118" s="32">
        <v>1</v>
      </c>
      <c r="T118" s="32">
        <v>0</v>
      </c>
      <c r="U118" s="69" t="s">
        <v>185</v>
      </c>
      <c r="V118" s="75" t="s">
        <v>186</v>
      </c>
    </row>
    <row r="119" spans="1:22" x14ac:dyDescent="0.3">
      <c r="A119" s="89">
        <v>77</v>
      </c>
      <c r="B119" s="31">
        <v>4</v>
      </c>
      <c r="C119" s="32">
        <v>1</v>
      </c>
      <c r="D119" s="32" t="s">
        <v>22</v>
      </c>
      <c r="E119" s="32">
        <v>0</v>
      </c>
      <c r="F119" s="32">
        <v>1</v>
      </c>
      <c r="G119" s="34"/>
      <c r="H119" s="34" t="s">
        <v>153</v>
      </c>
      <c r="I119" s="35" t="s">
        <v>154</v>
      </c>
      <c r="J119" s="36">
        <v>0</v>
      </c>
      <c r="K119" s="36" t="str">
        <f>IF(J119&gt;=1,"Yes","No")</f>
        <v>No</v>
      </c>
      <c r="L119" s="37">
        <v>1</v>
      </c>
      <c r="M119" s="37" t="str">
        <f>IF(L119&gt;=1,"Yes","No")</f>
        <v>Yes</v>
      </c>
      <c r="N119" s="38">
        <v>0</v>
      </c>
      <c r="O119" s="38" t="str">
        <f>IF(N119&gt;=1,"Yes","No")</f>
        <v>No</v>
      </c>
      <c r="P119" s="36">
        <v>0</v>
      </c>
      <c r="Q119" s="39" t="str">
        <f>IF(P119&gt;=1,"Yes","No")</f>
        <v>No</v>
      </c>
      <c r="R119" s="32">
        <v>1</v>
      </c>
      <c r="S119" s="32">
        <v>1</v>
      </c>
      <c r="T119" s="32">
        <v>0</v>
      </c>
      <c r="U119" s="69" t="s">
        <v>187</v>
      </c>
      <c r="V119" s="75" t="s">
        <v>188</v>
      </c>
    </row>
    <row r="120" spans="1:22" x14ac:dyDescent="0.3">
      <c r="A120" s="89">
        <v>77</v>
      </c>
      <c r="B120" s="31">
        <v>5</v>
      </c>
      <c r="C120" s="32">
        <v>1</v>
      </c>
      <c r="D120" s="32" t="s">
        <v>22</v>
      </c>
      <c r="E120" s="32">
        <v>0</v>
      </c>
      <c r="F120" s="32">
        <v>1</v>
      </c>
      <c r="G120" s="34"/>
      <c r="H120" s="34" t="s">
        <v>153</v>
      </c>
      <c r="I120" s="35" t="s">
        <v>154</v>
      </c>
      <c r="J120" s="36">
        <v>0</v>
      </c>
      <c r="K120" s="36" t="str">
        <f>IF(J120&gt;=1,"Yes","No")</f>
        <v>No</v>
      </c>
      <c r="L120" s="37">
        <v>1</v>
      </c>
      <c r="M120" s="37" t="str">
        <f>IF(L120&gt;=1,"Yes","No")</f>
        <v>Yes</v>
      </c>
      <c r="N120" s="38">
        <v>0</v>
      </c>
      <c r="O120" s="38" t="str">
        <f>IF(N120&gt;=1,"Yes","No")</f>
        <v>No</v>
      </c>
      <c r="P120" s="36">
        <v>0</v>
      </c>
      <c r="Q120" s="39" t="str">
        <f>IF(P120&gt;=1,"Yes","No")</f>
        <v>No</v>
      </c>
      <c r="R120" s="32">
        <v>1</v>
      </c>
      <c r="S120" s="32">
        <v>1</v>
      </c>
      <c r="T120" s="32">
        <v>0</v>
      </c>
      <c r="U120" s="69" t="s">
        <v>189</v>
      </c>
      <c r="V120" s="75" t="s">
        <v>190</v>
      </c>
    </row>
    <row r="121" spans="1:22" ht="15" thickBot="1" x14ac:dyDescent="0.35">
      <c r="A121" s="89">
        <v>77</v>
      </c>
      <c r="B121" s="31">
        <v>6</v>
      </c>
      <c r="C121" s="19">
        <v>1</v>
      </c>
      <c r="D121" s="19" t="s">
        <v>22</v>
      </c>
      <c r="E121" s="19">
        <v>0</v>
      </c>
      <c r="F121" s="19">
        <v>1</v>
      </c>
      <c r="G121" s="43"/>
      <c r="H121" s="43" t="s">
        <v>153</v>
      </c>
      <c r="I121" s="44" t="s">
        <v>154</v>
      </c>
      <c r="J121" s="23">
        <v>0</v>
      </c>
      <c r="K121" s="91" t="str">
        <f>IF(J121&gt;=1,"Yes","No")</f>
        <v>No</v>
      </c>
      <c r="L121" s="37">
        <v>1</v>
      </c>
      <c r="M121" s="92" t="str">
        <f>IF(L121&gt;=1,"Yes","No")</f>
        <v>Yes</v>
      </c>
      <c r="N121" s="25">
        <v>0</v>
      </c>
      <c r="O121" s="25" t="str">
        <f>IF(N121&gt;=1,"Yes","No")</f>
        <v>No</v>
      </c>
      <c r="P121" s="23">
        <v>0</v>
      </c>
      <c r="Q121" s="26" t="str">
        <f>IF(P121&gt;=1,"Yes","No")</f>
        <v>No</v>
      </c>
      <c r="R121" s="32">
        <v>1</v>
      </c>
      <c r="S121" s="86">
        <v>1</v>
      </c>
      <c r="T121" s="86">
        <v>0</v>
      </c>
      <c r="U121" s="69" t="s">
        <v>191</v>
      </c>
      <c r="V121" s="75" t="s">
        <v>192</v>
      </c>
    </row>
    <row r="122" spans="1:22" ht="15" thickTop="1" x14ac:dyDescent="0.3">
      <c r="A122" s="89">
        <v>78</v>
      </c>
      <c r="B122" s="8">
        <v>1</v>
      </c>
      <c r="C122" s="9">
        <v>1</v>
      </c>
      <c r="D122" s="9" t="s">
        <v>193</v>
      </c>
      <c r="E122" s="9">
        <v>0</v>
      </c>
      <c r="F122" s="9">
        <v>1</v>
      </c>
      <c r="G122" s="28"/>
      <c r="H122" s="28" t="s">
        <v>194</v>
      </c>
      <c r="I122" s="13"/>
      <c r="J122" s="14">
        <v>0</v>
      </c>
      <c r="K122" s="14" t="str">
        <f>IF(J122&gt;=1,"Yes","No")</f>
        <v>No</v>
      </c>
      <c r="L122" s="15">
        <v>1</v>
      </c>
      <c r="M122" s="15" t="str">
        <f>IF(L122&gt;=1,"Yes","No")</f>
        <v>Yes</v>
      </c>
      <c r="N122" s="16">
        <v>0</v>
      </c>
      <c r="O122" s="16" t="str">
        <f>IF(N122&gt;=1,"Yes","No")</f>
        <v>No</v>
      </c>
      <c r="P122" s="14">
        <v>0</v>
      </c>
      <c r="Q122" s="17" t="str">
        <f>IF(P122&gt;=1,"Yes","No")</f>
        <v>No</v>
      </c>
      <c r="R122" s="9">
        <v>0</v>
      </c>
      <c r="S122" s="9">
        <v>1</v>
      </c>
      <c r="T122" s="78">
        <v>0</v>
      </c>
      <c r="U122" s="69" t="s">
        <v>195</v>
      </c>
      <c r="V122" s="75" t="s">
        <v>196</v>
      </c>
    </row>
    <row r="123" spans="1:22" x14ac:dyDescent="0.3">
      <c r="A123" s="89">
        <v>78</v>
      </c>
      <c r="B123" s="31">
        <v>2</v>
      </c>
      <c r="C123" s="32">
        <v>1</v>
      </c>
      <c r="D123" s="32" t="s">
        <v>193</v>
      </c>
      <c r="E123" s="32">
        <v>0</v>
      </c>
      <c r="F123" s="32">
        <v>0</v>
      </c>
      <c r="G123" s="34"/>
      <c r="H123" s="34" t="s">
        <v>194</v>
      </c>
      <c r="I123" s="35"/>
      <c r="J123" s="36">
        <v>0</v>
      </c>
      <c r="K123" s="36" t="str">
        <f>IF(J123&gt;=1,"Yes","No")</f>
        <v>No</v>
      </c>
      <c r="L123" s="37">
        <v>1</v>
      </c>
      <c r="M123" s="37" t="str">
        <f>IF(L123&gt;=1,"Yes","No")</f>
        <v>Yes</v>
      </c>
      <c r="N123" s="38">
        <v>0</v>
      </c>
      <c r="O123" s="38" t="str">
        <f>IF(N123&gt;=1,"Yes","No")</f>
        <v>No</v>
      </c>
      <c r="P123" s="36">
        <v>0</v>
      </c>
      <c r="Q123" s="39" t="str">
        <f>IF(P123&gt;=1,"Yes","No")</f>
        <v>No</v>
      </c>
      <c r="R123" s="32">
        <v>0</v>
      </c>
      <c r="S123" s="32">
        <v>1</v>
      </c>
      <c r="T123" s="32">
        <v>0</v>
      </c>
      <c r="U123" s="69" t="s">
        <v>197</v>
      </c>
      <c r="V123" s="75" t="s">
        <v>198</v>
      </c>
    </row>
    <row r="124" spans="1:22" x14ac:dyDescent="0.3">
      <c r="A124" s="89">
        <v>78</v>
      </c>
      <c r="B124" s="31">
        <v>3</v>
      </c>
      <c r="C124" s="32">
        <v>1</v>
      </c>
      <c r="D124" s="32" t="s">
        <v>193</v>
      </c>
      <c r="E124" s="32">
        <v>0</v>
      </c>
      <c r="F124" s="32">
        <v>0</v>
      </c>
      <c r="G124" s="34"/>
      <c r="H124" s="34" t="s">
        <v>194</v>
      </c>
      <c r="I124" s="35"/>
      <c r="J124" s="36">
        <v>0</v>
      </c>
      <c r="K124" s="36" t="str">
        <f>IF(J124&gt;=1,"Yes","No")</f>
        <v>No</v>
      </c>
      <c r="L124" s="37">
        <v>1</v>
      </c>
      <c r="M124" s="37" t="str">
        <f>IF(L124&gt;=1,"Yes","No")</f>
        <v>Yes</v>
      </c>
      <c r="N124" s="38">
        <v>0</v>
      </c>
      <c r="O124" s="38" t="str">
        <f>IF(N124&gt;=1,"Yes","No")</f>
        <v>No</v>
      </c>
      <c r="P124" s="36">
        <v>0</v>
      </c>
      <c r="Q124" s="39" t="str">
        <f>IF(P124&gt;=1,"Yes","No")</f>
        <v>No</v>
      </c>
      <c r="R124" s="32">
        <v>0</v>
      </c>
      <c r="S124" s="32">
        <v>1</v>
      </c>
      <c r="T124" s="32">
        <v>0</v>
      </c>
      <c r="U124" s="69" t="s">
        <v>199</v>
      </c>
      <c r="V124" s="75" t="s">
        <v>200</v>
      </c>
    </row>
    <row r="125" spans="1:22" x14ac:dyDescent="0.3">
      <c r="A125" s="89">
        <v>78</v>
      </c>
      <c r="B125" s="31">
        <v>4</v>
      </c>
      <c r="C125" s="32">
        <v>1</v>
      </c>
      <c r="D125" s="32" t="s">
        <v>193</v>
      </c>
      <c r="E125" s="32">
        <v>0</v>
      </c>
      <c r="F125" s="32">
        <v>0</v>
      </c>
      <c r="G125" s="34"/>
      <c r="H125" s="34" t="s">
        <v>194</v>
      </c>
      <c r="I125" s="35"/>
      <c r="J125" s="36">
        <v>0</v>
      </c>
      <c r="K125" s="36" t="str">
        <f>IF(J125&gt;=1,"Yes","No")</f>
        <v>No</v>
      </c>
      <c r="L125" s="37">
        <v>1</v>
      </c>
      <c r="M125" s="37" t="str">
        <f>IF(L125&gt;=1,"Yes","No")</f>
        <v>Yes</v>
      </c>
      <c r="N125" s="38">
        <v>0</v>
      </c>
      <c r="O125" s="38" t="str">
        <f>IF(N125&gt;=1,"Yes","No")</f>
        <v>No</v>
      </c>
      <c r="P125" s="36">
        <v>0</v>
      </c>
      <c r="Q125" s="39" t="str">
        <f>IF(P125&gt;=1,"Yes","No")</f>
        <v>No</v>
      </c>
      <c r="R125" s="32">
        <v>0</v>
      </c>
      <c r="S125" s="32">
        <v>1</v>
      </c>
      <c r="T125" s="32">
        <v>0</v>
      </c>
      <c r="U125" s="69" t="s">
        <v>201</v>
      </c>
      <c r="V125" s="75" t="s">
        <v>202</v>
      </c>
    </row>
    <row r="126" spans="1:22" x14ac:dyDescent="0.3">
      <c r="A126" s="89">
        <v>78</v>
      </c>
      <c r="B126" s="31">
        <v>5</v>
      </c>
      <c r="C126" s="32">
        <v>1</v>
      </c>
      <c r="D126" s="32" t="s">
        <v>193</v>
      </c>
      <c r="E126" s="32">
        <v>0</v>
      </c>
      <c r="F126" s="32">
        <v>0</v>
      </c>
      <c r="G126" s="34"/>
      <c r="H126" s="34" t="s">
        <v>194</v>
      </c>
      <c r="I126" s="35"/>
      <c r="J126" s="36">
        <v>0</v>
      </c>
      <c r="K126" s="36" t="str">
        <f>IF(J126&gt;=1,"Yes","No")</f>
        <v>No</v>
      </c>
      <c r="L126" s="37">
        <v>1</v>
      </c>
      <c r="M126" s="37" t="str">
        <f>IF(L126&gt;=1,"Yes","No")</f>
        <v>Yes</v>
      </c>
      <c r="N126" s="38">
        <v>0</v>
      </c>
      <c r="O126" s="38" t="str">
        <f>IF(N126&gt;=1,"Yes","No")</f>
        <v>No</v>
      </c>
      <c r="P126" s="36">
        <v>0</v>
      </c>
      <c r="Q126" s="39" t="str">
        <f>IF(P126&gt;=1,"Yes","No")</f>
        <v>No</v>
      </c>
      <c r="R126" s="32">
        <v>0</v>
      </c>
      <c r="S126" s="32">
        <v>1</v>
      </c>
      <c r="T126" s="32">
        <v>0</v>
      </c>
      <c r="U126" s="69" t="s">
        <v>203</v>
      </c>
      <c r="V126" s="75" t="s">
        <v>204</v>
      </c>
    </row>
    <row r="127" spans="1:22" ht="15" thickBot="1" x14ac:dyDescent="0.35">
      <c r="A127" s="89">
        <v>78</v>
      </c>
      <c r="B127" s="31">
        <v>6</v>
      </c>
      <c r="C127" s="19">
        <v>1</v>
      </c>
      <c r="D127" s="19" t="s">
        <v>193</v>
      </c>
      <c r="E127" s="19">
        <v>0</v>
      </c>
      <c r="F127" s="19">
        <v>0</v>
      </c>
      <c r="G127" s="43"/>
      <c r="H127" s="43" t="s">
        <v>194</v>
      </c>
      <c r="I127" s="44"/>
      <c r="J127" s="23">
        <v>0</v>
      </c>
      <c r="K127" s="91" t="str">
        <f>IF(J127&gt;=1,"Yes","No")</f>
        <v>No</v>
      </c>
      <c r="L127" s="37">
        <v>1</v>
      </c>
      <c r="M127" s="92" t="str">
        <f>IF(L127&gt;=1,"Yes","No")</f>
        <v>Yes</v>
      </c>
      <c r="N127" s="25">
        <v>0</v>
      </c>
      <c r="O127" s="25" t="str">
        <f>IF(N127&gt;=1,"Yes","No")</f>
        <v>No</v>
      </c>
      <c r="P127" s="23">
        <v>0</v>
      </c>
      <c r="Q127" s="26" t="str">
        <f>IF(P127&gt;=1,"Yes","No")</f>
        <v>No</v>
      </c>
      <c r="R127" s="32">
        <v>0</v>
      </c>
      <c r="S127" s="86">
        <v>1</v>
      </c>
      <c r="T127" s="86">
        <v>0</v>
      </c>
      <c r="U127" s="69" t="s">
        <v>205</v>
      </c>
      <c r="V127" s="75" t="s">
        <v>206</v>
      </c>
    </row>
    <row r="128" spans="1:22" ht="15" thickTop="1" x14ac:dyDescent="0.3">
      <c r="A128" s="89">
        <v>79</v>
      </c>
      <c r="B128" s="8">
        <v>1</v>
      </c>
      <c r="C128" s="9">
        <v>1</v>
      </c>
      <c r="D128" s="9" t="s">
        <v>193</v>
      </c>
      <c r="E128" s="9">
        <v>0</v>
      </c>
      <c r="F128" s="9">
        <v>1</v>
      </c>
      <c r="G128" s="28"/>
      <c r="H128" s="28" t="s">
        <v>194</v>
      </c>
      <c r="I128" s="13"/>
      <c r="J128" s="14">
        <v>0</v>
      </c>
      <c r="K128" s="14" t="str">
        <f>IF(J128&gt;=1,"Yes","No")</f>
        <v>No</v>
      </c>
      <c r="L128" s="15">
        <v>1</v>
      </c>
      <c r="M128" s="15" t="str">
        <f>IF(L128&gt;=1,"Yes","No")</f>
        <v>Yes</v>
      </c>
      <c r="N128" s="16">
        <v>0</v>
      </c>
      <c r="O128" s="16" t="str">
        <f>IF(N128&gt;=1,"Yes","No")</f>
        <v>No</v>
      </c>
      <c r="P128" s="14">
        <v>0</v>
      </c>
      <c r="Q128" s="17" t="str">
        <f>IF(P128&gt;=1,"Yes","No")</f>
        <v>No</v>
      </c>
      <c r="R128" s="9">
        <v>0</v>
      </c>
      <c r="S128" s="9">
        <v>1</v>
      </c>
      <c r="T128" s="78">
        <v>0</v>
      </c>
      <c r="U128" s="69" t="s">
        <v>207</v>
      </c>
      <c r="V128" s="75" t="s">
        <v>208</v>
      </c>
    </row>
    <row r="129" spans="1:22" x14ac:dyDescent="0.3">
      <c r="A129" s="89">
        <v>79</v>
      </c>
      <c r="B129" s="31">
        <v>2</v>
      </c>
      <c r="C129" s="32">
        <v>1</v>
      </c>
      <c r="D129" s="32" t="s">
        <v>193</v>
      </c>
      <c r="E129" s="32">
        <v>0</v>
      </c>
      <c r="F129" s="32">
        <v>0</v>
      </c>
      <c r="G129" s="34"/>
      <c r="H129" s="34" t="s">
        <v>194</v>
      </c>
      <c r="I129" s="35"/>
      <c r="J129" s="36">
        <v>0</v>
      </c>
      <c r="K129" s="36" t="str">
        <f>IF(J129&gt;=1,"Yes","No")</f>
        <v>No</v>
      </c>
      <c r="L129" s="37">
        <v>1</v>
      </c>
      <c r="M129" s="37" t="str">
        <f>IF(L129&gt;=1,"Yes","No")</f>
        <v>Yes</v>
      </c>
      <c r="N129" s="38">
        <v>0</v>
      </c>
      <c r="O129" s="38" t="str">
        <f>IF(N129&gt;=1,"Yes","No")</f>
        <v>No</v>
      </c>
      <c r="P129" s="36">
        <v>0</v>
      </c>
      <c r="Q129" s="39" t="str">
        <f>IF(P129&gt;=1,"Yes","No")</f>
        <v>No</v>
      </c>
      <c r="R129" s="32">
        <v>0</v>
      </c>
      <c r="S129" s="32">
        <v>1</v>
      </c>
      <c r="T129" s="32">
        <v>0</v>
      </c>
      <c r="U129" s="69" t="s">
        <v>209</v>
      </c>
      <c r="V129" s="75" t="s">
        <v>210</v>
      </c>
    </row>
    <row r="130" spans="1:22" x14ac:dyDescent="0.3">
      <c r="A130" s="89">
        <v>79</v>
      </c>
      <c r="B130" s="31">
        <v>3</v>
      </c>
      <c r="C130" s="32">
        <v>1</v>
      </c>
      <c r="D130" s="32" t="s">
        <v>193</v>
      </c>
      <c r="E130" s="32">
        <v>0</v>
      </c>
      <c r="F130" s="32">
        <v>0</v>
      </c>
      <c r="G130" s="34"/>
      <c r="H130" s="34" t="s">
        <v>194</v>
      </c>
      <c r="I130" s="35"/>
      <c r="J130" s="36">
        <v>0</v>
      </c>
      <c r="K130" s="36" t="str">
        <f>IF(J130&gt;=1,"Yes","No")</f>
        <v>No</v>
      </c>
      <c r="L130" s="37">
        <v>1</v>
      </c>
      <c r="M130" s="37" t="str">
        <f>IF(L130&gt;=1,"Yes","No")</f>
        <v>Yes</v>
      </c>
      <c r="N130" s="38">
        <v>0</v>
      </c>
      <c r="O130" s="38" t="str">
        <f>IF(N130&gt;=1,"Yes","No")</f>
        <v>No</v>
      </c>
      <c r="P130" s="36">
        <v>0</v>
      </c>
      <c r="Q130" s="39" t="str">
        <f>IF(P130&gt;=1,"Yes","No")</f>
        <v>No</v>
      </c>
      <c r="R130" s="32">
        <v>0</v>
      </c>
      <c r="S130" s="32">
        <v>1</v>
      </c>
      <c r="T130" s="32">
        <v>0</v>
      </c>
      <c r="U130" s="69" t="s">
        <v>211</v>
      </c>
      <c r="V130" s="75" t="s">
        <v>212</v>
      </c>
    </row>
    <row r="131" spans="1:22" x14ac:dyDescent="0.3">
      <c r="A131" s="89">
        <v>79</v>
      </c>
      <c r="B131" s="31">
        <v>4</v>
      </c>
      <c r="C131" s="32">
        <v>1</v>
      </c>
      <c r="D131" s="32" t="s">
        <v>193</v>
      </c>
      <c r="E131" s="32">
        <v>0</v>
      </c>
      <c r="F131" s="32">
        <v>0</v>
      </c>
      <c r="G131" s="34"/>
      <c r="H131" s="34" t="s">
        <v>194</v>
      </c>
      <c r="I131" s="35"/>
      <c r="J131" s="36">
        <v>0</v>
      </c>
      <c r="K131" s="36" t="str">
        <f>IF(J131&gt;=1,"Yes","No")</f>
        <v>No</v>
      </c>
      <c r="L131" s="37">
        <v>1</v>
      </c>
      <c r="M131" s="37" t="str">
        <f>IF(L131&gt;=1,"Yes","No")</f>
        <v>Yes</v>
      </c>
      <c r="N131" s="38">
        <v>0</v>
      </c>
      <c r="O131" s="38" t="str">
        <f>IF(N131&gt;=1,"Yes","No")</f>
        <v>No</v>
      </c>
      <c r="P131" s="36">
        <v>0</v>
      </c>
      <c r="Q131" s="39" t="str">
        <f>IF(P131&gt;=1,"Yes","No")</f>
        <v>No</v>
      </c>
      <c r="R131" s="32">
        <v>0</v>
      </c>
      <c r="S131" s="32">
        <v>1</v>
      </c>
      <c r="T131" s="32">
        <v>0</v>
      </c>
      <c r="U131" s="69" t="s">
        <v>213</v>
      </c>
      <c r="V131" s="75" t="s">
        <v>214</v>
      </c>
    </row>
    <row r="132" spans="1:22" x14ac:dyDescent="0.3">
      <c r="A132" s="89">
        <v>79</v>
      </c>
      <c r="B132" s="31">
        <v>5</v>
      </c>
      <c r="C132" s="32">
        <v>1</v>
      </c>
      <c r="D132" s="32" t="s">
        <v>193</v>
      </c>
      <c r="E132" s="32">
        <v>0</v>
      </c>
      <c r="F132" s="32">
        <v>0</v>
      </c>
      <c r="G132" s="34"/>
      <c r="H132" s="34" t="s">
        <v>194</v>
      </c>
      <c r="I132" s="35"/>
      <c r="J132" s="36">
        <v>0</v>
      </c>
      <c r="K132" s="36" t="str">
        <f>IF(J132&gt;=1,"Yes","No")</f>
        <v>No</v>
      </c>
      <c r="L132" s="37">
        <v>1</v>
      </c>
      <c r="M132" s="37" t="str">
        <f>IF(L132&gt;=1,"Yes","No")</f>
        <v>Yes</v>
      </c>
      <c r="N132" s="38">
        <v>0</v>
      </c>
      <c r="O132" s="38" t="str">
        <f>IF(N132&gt;=1,"Yes","No")</f>
        <v>No</v>
      </c>
      <c r="P132" s="36">
        <v>0</v>
      </c>
      <c r="Q132" s="39" t="str">
        <f>IF(P132&gt;=1,"Yes","No")</f>
        <v>No</v>
      </c>
      <c r="R132" s="32">
        <v>0</v>
      </c>
      <c r="S132" s="32">
        <v>1</v>
      </c>
      <c r="T132" s="32">
        <v>0</v>
      </c>
      <c r="U132" s="69" t="s">
        <v>215</v>
      </c>
      <c r="V132" s="75" t="s">
        <v>216</v>
      </c>
    </row>
    <row r="133" spans="1:22" ht="15" thickBot="1" x14ac:dyDescent="0.35">
      <c r="A133" s="89">
        <v>79</v>
      </c>
      <c r="B133" s="102">
        <v>6</v>
      </c>
      <c r="C133" s="86">
        <v>1</v>
      </c>
      <c r="D133" s="86" t="s">
        <v>193</v>
      </c>
      <c r="E133" s="86">
        <v>0</v>
      </c>
      <c r="F133" s="86">
        <v>0</v>
      </c>
      <c r="G133" s="43"/>
      <c r="H133" s="43" t="s">
        <v>194</v>
      </c>
      <c r="I133" s="103"/>
      <c r="J133" s="91">
        <v>0</v>
      </c>
      <c r="K133" s="91" t="str">
        <f>IF(J133&gt;=1,"Yes","No")</f>
        <v>No</v>
      </c>
      <c r="L133" s="92">
        <v>1</v>
      </c>
      <c r="M133" s="92" t="str">
        <f>IF(L133&gt;=1,"Yes","No")</f>
        <v>Yes</v>
      </c>
      <c r="N133" s="104">
        <v>0</v>
      </c>
      <c r="O133" s="104" t="str">
        <f>IF(N133&gt;=1,"Yes","No")</f>
        <v>No</v>
      </c>
      <c r="P133" s="91">
        <v>0</v>
      </c>
      <c r="Q133" s="105" t="str">
        <f>IF(P133&gt;=1,"Yes","No")</f>
        <v>No</v>
      </c>
      <c r="R133" s="86">
        <v>0</v>
      </c>
      <c r="S133" s="86">
        <v>1</v>
      </c>
      <c r="T133" s="86">
        <v>0</v>
      </c>
      <c r="U133" s="69" t="s">
        <v>217</v>
      </c>
      <c r="V133" s="75" t="s">
        <v>218</v>
      </c>
    </row>
    <row r="134" spans="1:22" ht="15" thickTop="1" x14ac:dyDescent="0.3">
      <c r="A134" s="89">
        <v>80</v>
      </c>
      <c r="B134" s="106">
        <v>1</v>
      </c>
      <c r="C134" s="9">
        <v>1</v>
      </c>
      <c r="D134" s="9" t="s">
        <v>22</v>
      </c>
      <c r="E134" s="9">
        <v>0</v>
      </c>
      <c r="F134" s="9">
        <v>1</v>
      </c>
      <c r="G134" s="28"/>
      <c r="H134" s="28" t="s">
        <v>153</v>
      </c>
      <c r="I134" s="107" t="s">
        <v>219</v>
      </c>
      <c r="J134" s="108">
        <v>0</v>
      </c>
      <c r="K134" s="109" t="str">
        <f>IF(J134&gt;=1,"Yes","No")</f>
        <v>No</v>
      </c>
      <c r="L134" s="110">
        <v>1</v>
      </c>
      <c r="M134" s="111" t="str">
        <f>IF(L134&gt;=1,"Yes","No")</f>
        <v>Yes</v>
      </c>
      <c r="N134" s="112">
        <v>0</v>
      </c>
      <c r="O134" s="113" t="str">
        <f>IF(N134&gt;=1,"Yes","No")</f>
        <v>No</v>
      </c>
      <c r="P134" s="108">
        <v>0</v>
      </c>
      <c r="Q134" s="114" t="str">
        <f>IF(P134&gt;=1,"Yes","No")</f>
        <v>No</v>
      </c>
      <c r="R134" s="9">
        <v>1</v>
      </c>
      <c r="S134" s="9">
        <v>1</v>
      </c>
      <c r="T134" s="9">
        <v>0</v>
      </c>
      <c r="U134" s="67" t="s">
        <v>220</v>
      </c>
      <c r="V134" s="30" t="s">
        <v>221</v>
      </c>
    </row>
    <row r="135" spans="1:22" x14ac:dyDescent="0.3">
      <c r="A135" s="89">
        <v>80</v>
      </c>
      <c r="B135" s="115">
        <v>2</v>
      </c>
      <c r="C135" s="32">
        <v>1</v>
      </c>
      <c r="D135" s="32" t="s">
        <v>22</v>
      </c>
      <c r="E135" s="32">
        <v>0</v>
      </c>
      <c r="F135" s="32">
        <v>1</v>
      </c>
      <c r="G135" s="34"/>
      <c r="H135" s="34" t="s">
        <v>153</v>
      </c>
      <c r="I135" s="116" t="s">
        <v>219</v>
      </c>
      <c r="J135" s="117">
        <v>0</v>
      </c>
      <c r="K135" s="118" t="str">
        <f>IF(J135&gt;=1,"Yes","No")</f>
        <v>No</v>
      </c>
      <c r="L135" s="119">
        <v>1</v>
      </c>
      <c r="M135" s="120" t="str">
        <f>IF(L135&gt;=1,"Yes","No")</f>
        <v>Yes</v>
      </c>
      <c r="N135" s="121">
        <v>0</v>
      </c>
      <c r="O135" s="122" t="str">
        <f>IF(N135&gt;=1,"Yes","No")</f>
        <v>No</v>
      </c>
      <c r="P135" s="117">
        <v>0</v>
      </c>
      <c r="Q135" s="123" t="str">
        <f>IF(P135&gt;=1,"Yes","No")</f>
        <v>No</v>
      </c>
      <c r="R135" s="32">
        <v>1</v>
      </c>
      <c r="S135" s="32">
        <v>1</v>
      </c>
      <c r="T135" s="32">
        <v>0</v>
      </c>
      <c r="U135" s="69" t="s">
        <v>222</v>
      </c>
      <c r="V135" s="41" t="s">
        <v>223</v>
      </c>
    </row>
    <row r="136" spans="1:22" x14ac:dyDescent="0.3">
      <c r="A136" s="89">
        <v>80</v>
      </c>
      <c r="B136" s="115">
        <v>3</v>
      </c>
      <c r="C136" s="32">
        <v>1</v>
      </c>
      <c r="D136" s="32" t="s">
        <v>22</v>
      </c>
      <c r="E136" s="32">
        <v>0</v>
      </c>
      <c r="F136" s="32">
        <v>1</v>
      </c>
      <c r="G136" s="34"/>
      <c r="H136" s="34" t="s">
        <v>153</v>
      </c>
      <c r="I136" s="116" t="s">
        <v>219</v>
      </c>
      <c r="J136" s="117">
        <v>0</v>
      </c>
      <c r="K136" s="118" t="str">
        <f>IF(J136&gt;=1,"Yes","No")</f>
        <v>No</v>
      </c>
      <c r="L136" s="119">
        <v>1</v>
      </c>
      <c r="M136" s="120" t="str">
        <f>IF(L136&gt;=1,"Yes","No")</f>
        <v>Yes</v>
      </c>
      <c r="N136" s="121">
        <v>0</v>
      </c>
      <c r="O136" s="122" t="str">
        <f>IF(N136&gt;=1,"Yes","No")</f>
        <v>No</v>
      </c>
      <c r="P136" s="117">
        <v>0</v>
      </c>
      <c r="Q136" s="123" t="str">
        <f>IF(P136&gt;=1,"Yes","No")</f>
        <v>No</v>
      </c>
      <c r="R136" s="32">
        <v>1</v>
      </c>
      <c r="S136" s="32">
        <v>1</v>
      </c>
      <c r="T136" s="32">
        <v>0</v>
      </c>
      <c r="U136" s="69" t="s">
        <v>224</v>
      </c>
      <c r="V136" s="41" t="s">
        <v>225</v>
      </c>
    </row>
    <row r="137" spans="1:22" x14ac:dyDescent="0.3">
      <c r="A137" s="89">
        <v>80</v>
      </c>
      <c r="B137" s="115">
        <v>4</v>
      </c>
      <c r="C137" s="32">
        <v>1</v>
      </c>
      <c r="D137" s="32" t="s">
        <v>22</v>
      </c>
      <c r="E137" s="32">
        <v>0</v>
      </c>
      <c r="F137" s="32">
        <v>1</v>
      </c>
      <c r="G137" s="34"/>
      <c r="H137" s="34" t="s">
        <v>153</v>
      </c>
      <c r="I137" s="116" t="s">
        <v>219</v>
      </c>
      <c r="J137" s="117">
        <v>0</v>
      </c>
      <c r="K137" s="118" t="str">
        <f>IF(J137&gt;=1,"Yes","No")</f>
        <v>No</v>
      </c>
      <c r="L137" s="119">
        <v>1</v>
      </c>
      <c r="M137" s="120" t="str">
        <f>IF(L137&gt;=1,"Yes","No")</f>
        <v>Yes</v>
      </c>
      <c r="N137" s="121">
        <v>0</v>
      </c>
      <c r="O137" s="122" t="str">
        <f>IF(N137&gt;=1,"Yes","No")</f>
        <v>No</v>
      </c>
      <c r="P137" s="117">
        <v>0</v>
      </c>
      <c r="Q137" s="123" t="str">
        <f>IF(P137&gt;=1,"Yes","No")</f>
        <v>No</v>
      </c>
      <c r="R137" s="32">
        <v>1</v>
      </c>
      <c r="S137" s="32">
        <v>1</v>
      </c>
      <c r="T137" s="32">
        <v>0</v>
      </c>
      <c r="U137" s="69" t="s">
        <v>226</v>
      </c>
      <c r="V137" s="41" t="s">
        <v>227</v>
      </c>
    </row>
    <row r="138" spans="1:22" x14ac:dyDescent="0.3">
      <c r="A138" s="89">
        <v>80</v>
      </c>
      <c r="B138" s="115">
        <v>5</v>
      </c>
      <c r="C138" s="32">
        <v>1</v>
      </c>
      <c r="D138" s="32" t="s">
        <v>22</v>
      </c>
      <c r="E138" s="32">
        <v>0</v>
      </c>
      <c r="F138" s="32">
        <v>1</v>
      </c>
      <c r="G138" s="34"/>
      <c r="H138" s="34" t="s">
        <v>153</v>
      </c>
      <c r="I138" s="116" t="s">
        <v>219</v>
      </c>
      <c r="J138" s="117">
        <v>0</v>
      </c>
      <c r="K138" s="118" t="str">
        <f>IF(J138&gt;=1,"Yes","No")</f>
        <v>No</v>
      </c>
      <c r="L138" s="119">
        <v>1</v>
      </c>
      <c r="M138" s="120" t="str">
        <f>IF(L138&gt;=1,"Yes","No")</f>
        <v>Yes</v>
      </c>
      <c r="N138" s="121">
        <v>0</v>
      </c>
      <c r="O138" s="122" t="str">
        <f>IF(N138&gt;=1,"Yes","No")</f>
        <v>No</v>
      </c>
      <c r="P138" s="117">
        <v>0</v>
      </c>
      <c r="Q138" s="123" t="str">
        <f>IF(P138&gt;=1,"Yes","No")</f>
        <v>No</v>
      </c>
      <c r="R138" s="32">
        <v>1</v>
      </c>
      <c r="S138" s="32">
        <v>1</v>
      </c>
      <c r="T138" s="32">
        <v>0</v>
      </c>
      <c r="U138" s="69" t="s">
        <v>228</v>
      </c>
      <c r="V138" s="41"/>
    </row>
    <row r="139" spans="1:22" ht="15" thickBot="1" x14ac:dyDescent="0.35">
      <c r="A139" s="89">
        <v>80</v>
      </c>
      <c r="B139" s="124">
        <v>6</v>
      </c>
      <c r="C139" s="19">
        <v>1</v>
      </c>
      <c r="D139" s="19" t="s">
        <v>22</v>
      </c>
      <c r="E139" s="19">
        <v>0</v>
      </c>
      <c r="F139" s="19">
        <v>1</v>
      </c>
      <c r="G139" s="43"/>
      <c r="H139" s="43" t="s">
        <v>153</v>
      </c>
      <c r="I139" s="125" t="s">
        <v>219</v>
      </c>
      <c r="J139" s="126">
        <v>0</v>
      </c>
      <c r="K139" s="127" t="str">
        <f>IF(J139&gt;=1,"Yes","No")</f>
        <v>No</v>
      </c>
      <c r="L139" s="128">
        <v>1</v>
      </c>
      <c r="M139" s="129" t="str">
        <f>IF(L139&gt;=1,"Yes","No")</f>
        <v>Yes</v>
      </c>
      <c r="N139" s="130">
        <v>0</v>
      </c>
      <c r="O139" s="131" t="str">
        <f>IF(N139&gt;=1,"Yes","No")</f>
        <v>No</v>
      </c>
      <c r="P139" s="126">
        <v>0</v>
      </c>
      <c r="Q139" s="132" t="str">
        <f>IF(P139&gt;=1,"Yes","No")</f>
        <v>No</v>
      </c>
      <c r="R139" s="19">
        <v>1</v>
      </c>
      <c r="S139" s="19">
        <v>1</v>
      </c>
      <c r="T139" s="19">
        <v>0</v>
      </c>
      <c r="U139" s="87" t="s">
        <v>229</v>
      </c>
      <c r="V139" s="46"/>
    </row>
    <row r="140" spans="1:22" ht="15" thickTop="1" x14ac:dyDescent="0.3">
      <c r="A140" s="89">
        <v>81</v>
      </c>
      <c r="B140" s="8">
        <v>1</v>
      </c>
      <c r="C140" s="9">
        <v>1</v>
      </c>
      <c r="D140" s="9" t="s">
        <v>193</v>
      </c>
      <c r="E140" s="9">
        <v>0</v>
      </c>
      <c r="F140" s="9">
        <v>1</v>
      </c>
      <c r="G140" s="28"/>
      <c r="H140" s="28" t="s">
        <v>230</v>
      </c>
      <c r="I140" s="107"/>
      <c r="J140" s="108">
        <v>0</v>
      </c>
      <c r="K140" s="109" t="str">
        <f>IF(J140&gt;=1,"Yes","No")</f>
        <v>No</v>
      </c>
      <c r="L140" s="110">
        <v>1</v>
      </c>
      <c r="M140" s="111" t="str">
        <f>IF(L140&gt;=1,"Yes","No")</f>
        <v>Yes</v>
      </c>
      <c r="N140" s="112">
        <v>0</v>
      </c>
      <c r="O140" s="113" t="str">
        <f>IF(N140&gt;=1,"Yes","No")</f>
        <v>No</v>
      </c>
      <c r="P140" s="108">
        <v>0</v>
      </c>
      <c r="Q140" s="114" t="str">
        <f>IF(P140&gt;=1,"Yes","No")</f>
        <v>No</v>
      </c>
      <c r="R140" s="9">
        <v>1</v>
      </c>
      <c r="S140" s="9">
        <v>0</v>
      </c>
      <c r="T140" s="9">
        <v>0</v>
      </c>
      <c r="U140" s="9"/>
      <c r="V140" s="9"/>
    </row>
    <row r="141" spans="1:22" x14ac:dyDescent="0.3">
      <c r="A141" s="89">
        <v>81</v>
      </c>
      <c r="B141" s="31">
        <v>2</v>
      </c>
      <c r="C141" s="32">
        <v>1</v>
      </c>
      <c r="D141" s="32" t="s">
        <v>193</v>
      </c>
      <c r="E141" s="32">
        <v>0</v>
      </c>
      <c r="F141" s="32">
        <v>1</v>
      </c>
      <c r="G141" s="34"/>
      <c r="H141" s="34" t="s">
        <v>230</v>
      </c>
      <c r="I141" s="116"/>
      <c r="J141" s="117">
        <v>0</v>
      </c>
      <c r="K141" s="118" t="str">
        <f>IF(J141&gt;=1,"Yes","No")</f>
        <v>No</v>
      </c>
      <c r="L141" s="119">
        <v>1</v>
      </c>
      <c r="M141" s="120" t="str">
        <f>IF(L141&gt;=1,"Yes","No")</f>
        <v>Yes</v>
      </c>
      <c r="N141" s="121">
        <v>0</v>
      </c>
      <c r="O141" s="122" t="str">
        <f>IF(N141&gt;=1,"Yes","No")</f>
        <v>No</v>
      </c>
      <c r="P141" s="117">
        <v>0</v>
      </c>
      <c r="Q141" s="123" t="str">
        <f>IF(P141&gt;=1,"Yes","No")</f>
        <v>No</v>
      </c>
      <c r="R141" s="32">
        <v>1</v>
      </c>
      <c r="S141" s="32">
        <v>0</v>
      </c>
      <c r="T141" s="32">
        <v>0</v>
      </c>
      <c r="U141" s="32"/>
      <c r="V141" s="32"/>
    </row>
    <row r="142" spans="1:22" x14ac:dyDescent="0.3">
      <c r="A142" s="89">
        <v>81</v>
      </c>
      <c r="B142" s="31">
        <v>3</v>
      </c>
      <c r="C142" s="32">
        <v>1</v>
      </c>
      <c r="D142" s="32" t="s">
        <v>193</v>
      </c>
      <c r="E142" s="32">
        <v>0</v>
      </c>
      <c r="F142" s="32">
        <v>1</v>
      </c>
      <c r="G142" s="34"/>
      <c r="H142" s="34" t="s">
        <v>230</v>
      </c>
      <c r="I142" s="116"/>
      <c r="J142" s="117">
        <v>0</v>
      </c>
      <c r="K142" s="118" t="str">
        <f>IF(J142&gt;=1,"Yes","No")</f>
        <v>No</v>
      </c>
      <c r="L142" s="119">
        <v>1</v>
      </c>
      <c r="M142" s="120" t="str">
        <f>IF(L142&gt;=1,"Yes","No")</f>
        <v>Yes</v>
      </c>
      <c r="N142" s="121">
        <v>0</v>
      </c>
      <c r="O142" s="122" t="str">
        <f>IF(N142&gt;=1,"Yes","No")</f>
        <v>No</v>
      </c>
      <c r="P142" s="117">
        <v>0</v>
      </c>
      <c r="Q142" s="123" t="str">
        <f>IF(P142&gt;=1,"Yes","No")</f>
        <v>No</v>
      </c>
      <c r="R142" s="32">
        <v>1</v>
      </c>
      <c r="S142" s="32">
        <v>0</v>
      </c>
      <c r="T142" s="32">
        <v>0</v>
      </c>
      <c r="U142" s="32"/>
      <c r="V142" s="32"/>
    </row>
    <row r="143" spans="1:22" x14ac:dyDescent="0.3">
      <c r="A143" s="89">
        <v>81</v>
      </c>
      <c r="B143" s="31">
        <v>4</v>
      </c>
      <c r="C143" s="32">
        <v>1</v>
      </c>
      <c r="D143" s="32" t="s">
        <v>193</v>
      </c>
      <c r="E143" s="32">
        <v>0</v>
      </c>
      <c r="F143" s="32">
        <v>1</v>
      </c>
      <c r="G143" s="34"/>
      <c r="H143" s="34" t="s">
        <v>230</v>
      </c>
      <c r="I143" s="116"/>
      <c r="J143" s="117">
        <v>0</v>
      </c>
      <c r="K143" s="118" t="str">
        <f>IF(J143&gt;=1,"Yes","No")</f>
        <v>No</v>
      </c>
      <c r="L143" s="119">
        <v>1</v>
      </c>
      <c r="M143" s="120" t="str">
        <f>IF(L143&gt;=1,"Yes","No")</f>
        <v>Yes</v>
      </c>
      <c r="N143" s="121">
        <v>0</v>
      </c>
      <c r="O143" s="122" t="str">
        <f>IF(N143&gt;=1,"Yes","No")</f>
        <v>No</v>
      </c>
      <c r="P143" s="117">
        <v>0</v>
      </c>
      <c r="Q143" s="123" t="str">
        <f>IF(P143&gt;=1,"Yes","No")</f>
        <v>No</v>
      </c>
      <c r="R143" s="32">
        <v>1</v>
      </c>
      <c r="S143" s="32">
        <v>0</v>
      </c>
      <c r="T143" s="32">
        <v>0</v>
      </c>
      <c r="U143" s="32"/>
      <c r="V143" s="32"/>
    </row>
    <row r="144" spans="1:22" x14ac:dyDescent="0.3">
      <c r="A144" s="89">
        <v>81</v>
      </c>
      <c r="B144" s="31">
        <v>5</v>
      </c>
      <c r="C144" s="32">
        <v>1</v>
      </c>
      <c r="D144" s="32" t="s">
        <v>193</v>
      </c>
      <c r="E144" s="32">
        <v>0</v>
      </c>
      <c r="F144" s="32">
        <v>1</v>
      </c>
      <c r="G144" s="34"/>
      <c r="H144" s="34" t="s">
        <v>230</v>
      </c>
      <c r="I144" s="116"/>
      <c r="J144" s="117">
        <v>0</v>
      </c>
      <c r="K144" s="118" t="str">
        <f>IF(J144&gt;=1,"Yes","No")</f>
        <v>No</v>
      </c>
      <c r="L144" s="119">
        <v>1</v>
      </c>
      <c r="M144" s="120" t="str">
        <f>IF(L144&gt;=1,"Yes","No")</f>
        <v>Yes</v>
      </c>
      <c r="N144" s="121">
        <v>0</v>
      </c>
      <c r="O144" s="122" t="str">
        <f>IF(N144&gt;=1,"Yes","No")</f>
        <v>No</v>
      </c>
      <c r="P144" s="117">
        <v>0</v>
      </c>
      <c r="Q144" s="123" t="str">
        <f>IF(P144&gt;=1,"Yes","No")</f>
        <v>No</v>
      </c>
      <c r="R144" s="32">
        <v>1</v>
      </c>
      <c r="S144" s="32">
        <v>0</v>
      </c>
      <c r="T144" s="32">
        <v>0</v>
      </c>
      <c r="U144" s="32"/>
      <c r="V144" s="32"/>
    </row>
    <row r="145" spans="1:22" x14ac:dyDescent="0.3">
      <c r="A145" s="89">
        <v>81</v>
      </c>
      <c r="B145" s="31">
        <v>6</v>
      </c>
      <c r="C145" s="32">
        <v>1</v>
      </c>
      <c r="D145" s="32" t="s">
        <v>193</v>
      </c>
      <c r="E145" s="32">
        <v>0</v>
      </c>
      <c r="F145" s="32">
        <v>1</v>
      </c>
      <c r="G145" s="34"/>
      <c r="H145" s="34" t="s">
        <v>230</v>
      </c>
      <c r="I145" s="116"/>
      <c r="J145" s="117">
        <v>0</v>
      </c>
      <c r="K145" s="118" t="str">
        <f>IF(J145&gt;=1,"Yes","No")</f>
        <v>No</v>
      </c>
      <c r="L145" s="119">
        <v>1</v>
      </c>
      <c r="M145" s="120" t="str">
        <f>IF(L145&gt;=1,"Yes","No")</f>
        <v>Yes</v>
      </c>
      <c r="N145" s="121">
        <v>0</v>
      </c>
      <c r="O145" s="122" t="str">
        <f>IF(N145&gt;=1,"Yes","No")</f>
        <v>No</v>
      </c>
      <c r="P145" s="117">
        <v>0</v>
      </c>
      <c r="Q145" s="123" t="str">
        <f>IF(P145&gt;=1,"Yes","No")</f>
        <v>No</v>
      </c>
      <c r="R145" s="32">
        <v>1</v>
      </c>
      <c r="S145" s="32">
        <v>0</v>
      </c>
      <c r="T145" s="32">
        <v>0</v>
      </c>
      <c r="U145" s="32"/>
      <c r="V145" s="32"/>
    </row>
    <row r="146" spans="1:22" x14ac:dyDescent="0.3">
      <c r="A146" s="89">
        <v>81</v>
      </c>
      <c r="B146" s="31">
        <v>7</v>
      </c>
      <c r="C146" s="32">
        <v>1</v>
      </c>
      <c r="D146" s="32" t="s">
        <v>193</v>
      </c>
      <c r="E146" s="32">
        <v>0</v>
      </c>
      <c r="F146" s="32">
        <v>1</v>
      </c>
      <c r="G146" s="34"/>
      <c r="H146" s="34" t="s">
        <v>230</v>
      </c>
      <c r="I146" s="116"/>
      <c r="J146" s="117">
        <v>0</v>
      </c>
      <c r="K146" s="118" t="str">
        <f>IF(J146&gt;=1,"Yes","No")</f>
        <v>No</v>
      </c>
      <c r="L146" s="119">
        <v>1</v>
      </c>
      <c r="M146" s="120" t="str">
        <f>IF(L146&gt;=1,"Yes","No")</f>
        <v>Yes</v>
      </c>
      <c r="N146" s="121">
        <v>0</v>
      </c>
      <c r="O146" s="122" t="str">
        <f>IF(N146&gt;=1,"Yes","No")</f>
        <v>No</v>
      </c>
      <c r="P146" s="117">
        <v>0</v>
      </c>
      <c r="Q146" s="123" t="str">
        <f>IF(P146&gt;=1,"Yes","No")</f>
        <v>No</v>
      </c>
      <c r="R146" s="32">
        <v>1</v>
      </c>
      <c r="S146" s="32">
        <v>0</v>
      </c>
      <c r="T146" s="32">
        <v>0</v>
      </c>
      <c r="U146" s="32"/>
      <c r="V146" s="32"/>
    </row>
    <row r="147" spans="1:22" x14ac:dyDescent="0.3">
      <c r="A147" s="89">
        <v>81</v>
      </c>
      <c r="B147" s="31">
        <v>8</v>
      </c>
      <c r="C147" s="32">
        <v>1</v>
      </c>
      <c r="D147" s="32" t="s">
        <v>193</v>
      </c>
      <c r="E147" s="32">
        <v>0</v>
      </c>
      <c r="F147" s="32">
        <v>1</v>
      </c>
      <c r="G147" s="34"/>
      <c r="H147" s="34" t="s">
        <v>230</v>
      </c>
      <c r="I147" s="116"/>
      <c r="J147" s="117">
        <v>0</v>
      </c>
      <c r="K147" s="118" t="str">
        <f>IF(J147&gt;=1,"Yes","No")</f>
        <v>No</v>
      </c>
      <c r="L147" s="119">
        <v>1</v>
      </c>
      <c r="M147" s="120" t="str">
        <f>IF(L147&gt;=1,"Yes","No")</f>
        <v>Yes</v>
      </c>
      <c r="N147" s="121">
        <v>0</v>
      </c>
      <c r="O147" s="122" t="str">
        <f>IF(N147&gt;=1,"Yes","No")</f>
        <v>No</v>
      </c>
      <c r="P147" s="117">
        <v>0</v>
      </c>
      <c r="Q147" s="123" t="str">
        <f>IF(P147&gt;=1,"Yes","No")</f>
        <v>No</v>
      </c>
      <c r="R147" s="32">
        <v>1</v>
      </c>
      <c r="S147" s="32">
        <v>0</v>
      </c>
      <c r="T147" s="32">
        <v>0</v>
      </c>
      <c r="U147" s="32"/>
      <c r="V147" s="32"/>
    </row>
    <row r="148" spans="1:22" x14ac:dyDescent="0.3">
      <c r="A148" s="89">
        <v>81</v>
      </c>
      <c r="B148" s="31">
        <v>9</v>
      </c>
      <c r="C148" s="32">
        <v>1</v>
      </c>
      <c r="D148" s="32" t="s">
        <v>193</v>
      </c>
      <c r="E148" s="32">
        <v>0</v>
      </c>
      <c r="F148" s="32">
        <v>1</v>
      </c>
      <c r="G148" s="34"/>
      <c r="H148" s="34" t="s">
        <v>230</v>
      </c>
      <c r="I148" s="116"/>
      <c r="J148" s="117">
        <v>0</v>
      </c>
      <c r="K148" s="118" t="str">
        <f>IF(J148&gt;=1,"Yes","No")</f>
        <v>No</v>
      </c>
      <c r="L148" s="119">
        <v>1</v>
      </c>
      <c r="M148" s="120" t="str">
        <f>IF(L148&gt;=1,"Yes","No")</f>
        <v>Yes</v>
      </c>
      <c r="N148" s="121">
        <v>0</v>
      </c>
      <c r="O148" s="122" t="str">
        <f>IF(N148&gt;=1,"Yes","No")</f>
        <v>No</v>
      </c>
      <c r="P148" s="117">
        <v>0</v>
      </c>
      <c r="Q148" s="123" t="str">
        <f>IF(P148&gt;=1,"Yes","No")</f>
        <v>No</v>
      </c>
      <c r="R148" s="32">
        <v>1</v>
      </c>
      <c r="S148" s="32">
        <v>0</v>
      </c>
      <c r="T148" s="32">
        <v>0</v>
      </c>
      <c r="U148" s="32"/>
      <c r="V148" s="32"/>
    </row>
    <row r="149" spans="1:22" ht="15" thickBot="1" x14ac:dyDescent="0.35">
      <c r="A149" s="89">
        <v>81</v>
      </c>
      <c r="B149" s="18">
        <v>10</v>
      </c>
      <c r="C149" s="19">
        <v>1</v>
      </c>
      <c r="D149" s="19" t="s">
        <v>193</v>
      </c>
      <c r="E149" s="19">
        <v>0</v>
      </c>
      <c r="F149" s="19">
        <v>1</v>
      </c>
      <c r="G149" s="43"/>
      <c r="H149" s="43" t="s">
        <v>230</v>
      </c>
      <c r="I149" s="125"/>
      <c r="J149" s="126">
        <v>0</v>
      </c>
      <c r="K149" s="127" t="str">
        <f>IF(J149&gt;=1,"Yes","No")</f>
        <v>No</v>
      </c>
      <c r="L149" s="128">
        <v>1</v>
      </c>
      <c r="M149" s="129" t="str">
        <f>IF(L149&gt;=1,"Yes","No")</f>
        <v>Yes</v>
      </c>
      <c r="N149" s="130">
        <v>0</v>
      </c>
      <c r="O149" s="131" t="str">
        <f>IF(N149&gt;=1,"Yes","No")</f>
        <v>No</v>
      </c>
      <c r="P149" s="126">
        <v>0</v>
      </c>
      <c r="Q149" s="132" t="str">
        <f>IF(P149&gt;=1,"Yes","No")</f>
        <v>No</v>
      </c>
      <c r="R149" s="19">
        <v>1</v>
      </c>
      <c r="S149" s="19">
        <v>0</v>
      </c>
      <c r="T149" s="19">
        <v>0</v>
      </c>
      <c r="U149" s="19"/>
      <c r="V149" s="19"/>
    </row>
    <row r="150" spans="1:22" ht="15" thickTop="1" x14ac:dyDescent="0.3">
      <c r="A150" s="89">
        <v>82</v>
      </c>
      <c r="B150" s="106">
        <v>1</v>
      </c>
      <c r="C150" s="9">
        <v>1</v>
      </c>
      <c r="D150" s="9" t="s">
        <v>22</v>
      </c>
      <c r="E150" s="9">
        <v>0</v>
      </c>
      <c r="F150" s="9">
        <v>1</v>
      </c>
      <c r="G150" s="28"/>
      <c r="H150" s="28" t="s">
        <v>153</v>
      </c>
      <c r="I150" s="107" t="s">
        <v>231</v>
      </c>
      <c r="J150" s="108">
        <v>0</v>
      </c>
      <c r="K150" s="109" t="str">
        <f>IF(J150&gt;=1,"Yes","No")</f>
        <v>No</v>
      </c>
      <c r="L150" s="110">
        <v>1</v>
      </c>
      <c r="M150" s="111" t="str">
        <f>IF(L150&gt;=1,"Yes","No")</f>
        <v>Yes</v>
      </c>
      <c r="N150" s="112">
        <v>0</v>
      </c>
      <c r="O150" s="113" t="str">
        <f>IF(N150&gt;=1,"Yes","No")</f>
        <v>No</v>
      </c>
      <c r="P150" s="108">
        <v>0</v>
      </c>
      <c r="Q150" s="114" t="str">
        <f>IF(P150&gt;=1,"Yes","No")</f>
        <v>No</v>
      </c>
      <c r="R150" s="9">
        <v>1</v>
      </c>
      <c r="S150" s="9">
        <v>1</v>
      </c>
      <c r="T150" s="9">
        <v>0</v>
      </c>
      <c r="U150" s="9"/>
      <c r="V150" s="9"/>
    </row>
    <row r="151" spans="1:22" x14ac:dyDescent="0.3">
      <c r="A151" s="89">
        <v>82</v>
      </c>
      <c r="B151" s="115">
        <v>2</v>
      </c>
      <c r="C151" s="32">
        <v>1</v>
      </c>
      <c r="D151" s="32" t="s">
        <v>22</v>
      </c>
      <c r="E151" s="32">
        <v>0</v>
      </c>
      <c r="F151" s="32">
        <v>1</v>
      </c>
      <c r="G151" s="34"/>
      <c r="H151" s="34" t="s">
        <v>153</v>
      </c>
      <c r="I151" s="35" t="s">
        <v>231</v>
      </c>
      <c r="J151" s="133">
        <v>0</v>
      </c>
      <c r="K151" s="118" t="str">
        <f>IF(J151&gt;=1,"Yes","No")</f>
        <v>No</v>
      </c>
      <c r="L151" s="119">
        <v>1</v>
      </c>
      <c r="M151" s="120" t="str">
        <f>IF(L151&gt;=1,"Yes","No")</f>
        <v>Yes</v>
      </c>
      <c r="N151" s="121">
        <v>0</v>
      </c>
      <c r="O151" s="122" t="str">
        <f>IF(N151&gt;=1,"Yes","No")</f>
        <v>No</v>
      </c>
      <c r="P151" s="117">
        <v>0</v>
      </c>
      <c r="Q151" s="123" t="str">
        <f>IF(P151&gt;=1,"Yes","No")</f>
        <v>No</v>
      </c>
      <c r="R151" s="32">
        <v>1</v>
      </c>
      <c r="S151" s="32">
        <v>1</v>
      </c>
      <c r="T151" s="32">
        <v>0</v>
      </c>
      <c r="U151" s="32"/>
      <c r="V151" s="32"/>
    </row>
    <row r="152" spans="1:22" x14ac:dyDescent="0.3">
      <c r="A152" s="89">
        <v>82</v>
      </c>
      <c r="B152" s="115">
        <v>3</v>
      </c>
      <c r="C152" s="32">
        <v>1</v>
      </c>
      <c r="D152" s="32" t="s">
        <v>22</v>
      </c>
      <c r="E152" s="32">
        <v>0</v>
      </c>
      <c r="F152" s="32">
        <v>1</v>
      </c>
      <c r="G152" s="34"/>
      <c r="H152" s="34" t="s">
        <v>153</v>
      </c>
      <c r="I152" s="35" t="s">
        <v>231</v>
      </c>
      <c r="J152" s="133">
        <v>0</v>
      </c>
      <c r="K152" s="118" t="str">
        <f>IF(J152&gt;=1,"Yes","No")</f>
        <v>No</v>
      </c>
      <c r="L152" s="119">
        <v>1</v>
      </c>
      <c r="M152" s="120" t="str">
        <f>IF(L152&gt;=1,"Yes","No")</f>
        <v>Yes</v>
      </c>
      <c r="N152" s="121">
        <v>0</v>
      </c>
      <c r="O152" s="122" t="str">
        <f>IF(N152&gt;=1,"Yes","No")</f>
        <v>No</v>
      </c>
      <c r="P152" s="117">
        <v>0</v>
      </c>
      <c r="Q152" s="123" t="str">
        <f>IF(P152&gt;=1,"Yes","No")</f>
        <v>No</v>
      </c>
      <c r="R152" s="32">
        <v>1</v>
      </c>
      <c r="S152" s="32">
        <v>1</v>
      </c>
      <c r="T152" s="32">
        <v>0</v>
      </c>
      <c r="U152" s="32"/>
      <c r="V152" s="32"/>
    </row>
    <row r="153" spans="1:22" x14ac:dyDescent="0.3">
      <c r="A153" s="89">
        <v>82</v>
      </c>
      <c r="B153" s="115">
        <v>4</v>
      </c>
      <c r="C153" s="32">
        <v>1</v>
      </c>
      <c r="D153" s="32" t="s">
        <v>22</v>
      </c>
      <c r="E153" s="32">
        <v>0</v>
      </c>
      <c r="F153" s="32">
        <v>1</v>
      </c>
      <c r="G153" s="34"/>
      <c r="H153" s="34" t="s">
        <v>153</v>
      </c>
      <c r="I153" s="35" t="s">
        <v>231</v>
      </c>
      <c r="J153" s="133">
        <v>0</v>
      </c>
      <c r="K153" s="118" t="str">
        <f>IF(J153&gt;=1,"Yes","No")</f>
        <v>No</v>
      </c>
      <c r="L153" s="119">
        <v>1</v>
      </c>
      <c r="M153" s="120" t="str">
        <f>IF(L153&gt;=1,"Yes","No")</f>
        <v>Yes</v>
      </c>
      <c r="N153" s="121">
        <v>0</v>
      </c>
      <c r="O153" s="122" t="str">
        <f>IF(N153&gt;=1,"Yes","No")</f>
        <v>No</v>
      </c>
      <c r="P153" s="117">
        <v>0</v>
      </c>
      <c r="Q153" s="123" t="str">
        <f>IF(P153&gt;=1,"Yes","No")</f>
        <v>No</v>
      </c>
      <c r="R153" s="32">
        <v>1</v>
      </c>
      <c r="S153" s="32">
        <v>1</v>
      </c>
      <c r="T153" s="32">
        <v>0</v>
      </c>
      <c r="U153" s="32"/>
      <c r="V153" s="32"/>
    </row>
    <row r="154" spans="1:22" x14ac:dyDescent="0.3">
      <c r="A154" s="89">
        <v>82</v>
      </c>
      <c r="B154" s="115">
        <v>5</v>
      </c>
      <c r="C154" s="32">
        <v>1</v>
      </c>
      <c r="D154" s="32" t="s">
        <v>22</v>
      </c>
      <c r="E154" s="32">
        <v>0</v>
      </c>
      <c r="F154" s="32">
        <v>1</v>
      </c>
      <c r="G154" s="34"/>
      <c r="H154" s="34" t="s">
        <v>153</v>
      </c>
      <c r="I154" s="35" t="s">
        <v>231</v>
      </c>
      <c r="J154" s="133">
        <v>0</v>
      </c>
      <c r="K154" s="118" t="str">
        <f>IF(J154&gt;=1,"Yes","No")</f>
        <v>No</v>
      </c>
      <c r="L154" s="119">
        <v>1</v>
      </c>
      <c r="M154" s="120" t="str">
        <f>IF(L154&gt;=1,"Yes","No")</f>
        <v>Yes</v>
      </c>
      <c r="N154" s="121">
        <v>0</v>
      </c>
      <c r="O154" s="122" t="str">
        <f>IF(N154&gt;=1,"Yes","No")</f>
        <v>No</v>
      </c>
      <c r="P154" s="117">
        <v>0</v>
      </c>
      <c r="Q154" s="123" t="str">
        <f>IF(P154&gt;=1,"Yes","No")</f>
        <v>No</v>
      </c>
      <c r="R154" s="32">
        <v>1</v>
      </c>
      <c r="S154" s="32">
        <v>1</v>
      </c>
      <c r="T154" s="32">
        <v>0</v>
      </c>
      <c r="U154" s="32"/>
      <c r="V154" s="32"/>
    </row>
    <row r="155" spans="1:22" ht="15" thickBot="1" x14ac:dyDescent="0.35">
      <c r="A155" s="89">
        <v>82</v>
      </c>
      <c r="B155" s="124">
        <v>6</v>
      </c>
      <c r="C155" s="19">
        <v>1</v>
      </c>
      <c r="D155" s="19" t="s">
        <v>22</v>
      </c>
      <c r="E155" s="19">
        <v>0</v>
      </c>
      <c r="F155" s="19">
        <v>1</v>
      </c>
      <c r="G155" s="43"/>
      <c r="H155" s="43" t="s">
        <v>153</v>
      </c>
      <c r="I155" s="116" t="s">
        <v>231</v>
      </c>
      <c r="J155" s="126">
        <v>0</v>
      </c>
      <c r="K155" s="127" t="str">
        <f>IF(J155&gt;=1,"Yes","No")</f>
        <v>No</v>
      </c>
      <c r="L155" s="128">
        <v>1</v>
      </c>
      <c r="M155" s="129" t="str">
        <f>IF(L155&gt;=1,"Yes","No")</f>
        <v>Yes</v>
      </c>
      <c r="N155" s="130">
        <v>0</v>
      </c>
      <c r="O155" s="131" t="str">
        <f>IF(N155&gt;=1,"Yes","No")</f>
        <v>No</v>
      </c>
      <c r="P155" s="126">
        <v>0</v>
      </c>
      <c r="Q155" s="132" t="str">
        <f>IF(P155&gt;=1,"Yes","No")</f>
        <v>No</v>
      </c>
      <c r="R155" s="19">
        <v>1</v>
      </c>
      <c r="S155" s="19">
        <v>1</v>
      </c>
      <c r="T155" s="19">
        <v>0</v>
      </c>
      <c r="U155" s="19"/>
      <c r="V155" s="19"/>
    </row>
    <row r="156" spans="1:22" ht="15" thickTop="1" x14ac:dyDescent="0.3">
      <c r="A156" s="89">
        <v>83</v>
      </c>
      <c r="B156" s="106">
        <v>1</v>
      </c>
      <c r="C156" s="9">
        <v>1</v>
      </c>
      <c r="D156" s="9" t="s">
        <v>22</v>
      </c>
      <c r="E156" s="9">
        <v>0</v>
      </c>
      <c r="F156" s="9">
        <v>1</v>
      </c>
      <c r="G156" s="28"/>
      <c r="H156" s="34" t="s">
        <v>153</v>
      </c>
      <c r="I156" s="107" t="s">
        <v>231</v>
      </c>
      <c r="J156" s="108">
        <v>0</v>
      </c>
      <c r="K156" s="109" t="str">
        <f>IF(J156&gt;=1,"Yes","No")</f>
        <v>No</v>
      </c>
      <c r="L156" s="110">
        <v>1</v>
      </c>
      <c r="M156" s="111" t="str">
        <f>IF(L156&gt;=1,"Yes","No")</f>
        <v>Yes</v>
      </c>
      <c r="N156" s="112">
        <v>0</v>
      </c>
      <c r="O156" s="113" t="str">
        <f>IF(N156&gt;=1,"Yes","No")</f>
        <v>No</v>
      </c>
      <c r="P156" s="108">
        <v>0</v>
      </c>
      <c r="Q156" s="114" t="str">
        <f>IF(P156&gt;=1,"Yes","No")</f>
        <v>No</v>
      </c>
      <c r="R156" s="9">
        <v>1</v>
      </c>
      <c r="S156" s="9">
        <v>1</v>
      </c>
      <c r="T156" s="9">
        <v>0</v>
      </c>
      <c r="U156" s="134" t="s">
        <v>232</v>
      </c>
      <c r="V156" s="134" t="s">
        <v>233</v>
      </c>
    </row>
    <row r="157" spans="1:22" x14ac:dyDescent="0.3">
      <c r="A157" s="89">
        <v>83</v>
      </c>
      <c r="B157" s="115">
        <v>2</v>
      </c>
      <c r="C157" s="32">
        <v>1</v>
      </c>
      <c r="D157" s="32" t="s">
        <v>22</v>
      </c>
      <c r="E157" s="32">
        <v>0</v>
      </c>
      <c r="F157" s="32">
        <v>1</v>
      </c>
      <c r="G157" s="34"/>
      <c r="H157" s="34" t="s">
        <v>153</v>
      </c>
      <c r="I157" s="35" t="s">
        <v>231</v>
      </c>
      <c r="J157" s="117">
        <v>0</v>
      </c>
      <c r="K157" s="118" t="str">
        <f>IF(J157&gt;=1,"Yes","No")</f>
        <v>No</v>
      </c>
      <c r="L157" s="119">
        <v>1</v>
      </c>
      <c r="M157" s="120" t="str">
        <f>IF(L157&gt;=1,"Yes","No")</f>
        <v>Yes</v>
      </c>
      <c r="N157" s="121">
        <v>0</v>
      </c>
      <c r="O157" s="122" t="str">
        <f>IF(N157&gt;=1,"Yes","No")</f>
        <v>No</v>
      </c>
      <c r="P157" s="117">
        <v>0</v>
      </c>
      <c r="Q157" s="123" t="str">
        <f>IF(P157&gt;=1,"Yes","No")</f>
        <v>No</v>
      </c>
      <c r="R157" s="32">
        <v>1</v>
      </c>
      <c r="S157" s="32">
        <v>1</v>
      </c>
      <c r="T157" s="32">
        <v>0</v>
      </c>
      <c r="U157" s="134" t="s">
        <v>234</v>
      </c>
      <c r="V157" s="134" t="s">
        <v>235</v>
      </c>
    </row>
    <row r="158" spans="1:22" x14ac:dyDescent="0.3">
      <c r="A158" s="89">
        <v>83</v>
      </c>
      <c r="B158" s="115">
        <v>3</v>
      </c>
      <c r="C158" s="32">
        <v>1</v>
      </c>
      <c r="D158" s="32" t="s">
        <v>22</v>
      </c>
      <c r="E158" s="32">
        <v>0</v>
      </c>
      <c r="F158" s="32">
        <v>1</v>
      </c>
      <c r="G158" s="34"/>
      <c r="H158" s="34" t="s">
        <v>153</v>
      </c>
      <c r="I158" s="35" t="s">
        <v>231</v>
      </c>
      <c r="J158" s="117">
        <v>0</v>
      </c>
      <c r="K158" s="118" t="str">
        <f>IF(J158&gt;=1,"Yes","No")</f>
        <v>No</v>
      </c>
      <c r="L158" s="119">
        <v>1</v>
      </c>
      <c r="M158" s="120" t="str">
        <f>IF(L158&gt;=1,"Yes","No")</f>
        <v>Yes</v>
      </c>
      <c r="N158" s="121">
        <v>0</v>
      </c>
      <c r="O158" s="122" t="str">
        <f>IF(N158&gt;=1,"Yes","No")</f>
        <v>No</v>
      </c>
      <c r="P158" s="117">
        <v>0</v>
      </c>
      <c r="Q158" s="123" t="str">
        <f>IF(P158&gt;=1,"Yes","No")</f>
        <v>No</v>
      </c>
      <c r="R158" s="32">
        <v>1</v>
      </c>
      <c r="S158" s="32">
        <v>1</v>
      </c>
      <c r="T158" s="32">
        <v>0</v>
      </c>
      <c r="U158" s="134" t="s">
        <v>236</v>
      </c>
      <c r="V158" s="134" t="s">
        <v>237</v>
      </c>
    </row>
    <row r="159" spans="1:22" x14ac:dyDescent="0.3">
      <c r="A159" s="89">
        <v>83</v>
      </c>
      <c r="B159" s="115">
        <v>4</v>
      </c>
      <c r="C159" s="32">
        <v>1</v>
      </c>
      <c r="D159" s="32" t="s">
        <v>22</v>
      </c>
      <c r="E159" s="32">
        <v>0</v>
      </c>
      <c r="F159" s="32">
        <v>1</v>
      </c>
      <c r="G159" s="34"/>
      <c r="H159" s="34" t="s">
        <v>153</v>
      </c>
      <c r="I159" s="35" t="s">
        <v>231</v>
      </c>
      <c r="J159" s="117">
        <v>0</v>
      </c>
      <c r="K159" s="118" t="str">
        <f>IF(J159&gt;=1,"Yes","No")</f>
        <v>No</v>
      </c>
      <c r="L159" s="119">
        <v>1</v>
      </c>
      <c r="M159" s="120" t="str">
        <f>IF(L159&gt;=1,"Yes","No")</f>
        <v>Yes</v>
      </c>
      <c r="N159" s="121">
        <v>0</v>
      </c>
      <c r="O159" s="122" t="str">
        <f>IF(N159&gt;=1,"Yes","No")</f>
        <v>No</v>
      </c>
      <c r="P159" s="117">
        <v>0</v>
      </c>
      <c r="Q159" s="123" t="str">
        <f>IF(P159&gt;=1,"Yes","No")</f>
        <v>No</v>
      </c>
      <c r="R159" s="32">
        <v>1</v>
      </c>
      <c r="S159" s="32">
        <v>1</v>
      </c>
      <c r="T159" s="32">
        <v>0</v>
      </c>
      <c r="U159" s="134" t="s">
        <v>238</v>
      </c>
      <c r="V159" s="134" t="s">
        <v>239</v>
      </c>
    </row>
    <row r="160" spans="1:22" x14ac:dyDescent="0.3">
      <c r="A160" s="89">
        <v>83</v>
      </c>
      <c r="B160" s="115">
        <v>5</v>
      </c>
      <c r="C160" s="32">
        <v>1</v>
      </c>
      <c r="D160" s="32" t="s">
        <v>22</v>
      </c>
      <c r="E160" s="32">
        <v>0</v>
      </c>
      <c r="F160" s="32">
        <v>1</v>
      </c>
      <c r="G160" s="34"/>
      <c r="H160" s="34" t="s">
        <v>153</v>
      </c>
      <c r="I160" s="35" t="s">
        <v>231</v>
      </c>
      <c r="J160" s="117">
        <v>0</v>
      </c>
      <c r="K160" s="118" t="str">
        <f>IF(J160&gt;=1,"Yes","No")</f>
        <v>No</v>
      </c>
      <c r="L160" s="119">
        <v>1</v>
      </c>
      <c r="M160" s="120" t="str">
        <f>IF(L160&gt;=1,"Yes","No")</f>
        <v>Yes</v>
      </c>
      <c r="N160" s="121">
        <v>0</v>
      </c>
      <c r="O160" s="122" t="str">
        <f>IF(N160&gt;=1,"Yes","No")</f>
        <v>No</v>
      </c>
      <c r="P160" s="117">
        <v>0</v>
      </c>
      <c r="Q160" s="123" t="str">
        <f>IF(P160&gt;=1,"Yes","No")</f>
        <v>No</v>
      </c>
      <c r="R160" s="32">
        <v>1</v>
      </c>
      <c r="S160" s="32">
        <v>1</v>
      </c>
      <c r="T160" s="32">
        <v>0</v>
      </c>
      <c r="U160" s="134" t="s">
        <v>240</v>
      </c>
      <c r="V160" s="134" t="s">
        <v>241</v>
      </c>
    </row>
    <row r="161" spans="1:22" x14ac:dyDescent="0.3">
      <c r="A161" s="89">
        <v>83</v>
      </c>
      <c r="B161" s="115">
        <v>6</v>
      </c>
      <c r="C161" s="32">
        <v>1</v>
      </c>
      <c r="D161" s="32" t="s">
        <v>22</v>
      </c>
      <c r="E161" s="32">
        <v>0</v>
      </c>
      <c r="F161" s="32">
        <v>1</v>
      </c>
      <c r="G161" s="34"/>
      <c r="H161" s="34" t="s">
        <v>153</v>
      </c>
      <c r="I161" s="116" t="s">
        <v>231</v>
      </c>
      <c r="J161" s="117">
        <v>0</v>
      </c>
      <c r="K161" s="118" t="str">
        <f>IF(J161&gt;=1,"Yes","No")</f>
        <v>No</v>
      </c>
      <c r="L161" s="119">
        <v>1</v>
      </c>
      <c r="M161" s="120" t="str">
        <f>IF(L161&gt;=1,"Yes","No")</f>
        <v>Yes</v>
      </c>
      <c r="N161" s="121">
        <v>0</v>
      </c>
      <c r="O161" s="122" t="str">
        <f>IF(N161&gt;=1,"Yes","No")</f>
        <v>No</v>
      </c>
      <c r="P161" s="117">
        <v>0</v>
      </c>
      <c r="Q161" s="123" t="str">
        <f>IF(P161&gt;=1,"Yes","No")</f>
        <v>No</v>
      </c>
      <c r="R161" s="32">
        <v>1</v>
      </c>
      <c r="S161" s="32">
        <v>1</v>
      </c>
      <c r="T161" s="32">
        <v>0</v>
      </c>
      <c r="U161" s="134" t="s">
        <v>242</v>
      </c>
      <c r="V161" s="134" t="s">
        <v>243</v>
      </c>
    </row>
    <row r="162" spans="1:22" x14ac:dyDescent="0.3">
      <c r="A162" s="89">
        <v>83</v>
      </c>
      <c r="B162" s="115">
        <v>7</v>
      </c>
      <c r="C162" s="32">
        <v>1</v>
      </c>
      <c r="D162" s="32" t="s">
        <v>22</v>
      </c>
      <c r="E162" s="32">
        <v>0</v>
      </c>
      <c r="F162" s="32">
        <v>1</v>
      </c>
      <c r="G162" s="34"/>
      <c r="H162" s="34" t="s">
        <v>153</v>
      </c>
      <c r="I162" s="35" t="s">
        <v>231</v>
      </c>
      <c r="J162" s="117">
        <v>0</v>
      </c>
      <c r="K162" s="118" t="str">
        <f>IF(J162&gt;=1,"Yes","No")</f>
        <v>No</v>
      </c>
      <c r="L162" s="119">
        <v>1</v>
      </c>
      <c r="M162" s="120" t="str">
        <f>IF(L162&gt;=1,"Yes","No")</f>
        <v>Yes</v>
      </c>
      <c r="N162" s="121">
        <v>0</v>
      </c>
      <c r="O162" s="122" t="str">
        <f>IF(N162&gt;=1,"Yes","No")</f>
        <v>No</v>
      </c>
      <c r="P162" s="117">
        <v>0</v>
      </c>
      <c r="Q162" s="123" t="str">
        <f>IF(P162&gt;=1,"Yes","No")</f>
        <v>No</v>
      </c>
      <c r="R162" s="32">
        <v>1</v>
      </c>
      <c r="S162" s="32">
        <v>1</v>
      </c>
      <c r="T162" s="32">
        <v>0</v>
      </c>
      <c r="U162" s="134" t="s">
        <v>244</v>
      </c>
      <c r="V162" s="134" t="s">
        <v>245</v>
      </c>
    </row>
    <row r="163" spans="1:22" ht="15" thickBot="1" x14ac:dyDescent="0.35">
      <c r="A163" s="89">
        <v>83</v>
      </c>
      <c r="B163" s="124">
        <v>8</v>
      </c>
      <c r="C163" s="19">
        <v>1</v>
      </c>
      <c r="D163" s="19" t="s">
        <v>22</v>
      </c>
      <c r="E163" s="19">
        <v>0</v>
      </c>
      <c r="F163" s="19">
        <v>1</v>
      </c>
      <c r="G163" s="43"/>
      <c r="H163" s="43" t="s">
        <v>153</v>
      </c>
      <c r="I163" s="35" t="s">
        <v>231</v>
      </c>
      <c r="J163" s="126">
        <v>0</v>
      </c>
      <c r="K163" s="127" t="str">
        <f>IF(J163&gt;=1,"Yes","No")</f>
        <v>No</v>
      </c>
      <c r="L163" s="128">
        <v>1</v>
      </c>
      <c r="M163" s="129" t="str">
        <f>IF(L163&gt;=1,"Yes","No")</f>
        <v>Yes</v>
      </c>
      <c r="N163" s="130">
        <v>0</v>
      </c>
      <c r="O163" s="131" t="str">
        <f>IF(N163&gt;=1,"Yes","No")</f>
        <v>No</v>
      </c>
      <c r="P163" s="126">
        <v>0</v>
      </c>
      <c r="Q163" s="132" t="str">
        <f>IF(P163&gt;=1,"Yes","No")</f>
        <v>No</v>
      </c>
      <c r="R163" s="19">
        <v>1</v>
      </c>
      <c r="S163" s="19">
        <v>1</v>
      </c>
      <c r="T163" s="19">
        <v>0</v>
      </c>
      <c r="U163" s="134" t="s">
        <v>246</v>
      </c>
      <c r="V163" s="134" t="s">
        <v>247</v>
      </c>
    </row>
    <row r="164" spans="1:22" ht="15" thickTop="1" x14ac:dyDescent="0.3">
      <c r="A164" s="89">
        <v>84</v>
      </c>
      <c r="B164" s="106">
        <v>1</v>
      </c>
      <c r="C164" s="9">
        <v>1</v>
      </c>
      <c r="D164" s="9" t="s">
        <v>22</v>
      </c>
      <c r="E164" s="9">
        <v>0</v>
      </c>
      <c r="F164" s="9">
        <v>1</v>
      </c>
      <c r="G164" s="28"/>
      <c r="H164" s="34" t="s">
        <v>153</v>
      </c>
      <c r="I164" s="107" t="s">
        <v>231</v>
      </c>
      <c r="J164" s="108">
        <v>0</v>
      </c>
      <c r="K164" s="109" t="str">
        <f>IF(J164&gt;=1,"Yes","No")</f>
        <v>No</v>
      </c>
      <c r="L164" s="110">
        <v>1</v>
      </c>
      <c r="M164" s="111" t="str">
        <f>IF(L164&gt;=1,"Yes","No")</f>
        <v>Yes</v>
      </c>
      <c r="N164" s="112">
        <v>0</v>
      </c>
      <c r="O164" s="113" t="str">
        <f>IF(N164&gt;=1,"Yes","No")</f>
        <v>No</v>
      </c>
      <c r="P164" s="108">
        <v>0</v>
      </c>
      <c r="Q164" s="114" t="str">
        <f>IF(P164&gt;=1,"Yes","No")</f>
        <v>No</v>
      </c>
      <c r="R164" s="9">
        <v>1</v>
      </c>
      <c r="S164" s="9">
        <v>1</v>
      </c>
      <c r="T164" s="9">
        <v>0</v>
      </c>
      <c r="U164" s="134" t="s">
        <v>248</v>
      </c>
      <c r="V164" s="134" t="s">
        <v>249</v>
      </c>
    </row>
    <row r="165" spans="1:22" x14ac:dyDescent="0.3">
      <c r="A165" s="89">
        <v>84</v>
      </c>
      <c r="B165" s="115">
        <v>2</v>
      </c>
      <c r="C165" s="32">
        <v>1</v>
      </c>
      <c r="D165" s="32" t="s">
        <v>22</v>
      </c>
      <c r="E165" s="32">
        <v>0</v>
      </c>
      <c r="F165" s="32">
        <v>1</v>
      </c>
      <c r="G165" s="34"/>
      <c r="H165" s="34" t="s">
        <v>153</v>
      </c>
      <c r="I165" s="35" t="s">
        <v>231</v>
      </c>
      <c r="J165" s="117">
        <v>0</v>
      </c>
      <c r="K165" s="118" t="str">
        <f>IF(J165&gt;=1,"Yes","No")</f>
        <v>No</v>
      </c>
      <c r="L165" s="119">
        <v>1</v>
      </c>
      <c r="M165" s="120" t="str">
        <f>IF(L165&gt;=1,"Yes","No")</f>
        <v>Yes</v>
      </c>
      <c r="N165" s="121">
        <v>0</v>
      </c>
      <c r="O165" s="122" t="str">
        <f>IF(N165&gt;=1,"Yes","No")</f>
        <v>No</v>
      </c>
      <c r="P165" s="117">
        <v>0</v>
      </c>
      <c r="Q165" s="123" t="str">
        <f>IF(P165&gt;=1,"Yes","No")</f>
        <v>No</v>
      </c>
      <c r="R165" s="32">
        <v>1</v>
      </c>
      <c r="S165" s="32">
        <v>1</v>
      </c>
      <c r="T165" s="32">
        <v>0</v>
      </c>
      <c r="U165" s="134" t="s">
        <v>250</v>
      </c>
      <c r="V165" s="134" t="s">
        <v>251</v>
      </c>
    </row>
    <row r="166" spans="1:22" x14ac:dyDescent="0.3">
      <c r="A166" s="89">
        <v>84</v>
      </c>
      <c r="B166" s="115">
        <v>3</v>
      </c>
      <c r="C166" s="32">
        <v>1</v>
      </c>
      <c r="D166" s="32" t="s">
        <v>22</v>
      </c>
      <c r="E166" s="32">
        <v>0</v>
      </c>
      <c r="F166" s="32">
        <v>1</v>
      </c>
      <c r="G166" s="34"/>
      <c r="H166" s="34" t="s">
        <v>153</v>
      </c>
      <c r="I166" s="35" t="s">
        <v>231</v>
      </c>
      <c r="J166" s="117">
        <v>0</v>
      </c>
      <c r="K166" s="118" t="str">
        <f>IF(J166&gt;=1,"Yes","No")</f>
        <v>No</v>
      </c>
      <c r="L166" s="119">
        <v>1</v>
      </c>
      <c r="M166" s="120" t="str">
        <f>IF(L166&gt;=1,"Yes","No")</f>
        <v>Yes</v>
      </c>
      <c r="N166" s="121">
        <v>0</v>
      </c>
      <c r="O166" s="122" t="str">
        <f>IF(N166&gt;=1,"Yes","No")</f>
        <v>No</v>
      </c>
      <c r="P166" s="117">
        <v>0</v>
      </c>
      <c r="Q166" s="123" t="str">
        <f>IF(P166&gt;=1,"Yes","No")</f>
        <v>No</v>
      </c>
      <c r="R166" s="32">
        <v>1</v>
      </c>
      <c r="S166" s="32">
        <v>1</v>
      </c>
      <c r="T166" s="32">
        <v>0</v>
      </c>
      <c r="U166" s="134" t="s">
        <v>252</v>
      </c>
      <c r="V166" s="134" t="s">
        <v>253</v>
      </c>
    </row>
    <row r="167" spans="1:22" x14ac:dyDescent="0.3">
      <c r="A167" s="89">
        <v>84</v>
      </c>
      <c r="B167" s="115">
        <v>4</v>
      </c>
      <c r="C167" s="32">
        <v>1</v>
      </c>
      <c r="D167" s="32" t="s">
        <v>22</v>
      </c>
      <c r="E167" s="32">
        <v>0</v>
      </c>
      <c r="F167" s="32">
        <v>1</v>
      </c>
      <c r="G167" s="34"/>
      <c r="H167" s="34" t="s">
        <v>153</v>
      </c>
      <c r="I167" s="35" t="s">
        <v>231</v>
      </c>
      <c r="J167" s="117">
        <v>0</v>
      </c>
      <c r="K167" s="118" t="str">
        <f>IF(J167&gt;=1,"Yes","No")</f>
        <v>No</v>
      </c>
      <c r="L167" s="119">
        <v>1</v>
      </c>
      <c r="M167" s="120" t="str">
        <f>IF(L167&gt;=1,"Yes","No")</f>
        <v>Yes</v>
      </c>
      <c r="N167" s="121">
        <v>0</v>
      </c>
      <c r="O167" s="122" t="str">
        <f>IF(N167&gt;=1,"Yes","No")</f>
        <v>No</v>
      </c>
      <c r="P167" s="117">
        <v>0</v>
      </c>
      <c r="Q167" s="123" t="str">
        <f>IF(P167&gt;=1,"Yes","No")</f>
        <v>No</v>
      </c>
      <c r="R167" s="32">
        <v>1</v>
      </c>
      <c r="S167" s="32">
        <v>1</v>
      </c>
      <c r="T167" s="32">
        <v>0</v>
      </c>
      <c r="U167" s="134" t="s">
        <v>254</v>
      </c>
      <c r="V167" s="134" t="s">
        <v>255</v>
      </c>
    </row>
    <row r="168" spans="1:22" x14ac:dyDescent="0.3">
      <c r="A168" s="89">
        <v>84</v>
      </c>
      <c r="B168" s="115">
        <v>5</v>
      </c>
      <c r="C168" s="32">
        <v>1</v>
      </c>
      <c r="D168" s="32" t="s">
        <v>22</v>
      </c>
      <c r="E168" s="32">
        <v>0</v>
      </c>
      <c r="F168" s="32">
        <v>1</v>
      </c>
      <c r="G168" s="34"/>
      <c r="H168" s="34" t="s">
        <v>153</v>
      </c>
      <c r="I168" s="35" t="s">
        <v>231</v>
      </c>
      <c r="J168" s="117">
        <v>0</v>
      </c>
      <c r="K168" s="118" t="str">
        <f>IF(J168&gt;=1,"Yes","No")</f>
        <v>No</v>
      </c>
      <c r="L168" s="119">
        <v>1</v>
      </c>
      <c r="M168" s="120" t="str">
        <f>IF(L168&gt;=1,"Yes","No")</f>
        <v>Yes</v>
      </c>
      <c r="N168" s="121">
        <v>0</v>
      </c>
      <c r="O168" s="122" t="str">
        <f>IF(N168&gt;=1,"Yes","No")</f>
        <v>No</v>
      </c>
      <c r="P168" s="117">
        <v>0</v>
      </c>
      <c r="Q168" s="123" t="str">
        <f>IF(P168&gt;=1,"Yes","No")</f>
        <v>No</v>
      </c>
      <c r="R168" s="32">
        <v>1</v>
      </c>
      <c r="S168" s="32">
        <v>1</v>
      </c>
      <c r="T168" s="32">
        <v>0</v>
      </c>
      <c r="U168" s="134" t="s">
        <v>256</v>
      </c>
      <c r="V168" s="134" t="s">
        <v>257</v>
      </c>
    </row>
    <row r="169" spans="1:22" x14ac:dyDescent="0.3">
      <c r="A169" s="89">
        <v>84</v>
      </c>
      <c r="B169" s="115">
        <v>6</v>
      </c>
      <c r="C169" s="32">
        <v>1</v>
      </c>
      <c r="D169" s="32" t="s">
        <v>22</v>
      </c>
      <c r="E169" s="32">
        <v>0</v>
      </c>
      <c r="F169" s="32">
        <v>1</v>
      </c>
      <c r="G169" s="34"/>
      <c r="H169" s="34" t="s">
        <v>153</v>
      </c>
      <c r="I169" s="116" t="s">
        <v>231</v>
      </c>
      <c r="J169" s="117">
        <v>0</v>
      </c>
      <c r="K169" s="118" t="str">
        <f>IF(J169&gt;=1,"Yes","No")</f>
        <v>No</v>
      </c>
      <c r="L169" s="119">
        <v>1</v>
      </c>
      <c r="M169" s="120" t="str">
        <f>IF(L169&gt;=1,"Yes","No")</f>
        <v>Yes</v>
      </c>
      <c r="N169" s="121">
        <v>0</v>
      </c>
      <c r="O169" s="122" t="str">
        <f>IF(N169&gt;=1,"Yes","No")</f>
        <v>No</v>
      </c>
      <c r="P169" s="117">
        <v>0</v>
      </c>
      <c r="Q169" s="123" t="str">
        <f>IF(P169&gt;=1,"Yes","No")</f>
        <v>No</v>
      </c>
      <c r="R169" s="32">
        <v>1</v>
      </c>
      <c r="S169" s="32">
        <v>1</v>
      </c>
      <c r="T169" s="32">
        <v>0</v>
      </c>
      <c r="U169" s="134" t="s">
        <v>258</v>
      </c>
      <c r="V169" s="134" t="s">
        <v>259</v>
      </c>
    </row>
    <row r="170" spans="1:22" x14ac:dyDescent="0.3">
      <c r="A170" s="89">
        <v>84</v>
      </c>
      <c r="B170" s="115">
        <v>7</v>
      </c>
      <c r="C170" s="32">
        <v>1</v>
      </c>
      <c r="D170" s="32" t="s">
        <v>22</v>
      </c>
      <c r="E170" s="32">
        <v>0</v>
      </c>
      <c r="F170" s="32">
        <v>1</v>
      </c>
      <c r="G170" s="34"/>
      <c r="H170" s="34" t="s">
        <v>153</v>
      </c>
      <c r="I170" s="35" t="s">
        <v>231</v>
      </c>
      <c r="J170" s="117">
        <v>0</v>
      </c>
      <c r="K170" s="118" t="str">
        <f>IF(J170&gt;=1,"Yes","No")</f>
        <v>No</v>
      </c>
      <c r="L170" s="119">
        <v>1</v>
      </c>
      <c r="M170" s="120" t="str">
        <f>IF(L170&gt;=1,"Yes","No")</f>
        <v>Yes</v>
      </c>
      <c r="N170" s="121">
        <v>0</v>
      </c>
      <c r="O170" s="122" t="str">
        <f>IF(N170&gt;=1,"Yes","No")</f>
        <v>No</v>
      </c>
      <c r="P170" s="117">
        <v>0</v>
      </c>
      <c r="Q170" s="123" t="str">
        <f>IF(P170&gt;=1,"Yes","No")</f>
        <v>No</v>
      </c>
      <c r="R170" s="32">
        <v>1</v>
      </c>
      <c r="S170" s="32">
        <v>1</v>
      </c>
      <c r="T170" s="32">
        <v>0</v>
      </c>
      <c r="U170" s="134" t="s">
        <v>260</v>
      </c>
      <c r="V170" s="134" t="s">
        <v>261</v>
      </c>
    </row>
    <row r="171" spans="1:22" ht="15" thickBot="1" x14ac:dyDescent="0.35">
      <c r="A171" s="89">
        <v>84</v>
      </c>
      <c r="B171" s="124">
        <v>8</v>
      </c>
      <c r="C171" s="19">
        <v>1</v>
      </c>
      <c r="D171" s="19" t="s">
        <v>22</v>
      </c>
      <c r="E171" s="19">
        <v>0</v>
      </c>
      <c r="F171" s="19">
        <v>1</v>
      </c>
      <c r="G171" s="43"/>
      <c r="H171" s="43" t="s">
        <v>153</v>
      </c>
      <c r="I171" s="35" t="s">
        <v>231</v>
      </c>
      <c r="J171" s="126">
        <v>0</v>
      </c>
      <c r="K171" s="127" t="str">
        <f>IF(J171&gt;=1,"Yes","No")</f>
        <v>No</v>
      </c>
      <c r="L171" s="128">
        <v>1</v>
      </c>
      <c r="M171" s="129" t="str">
        <f>IF(L171&gt;=1,"Yes","No")</f>
        <v>Yes</v>
      </c>
      <c r="N171" s="130">
        <v>0</v>
      </c>
      <c r="O171" s="131" t="str">
        <f>IF(N171&gt;=1,"Yes","No")</f>
        <v>No</v>
      </c>
      <c r="P171" s="126">
        <v>0</v>
      </c>
      <c r="Q171" s="132" t="str">
        <f>IF(P171&gt;=1,"Yes","No")</f>
        <v>No</v>
      </c>
      <c r="R171" s="19">
        <v>1</v>
      </c>
      <c r="S171" s="19">
        <v>1</v>
      </c>
      <c r="T171" s="19">
        <v>0</v>
      </c>
      <c r="U171" s="134" t="s">
        <v>262</v>
      </c>
      <c r="V171" s="134" t="s">
        <v>263</v>
      </c>
    </row>
    <row r="172" spans="1:22" ht="15" thickTop="1" x14ac:dyDescent="0.3">
      <c r="A172" s="89">
        <v>3</v>
      </c>
      <c r="B172" s="8">
        <v>1</v>
      </c>
      <c r="C172" s="9">
        <v>1</v>
      </c>
      <c r="D172" s="9" t="s">
        <v>22</v>
      </c>
      <c r="E172" s="9">
        <v>0</v>
      </c>
      <c r="F172" s="9">
        <v>1</v>
      </c>
      <c r="G172" s="28"/>
      <c r="H172" s="28" t="s">
        <v>264</v>
      </c>
      <c r="I172" s="107" t="s">
        <v>265</v>
      </c>
      <c r="J172" s="108">
        <v>0</v>
      </c>
      <c r="K172" s="109" t="str">
        <f>IF(J172&gt;=1,"Yes","No")</f>
        <v>No</v>
      </c>
      <c r="L172" s="110">
        <v>0</v>
      </c>
      <c r="M172" s="111" t="str">
        <f>IF(L172&gt;=1,"Yes","No")</f>
        <v>No</v>
      </c>
      <c r="N172" s="112">
        <v>3</v>
      </c>
      <c r="O172" s="113" t="str">
        <f>IF(N172&gt;=1,"Yes","No")</f>
        <v>Yes</v>
      </c>
      <c r="P172" s="108">
        <v>0</v>
      </c>
      <c r="Q172" s="114" t="str">
        <f>IF(P172&gt;=1,"Yes","No")</f>
        <v>No</v>
      </c>
      <c r="R172" s="9">
        <v>0</v>
      </c>
      <c r="S172" s="9">
        <v>1</v>
      </c>
      <c r="T172" s="9">
        <v>0</v>
      </c>
      <c r="U172" s="9"/>
      <c r="V172" s="9"/>
    </row>
    <row r="173" spans="1:22" x14ac:dyDescent="0.3">
      <c r="A173" s="89">
        <v>3</v>
      </c>
      <c r="B173" s="31">
        <v>2</v>
      </c>
      <c r="C173" s="32">
        <v>1</v>
      </c>
      <c r="D173" s="32" t="s">
        <v>22</v>
      </c>
      <c r="E173" s="32">
        <v>0</v>
      </c>
      <c r="F173" s="32">
        <v>0</v>
      </c>
      <c r="G173" s="34"/>
      <c r="H173" s="34" t="s">
        <v>264</v>
      </c>
      <c r="I173" s="116" t="s">
        <v>265</v>
      </c>
      <c r="J173" s="117">
        <v>0</v>
      </c>
      <c r="K173" s="118" t="str">
        <f>IF(J173&gt;=1,"Yes","No")</f>
        <v>No</v>
      </c>
      <c r="L173" s="119">
        <v>0</v>
      </c>
      <c r="M173" s="120" t="str">
        <f>IF(L173&gt;=1,"Yes","No")</f>
        <v>No</v>
      </c>
      <c r="N173" s="121">
        <v>0</v>
      </c>
      <c r="O173" s="122" t="str">
        <f>IF(N173&gt;=1,"Yes","No")</f>
        <v>No</v>
      </c>
      <c r="P173" s="117">
        <v>0</v>
      </c>
      <c r="Q173" s="123" t="str">
        <f>IF(P173&gt;=1,"Yes","No")</f>
        <v>No</v>
      </c>
      <c r="R173" s="32">
        <v>0</v>
      </c>
      <c r="S173" s="32">
        <v>1</v>
      </c>
      <c r="T173" s="32">
        <v>0</v>
      </c>
      <c r="U173" s="32"/>
      <c r="V173" s="32"/>
    </row>
    <row r="174" spans="1:22" ht="15" thickBot="1" x14ac:dyDescent="0.35">
      <c r="A174" s="89">
        <v>3</v>
      </c>
      <c r="B174" s="31">
        <v>3</v>
      </c>
      <c r="C174" s="32">
        <v>1</v>
      </c>
      <c r="D174" s="32" t="s">
        <v>22</v>
      </c>
      <c r="E174" s="32">
        <v>0</v>
      </c>
      <c r="F174" s="32">
        <v>0</v>
      </c>
      <c r="G174" s="43"/>
      <c r="H174" s="43" t="s">
        <v>264</v>
      </c>
      <c r="I174" s="116" t="s">
        <v>265</v>
      </c>
      <c r="J174" s="117">
        <v>0</v>
      </c>
      <c r="K174" s="118" t="str">
        <f>IF(J174&gt;=1,"Yes","No")</f>
        <v>No</v>
      </c>
      <c r="L174" s="119">
        <v>0</v>
      </c>
      <c r="M174" s="120" t="str">
        <f>IF(L174&gt;=1,"Yes","No")</f>
        <v>No</v>
      </c>
      <c r="N174" s="121">
        <v>0</v>
      </c>
      <c r="O174" s="122" t="str">
        <f>IF(N174&gt;=1,"Yes","No")</f>
        <v>No</v>
      </c>
      <c r="P174" s="117">
        <v>0</v>
      </c>
      <c r="Q174" s="123" t="str">
        <f>IF(P174&gt;=1,"Yes","No")</f>
        <v>No</v>
      </c>
      <c r="R174" s="32">
        <v>0</v>
      </c>
      <c r="S174" s="32">
        <v>1</v>
      </c>
      <c r="T174" s="32">
        <v>0</v>
      </c>
      <c r="U174" s="32"/>
      <c r="V174" s="32"/>
    </row>
    <row r="175" spans="1:22" ht="15.6" thickTop="1" thickBot="1" x14ac:dyDescent="0.35">
      <c r="A175" s="89">
        <v>4</v>
      </c>
      <c r="B175" s="8">
        <v>1</v>
      </c>
      <c r="C175" s="9">
        <v>1</v>
      </c>
      <c r="D175" s="9" t="s">
        <v>22</v>
      </c>
      <c r="E175" s="9">
        <v>0</v>
      </c>
      <c r="F175" s="9">
        <v>1</v>
      </c>
      <c r="G175" s="135"/>
      <c r="H175" s="107" t="s">
        <v>266</v>
      </c>
      <c r="I175" s="107" t="s">
        <v>267</v>
      </c>
      <c r="J175" s="108">
        <v>0</v>
      </c>
      <c r="K175" s="109" t="str">
        <f>IF(J175&gt;=1,"Yes","No")</f>
        <v>No</v>
      </c>
      <c r="L175" s="110">
        <v>0</v>
      </c>
      <c r="M175" s="111" t="str">
        <f>IF(L175&gt;=1,"Yes","No")</f>
        <v>No</v>
      </c>
      <c r="N175" s="112">
        <v>1</v>
      </c>
      <c r="O175" s="113" t="str">
        <f>IF(N175&gt;=1,"Yes","No")</f>
        <v>Yes</v>
      </c>
      <c r="P175" s="108">
        <v>0</v>
      </c>
      <c r="Q175" s="114" t="str">
        <f>IF(P175&gt;=1,"Yes","No")</f>
        <v>No</v>
      </c>
      <c r="R175" s="9">
        <v>0</v>
      </c>
      <c r="S175" s="9">
        <v>1</v>
      </c>
      <c r="T175" s="9">
        <v>0</v>
      </c>
      <c r="U175" s="9"/>
      <c r="V175" s="9"/>
    </row>
    <row r="176" spans="1:22" ht="73.2" thickTop="1" thickBot="1" x14ac:dyDescent="0.35">
      <c r="A176" s="89">
        <v>5</v>
      </c>
      <c r="B176" s="136">
        <v>1</v>
      </c>
      <c r="C176" s="137">
        <v>1</v>
      </c>
      <c r="D176" s="137" t="s">
        <v>22</v>
      </c>
      <c r="E176" s="137">
        <v>0</v>
      </c>
      <c r="F176" s="137">
        <v>1</v>
      </c>
      <c r="G176" s="135"/>
      <c r="H176" s="138" t="s">
        <v>268</v>
      </c>
      <c r="I176" s="139" t="s">
        <v>269</v>
      </c>
      <c r="J176" s="140">
        <v>0</v>
      </c>
      <c r="K176" s="141" t="str">
        <f>IF(J176&gt;=1,"Yes","No")</f>
        <v>No</v>
      </c>
      <c r="L176" s="142">
        <v>0</v>
      </c>
      <c r="M176" s="143" t="str">
        <f>IF(L176&gt;=1,"Yes","No")</f>
        <v>No</v>
      </c>
      <c r="N176" s="144">
        <v>1</v>
      </c>
      <c r="O176" s="145" t="str">
        <f>IF(N176&gt;=1,"Yes","No")</f>
        <v>Yes</v>
      </c>
      <c r="P176" s="140">
        <v>0</v>
      </c>
      <c r="Q176" s="146" t="str">
        <f>IF(P176&gt;=1,"Yes","No")</f>
        <v>No</v>
      </c>
      <c r="R176" s="137">
        <v>0</v>
      </c>
      <c r="S176" s="137">
        <v>1</v>
      </c>
      <c r="T176" s="137">
        <v>0</v>
      </c>
      <c r="U176" s="137" t="s">
        <v>270</v>
      </c>
      <c r="V176" s="137"/>
    </row>
    <row r="177" spans="1:22" ht="15" thickTop="1" x14ac:dyDescent="0.3">
      <c r="A177" s="89">
        <v>7</v>
      </c>
      <c r="B177" s="8">
        <v>1</v>
      </c>
      <c r="C177" s="9">
        <v>1</v>
      </c>
      <c r="D177" s="9" t="s">
        <v>22</v>
      </c>
      <c r="E177" s="9">
        <v>0</v>
      </c>
      <c r="F177" s="9">
        <v>1</v>
      </c>
      <c r="G177" s="28"/>
      <c r="H177" s="28" t="s">
        <v>271</v>
      </c>
      <c r="I177" s="147" t="s">
        <v>272</v>
      </c>
      <c r="J177" s="108">
        <v>0</v>
      </c>
      <c r="K177" s="109" t="str">
        <f>IF(J177&gt;=1,"Yes","No")</f>
        <v>No</v>
      </c>
      <c r="L177" s="110">
        <v>0</v>
      </c>
      <c r="M177" s="111" t="str">
        <f>IF(L177&gt;=1,"Yes","No")</f>
        <v>No</v>
      </c>
      <c r="N177" s="112">
        <v>6</v>
      </c>
      <c r="O177" s="113" t="str">
        <f>IF(N177&gt;=1,"Yes","No")</f>
        <v>Yes</v>
      </c>
      <c r="P177" s="108">
        <v>0</v>
      </c>
      <c r="Q177" s="114" t="str">
        <f>IF(P177&gt;=1,"Yes","No")</f>
        <v>No</v>
      </c>
      <c r="R177" s="9">
        <v>0</v>
      </c>
      <c r="S177" s="9">
        <v>1</v>
      </c>
      <c r="T177" s="9">
        <v>0</v>
      </c>
      <c r="U177" s="9"/>
      <c r="V177" s="9"/>
    </row>
    <row r="178" spans="1:22" x14ac:dyDescent="0.3">
      <c r="A178" s="89">
        <v>7</v>
      </c>
      <c r="B178" s="31">
        <v>2</v>
      </c>
      <c r="C178" s="32">
        <v>1</v>
      </c>
      <c r="D178" s="32" t="s">
        <v>22</v>
      </c>
      <c r="E178" s="32">
        <v>0</v>
      </c>
      <c r="F178" s="32">
        <v>0</v>
      </c>
      <c r="G178" s="34"/>
      <c r="H178" s="34" t="s">
        <v>271</v>
      </c>
      <c r="I178" s="148" t="s">
        <v>272</v>
      </c>
      <c r="J178" s="117">
        <v>0</v>
      </c>
      <c r="K178" s="118" t="str">
        <f>IF(J178&gt;=1,"Yes","No")</f>
        <v>No</v>
      </c>
      <c r="L178" s="119">
        <v>0</v>
      </c>
      <c r="M178" s="120" t="str">
        <f>IF(L178&gt;=1,"Yes","No")</f>
        <v>No</v>
      </c>
      <c r="N178" s="121">
        <v>0</v>
      </c>
      <c r="O178" s="122" t="str">
        <f>IF(N178&gt;=1,"Yes","No")</f>
        <v>No</v>
      </c>
      <c r="P178" s="117">
        <v>0</v>
      </c>
      <c r="Q178" s="123" t="str">
        <f>IF(P178&gt;=1,"Yes","No")</f>
        <v>No</v>
      </c>
      <c r="R178" s="32">
        <v>0</v>
      </c>
      <c r="S178" s="32">
        <v>1</v>
      </c>
      <c r="T178" s="32">
        <v>0</v>
      </c>
      <c r="U178" s="32"/>
      <c r="V178" s="32"/>
    </row>
    <row r="179" spans="1:22" x14ac:dyDescent="0.3">
      <c r="A179" s="89">
        <v>7</v>
      </c>
      <c r="B179" s="31">
        <v>3</v>
      </c>
      <c r="C179" s="32">
        <v>1</v>
      </c>
      <c r="D179" s="32" t="s">
        <v>22</v>
      </c>
      <c r="E179" s="32">
        <v>0</v>
      </c>
      <c r="F179" s="32">
        <v>0</v>
      </c>
      <c r="G179" s="34"/>
      <c r="H179" s="34" t="s">
        <v>271</v>
      </c>
      <c r="I179" s="116" t="s">
        <v>272</v>
      </c>
      <c r="J179" s="117">
        <v>0</v>
      </c>
      <c r="K179" s="118" t="str">
        <f>IF(J179&gt;=1,"Yes","No")</f>
        <v>No</v>
      </c>
      <c r="L179" s="119">
        <v>0</v>
      </c>
      <c r="M179" s="120" t="str">
        <f>IF(L179&gt;=1,"Yes","No")</f>
        <v>No</v>
      </c>
      <c r="N179" s="121">
        <v>0</v>
      </c>
      <c r="O179" s="122" t="str">
        <f>IF(N179&gt;=1,"Yes","No")</f>
        <v>No</v>
      </c>
      <c r="P179" s="117">
        <v>0</v>
      </c>
      <c r="Q179" s="123" t="str">
        <f>IF(P179&gt;=1,"Yes","No")</f>
        <v>No</v>
      </c>
      <c r="R179" s="32">
        <v>0</v>
      </c>
      <c r="S179" s="32">
        <v>1</v>
      </c>
      <c r="T179" s="32">
        <v>0</v>
      </c>
      <c r="U179" s="32"/>
      <c r="V179" s="32"/>
    </row>
    <row r="180" spans="1:22" x14ac:dyDescent="0.3">
      <c r="A180" s="89">
        <v>7</v>
      </c>
      <c r="B180" s="31">
        <v>4</v>
      </c>
      <c r="C180" s="32">
        <v>1</v>
      </c>
      <c r="D180" s="32" t="s">
        <v>22</v>
      </c>
      <c r="E180" s="32">
        <v>0</v>
      </c>
      <c r="F180" s="32">
        <v>0</v>
      </c>
      <c r="G180" s="34"/>
      <c r="H180" s="34" t="s">
        <v>271</v>
      </c>
      <c r="I180" s="116" t="s">
        <v>272</v>
      </c>
      <c r="J180" s="117">
        <v>0</v>
      </c>
      <c r="K180" s="118" t="str">
        <f>IF(J180&gt;=1,"Yes","No")</f>
        <v>No</v>
      </c>
      <c r="L180" s="119">
        <v>0</v>
      </c>
      <c r="M180" s="120" t="str">
        <f>IF(L180&gt;=1,"Yes","No")</f>
        <v>No</v>
      </c>
      <c r="N180" s="121">
        <v>0</v>
      </c>
      <c r="O180" s="122" t="str">
        <f>IF(N180&gt;=1,"Yes","No")</f>
        <v>No</v>
      </c>
      <c r="P180" s="117">
        <v>0</v>
      </c>
      <c r="Q180" s="123" t="str">
        <f>IF(P180&gt;=1,"Yes","No")</f>
        <v>No</v>
      </c>
      <c r="R180" s="32">
        <v>0</v>
      </c>
      <c r="S180" s="32">
        <v>1</v>
      </c>
      <c r="T180" s="32">
        <v>0</v>
      </c>
      <c r="U180" s="32"/>
      <c r="V180" s="32"/>
    </row>
    <row r="181" spans="1:22" x14ac:dyDescent="0.3">
      <c r="A181" s="89">
        <v>7</v>
      </c>
      <c r="B181" s="31">
        <v>5</v>
      </c>
      <c r="C181" s="32">
        <v>1</v>
      </c>
      <c r="D181" s="32" t="s">
        <v>22</v>
      </c>
      <c r="E181" s="32">
        <v>0</v>
      </c>
      <c r="F181" s="32">
        <v>0</v>
      </c>
      <c r="G181" s="34"/>
      <c r="H181" s="34" t="s">
        <v>271</v>
      </c>
      <c r="I181" s="116" t="s">
        <v>272</v>
      </c>
      <c r="J181" s="117">
        <v>0</v>
      </c>
      <c r="K181" s="118" t="str">
        <f>IF(J181&gt;=1,"Yes","No")</f>
        <v>No</v>
      </c>
      <c r="L181" s="119">
        <v>0</v>
      </c>
      <c r="M181" s="120" t="str">
        <f>IF(L181&gt;=1,"Yes","No")</f>
        <v>No</v>
      </c>
      <c r="N181" s="121">
        <v>0</v>
      </c>
      <c r="O181" s="122" t="str">
        <f>IF(N181&gt;=1,"Yes","No")</f>
        <v>No</v>
      </c>
      <c r="P181" s="117">
        <v>0</v>
      </c>
      <c r="Q181" s="123" t="str">
        <f>IF(P181&gt;=1,"Yes","No")</f>
        <v>No</v>
      </c>
      <c r="R181" s="32">
        <v>0</v>
      </c>
      <c r="S181" s="32">
        <v>1</v>
      </c>
      <c r="T181" s="32">
        <v>0</v>
      </c>
      <c r="U181" s="32"/>
      <c r="V181" s="32"/>
    </row>
    <row r="182" spans="1:22" ht="15" thickBot="1" x14ac:dyDescent="0.35">
      <c r="A182" s="89">
        <v>7</v>
      </c>
      <c r="B182" s="18">
        <v>6</v>
      </c>
      <c r="C182" s="19">
        <v>1</v>
      </c>
      <c r="D182" s="19" t="s">
        <v>22</v>
      </c>
      <c r="E182" s="19">
        <v>0</v>
      </c>
      <c r="F182" s="19">
        <v>0</v>
      </c>
      <c r="G182" s="43"/>
      <c r="H182" s="43" t="s">
        <v>271</v>
      </c>
      <c r="I182" s="125" t="s">
        <v>272</v>
      </c>
      <c r="J182" s="126">
        <v>0</v>
      </c>
      <c r="K182" s="127" t="str">
        <f>IF(J182&gt;=1,"Yes","No")</f>
        <v>No</v>
      </c>
      <c r="L182" s="128">
        <v>0</v>
      </c>
      <c r="M182" s="129" t="str">
        <f>IF(L182&gt;=1,"Yes","No")</f>
        <v>No</v>
      </c>
      <c r="N182" s="130">
        <v>0</v>
      </c>
      <c r="O182" s="131" t="str">
        <f>IF(N182&gt;=1,"Yes","No")</f>
        <v>No</v>
      </c>
      <c r="P182" s="126">
        <v>0</v>
      </c>
      <c r="Q182" s="132" t="str">
        <f>IF(P182&gt;=1,"Yes","No")</f>
        <v>No</v>
      </c>
      <c r="R182" s="19">
        <v>0</v>
      </c>
      <c r="S182" s="19">
        <v>1</v>
      </c>
      <c r="T182" s="19">
        <v>0</v>
      </c>
      <c r="U182" s="19"/>
      <c r="V182" s="19"/>
    </row>
    <row r="183" spans="1:22" ht="72.599999999999994" thickTop="1" x14ac:dyDescent="0.3">
      <c r="A183" s="89">
        <v>8</v>
      </c>
      <c r="B183" s="136">
        <v>1</v>
      </c>
      <c r="C183" s="137">
        <v>1</v>
      </c>
      <c r="D183" s="137" t="s">
        <v>22</v>
      </c>
      <c r="E183" s="137">
        <v>0</v>
      </c>
      <c r="F183" s="137">
        <v>1</v>
      </c>
      <c r="G183" s="28"/>
      <c r="H183" s="28" t="s">
        <v>268</v>
      </c>
      <c r="I183" s="139" t="s">
        <v>269</v>
      </c>
      <c r="J183" s="140">
        <v>0</v>
      </c>
      <c r="K183" s="141" t="str">
        <f>IF(J183&gt;=1,"Yes","No")</f>
        <v>No</v>
      </c>
      <c r="L183" s="142">
        <v>0</v>
      </c>
      <c r="M183" s="143" t="str">
        <f>IF(L183&gt;=1,"Yes","No")</f>
        <v>No</v>
      </c>
      <c r="N183" s="144">
        <v>1</v>
      </c>
      <c r="O183" s="145" t="str">
        <f>IF(N183&gt;=1,"Yes","No")</f>
        <v>Yes</v>
      </c>
      <c r="P183" s="140">
        <v>0</v>
      </c>
      <c r="Q183" s="146" t="str">
        <f>IF(P183&gt;=1,"Yes","No")</f>
        <v>No</v>
      </c>
      <c r="R183" s="137">
        <v>0</v>
      </c>
      <c r="S183" s="137">
        <v>1</v>
      </c>
      <c r="T183" s="137">
        <v>0</v>
      </c>
      <c r="U183" s="137" t="s">
        <v>273</v>
      </c>
      <c r="V183" s="137"/>
    </row>
    <row r="184" spans="1:22" ht="15" thickBot="1" x14ac:dyDescent="0.35">
      <c r="A184" s="89">
        <v>8</v>
      </c>
      <c r="B184" s="149">
        <v>2</v>
      </c>
      <c r="C184" s="150">
        <v>1</v>
      </c>
      <c r="D184" s="150" t="s">
        <v>22</v>
      </c>
      <c r="E184" s="150">
        <v>0</v>
      </c>
      <c r="F184" s="150">
        <v>1</v>
      </c>
      <c r="G184" s="43"/>
      <c r="H184" s="43" t="s">
        <v>268</v>
      </c>
      <c r="I184" s="151" t="s">
        <v>274</v>
      </c>
      <c r="J184" s="152">
        <v>0</v>
      </c>
      <c r="K184" s="153" t="str">
        <f>IF(J184&gt;=1,"Yes","No")</f>
        <v>No</v>
      </c>
      <c r="L184" s="154">
        <v>0</v>
      </c>
      <c r="M184" s="155" t="str">
        <f>IF(L184&gt;=1,"Yes","No")</f>
        <v>No</v>
      </c>
      <c r="N184" s="156">
        <v>1</v>
      </c>
      <c r="O184" s="157" t="str">
        <f>IF(N184&gt;=1,"Yes","No")</f>
        <v>Yes</v>
      </c>
      <c r="P184" s="152">
        <v>0</v>
      </c>
      <c r="Q184" s="158" t="str">
        <f>IF(P184&gt;=1,"Yes","No")</f>
        <v>No</v>
      </c>
      <c r="R184" s="150">
        <v>0</v>
      </c>
      <c r="S184" s="150">
        <v>1</v>
      </c>
      <c r="T184" s="150">
        <v>0</v>
      </c>
      <c r="U184" s="150" t="s">
        <v>275</v>
      </c>
      <c r="V184" s="150"/>
    </row>
    <row r="185" spans="1:22" ht="15.6" thickTop="1" thickBot="1" x14ac:dyDescent="0.35">
      <c r="A185" s="89">
        <v>9</v>
      </c>
      <c r="B185" s="8">
        <v>1</v>
      </c>
      <c r="C185" s="9">
        <v>1</v>
      </c>
      <c r="D185" s="9" t="s">
        <v>22</v>
      </c>
      <c r="E185" s="9">
        <v>0</v>
      </c>
      <c r="F185" s="9">
        <v>1</v>
      </c>
      <c r="G185" s="28"/>
      <c r="H185" s="28" t="s">
        <v>268</v>
      </c>
      <c r="I185" s="107" t="s">
        <v>274</v>
      </c>
      <c r="J185" s="108">
        <v>0</v>
      </c>
      <c r="K185" s="109" t="str">
        <f>IF(J185&gt;=1,"Yes","No")</f>
        <v>No</v>
      </c>
      <c r="L185" s="110">
        <v>0</v>
      </c>
      <c r="M185" s="111" t="str">
        <f>IF(L185&gt;=1,"Yes","No")</f>
        <v>No</v>
      </c>
      <c r="N185" s="112">
        <v>1</v>
      </c>
      <c r="O185" s="113" t="str">
        <f>IF(N185&gt;=1,"Yes","No")</f>
        <v>Yes</v>
      </c>
      <c r="P185" s="108">
        <v>0</v>
      </c>
      <c r="Q185" s="114" t="str">
        <f>IF(P185&gt;=1,"Yes","No")</f>
        <v>No</v>
      </c>
      <c r="R185" s="9">
        <v>0</v>
      </c>
      <c r="S185" s="9">
        <v>1</v>
      </c>
      <c r="T185" s="9">
        <v>0</v>
      </c>
      <c r="U185" s="9" t="s">
        <v>276</v>
      </c>
      <c r="V185" s="9"/>
    </row>
    <row r="186" spans="1:22" ht="15.6" thickTop="1" thickBot="1" x14ac:dyDescent="0.35">
      <c r="A186" s="89">
        <v>9</v>
      </c>
      <c r="B186" s="31">
        <v>2</v>
      </c>
      <c r="C186" s="32">
        <v>1</v>
      </c>
      <c r="D186" s="32" t="s">
        <v>22</v>
      </c>
      <c r="E186" s="32">
        <v>0</v>
      </c>
      <c r="F186" s="32">
        <v>1</v>
      </c>
      <c r="G186" s="34"/>
      <c r="H186" s="34" t="s">
        <v>268</v>
      </c>
      <c r="I186" s="116" t="s">
        <v>274</v>
      </c>
      <c r="J186" s="117">
        <v>0</v>
      </c>
      <c r="K186" s="118" t="str">
        <f>IF(J186&gt;=1,"Yes","No")</f>
        <v>No</v>
      </c>
      <c r="L186" s="119">
        <v>0</v>
      </c>
      <c r="M186" s="120" t="str">
        <f>IF(L186&gt;=1,"Yes","No")</f>
        <v>No</v>
      </c>
      <c r="N186" s="121">
        <v>1</v>
      </c>
      <c r="O186" s="122" t="str">
        <f>IF(N186&gt;=1,"Yes","No")</f>
        <v>Yes</v>
      </c>
      <c r="P186" s="117">
        <v>0</v>
      </c>
      <c r="Q186" s="123" t="str">
        <f>IF(P186&gt;=1,"Yes","No")</f>
        <v>No</v>
      </c>
      <c r="R186" s="32">
        <v>0</v>
      </c>
      <c r="S186" s="32">
        <v>1</v>
      </c>
      <c r="T186" s="78">
        <v>0</v>
      </c>
      <c r="U186" s="9" t="s">
        <v>277</v>
      </c>
      <c r="V186" s="32"/>
    </row>
    <row r="187" spans="1:22" ht="15.6" thickTop="1" thickBot="1" x14ac:dyDescent="0.35">
      <c r="A187" s="89">
        <v>9</v>
      </c>
      <c r="B187" s="31">
        <v>3</v>
      </c>
      <c r="C187" s="32">
        <v>1</v>
      </c>
      <c r="D187" s="32" t="s">
        <v>22</v>
      </c>
      <c r="E187" s="32">
        <v>0</v>
      </c>
      <c r="F187" s="32">
        <v>1</v>
      </c>
      <c r="G187" s="34"/>
      <c r="H187" s="34" t="s">
        <v>268</v>
      </c>
      <c r="I187" s="116" t="s">
        <v>274</v>
      </c>
      <c r="J187" s="117">
        <v>0</v>
      </c>
      <c r="K187" s="118" t="str">
        <f>IF(J187&gt;=1,"Yes","No")</f>
        <v>No</v>
      </c>
      <c r="L187" s="119">
        <v>0</v>
      </c>
      <c r="M187" s="120" t="str">
        <f>IF(L187&gt;=1,"Yes","No")</f>
        <v>No</v>
      </c>
      <c r="N187" s="121">
        <v>1</v>
      </c>
      <c r="O187" s="122" t="str">
        <f>IF(N187&gt;=1,"Yes","No")</f>
        <v>Yes</v>
      </c>
      <c r="P187" s="117">
        <v>0</v>
      </c>
      <c r="Q187" s="123" t="str">
        <f>IF(P187&gt;=1,"Yes","No")</f>
        <v>No</v>
      </c>
      <c r="R187" s="32">
        <v>0</v>
      </c>
      <c r="S187" s="32">
        <v>1</v>
      </c>
      <c r="T187" s="78">
        <v>0</v>
      </c>
      <c r="U187" s="9" t="s">
        <v>278</v>
      </c>
      <c r="V187" s="32"/>
    </row>
    <row r="188" spans="1:22" ht="15.6" thickTop="1" thickBot="1" x14ac:dyDescent="0.35">
      <c r="A188" s="89">
        <v>9</v>
      </c>
      <c r="B188" s="31">
        <v>4</v>
      </c>
      <c r="C188" s="32">
        <v>1</v>
      </c>
      <c r="D188" s="32" t="s">
        <v>22</v>
      </c>
      <c r="E188" s="32">
        <v>0</v>
      </c>
      <c r="F188" s="32">
        <v>1</v>
      </c>
      <c r="G188" s="34"/>
      <c r="H188" s="34" t="s">
        <v>268</v>
      </c>
      <c r="I188" s="116" t="s">
        <v>274</v>
      </c>
      <c r="J188" s="117">
        <v>0</v>
      </c>
      <c r="K188" s="118" t="str">
        <f>IF(J188&gt;=1,"Yes","No")</f>
        <v>No</v>
      </c>
      <c r="L188" s="119">
        <v>0</v>
      </c>
      <c r="M188" s="120" t="str">
        <f>IF(L188&gt;=1,"Yes","No")</f>
        <v>No</v>
      </c>
      <c r="N188" s="121">
        <v>1</v>
      </c>
      <c r="O188" s="122" t="str">
        <f>IF(N188&gt;=1,"Yes","No")</f>
        <v>Yes</v>
      </c>
      <c r="P188" s="117">
        <v>0</v>
      </c>
      <c r="Q188" s="123" t="str">
        <f>IF(P188&gt;=1,"Yes","No")</f>
        <v>No</v>
      </c>
      <c r="R188" s="32">
        <v>0</v>
      </c>
      <c r="S188" s="32">
        <v>1</v>
      </c>
      <c r="T188" s="78">
        <v>0</v>
      </c>
      <c r="U188" s="9" t="s">
        <v>279</v>
      </c>
      <c r="V188" s="32"/>
    </row>
    <row r="189" spans="1:22" ht="15.6" thickTop="1" thickBot="1" x14ac:dyDescent="0.35">
      <c r="A189" s="89">
        <v>9</v>
      </c>
      <c r="B189" s="31">
        <v>5</v>
      </c>
      <c r="C189" s="32">
        <v>1</v>
      </c>
      <c r="D189" s="32" t="s">
        <v>22</v>
      </c>
      <c r="E189" s="32">
        <v>0</v>
      </c>
      <c r="F189" s="32">
        <v>1</v>
      </c>
      <c r="G189" s="34"/>
      <c r="H189" s="34" t="s">
        <v>268</v>
      </c>
      <c r="I189" s="116" t="s">
        <v>274</v>
      </c>
      <c r="J189" s="117">
        <v>0</v>
      </c>
      <c r="K189" s="118" t="str">
        <f>IF(J189&gt;=1,"Yes","No")</f>
        <v>No</v>
      </c>
      <c r="L189" s="119">
        <v>0</v>
      </c>
      <c r="M189" s="120" t="str">
        <f>IF(L189&gt;=1,"Yes","No")</f>
        <v>No</v>
      </c>
      <c r="N189" s="121">
        <v>1</v>
      </c>
      <c r="O189" s="122" t="str">
        <f>IF(N189&gt;=1,"Yes","No")</f>
        <v>Yes</v>
      </c>
      <c r="P189" s="117">
        <v>0</v>
      </c>
      <c r="Q189" s="123" t="str">
        <f>IF(P189&gt;=1,"Yes","No")</f>
        <v>No</v>
      </c>
      <c r="R189" s="32">
        <v>0</v>
      </c>
      <c r="S189" s="32">
        <v>1</v>
      </c>
      <c r="T189" s="78">
        <v>0</v>
      </c>
      <c r="U189" s="9" t="s">
        <v>280</v>
      </c>
      <c r="V189" s="32"/>
    </row>
    <row r="190" spans="1:22" ht="15.6" thickTop="1" thickBot="1" x14ac:dyDescent="0.35">
      <c r="A190" s="89">
        <v>9</v>
      </c>
      <c r="B190" s="18">
        <v>6</v>
      </c>
      <c r="C190" s="19">
        <v>1</v>
      </c>
      <c r="D190" s="19" t="s">
        <v>22</v>
      </c>
      <c r="E190" s="19">
        <v>0</v>
      </c>
      <c r="F190" s="19">
        <v>1</v>
      </c>
      <c r="G190" s="43"/>
      <c r="H190" s="43" t="s">
        <v>268</v>
      </c>
      <c r="I190" s="125" t="s">
        <v>274</v>
      </c>
      <c r="J190" s="126">
        <v>0</v>
      </c>
      <c r="K190" s="127" t="str">
        <f>IF(J190&gt;=1,"Yes","No")</f>
        <v>No</v>
      </c>
      <c r="L190" s="128">
        <v>0</v>
      </c>
      <c r="M190" s="129" t="str">
        <f>IF(L190&gt;=1,"Yes","No")</f>
        <v>No</v>
      </c>
      <c r="N190" s="130">
        <v>1</v>
      </c>
      <c r="O190" s="131" t="str">
        <f>IF(N190&gt;=1,"Yes","No")</f>
        <v>Yes</v>
      </c>
      <c r="P190" s="126">
        <v>0</v>
      </c>
      <c r="Q190" s="132" t="str">
        <f>IF(P190&gt;=1,"Yes","No")</f>
        <v>No</v>
      </c>
      <c r="R190" s="19">
        <v>0</v>
      </c>
      <c r="S190" s="19">
        <v>1</v>
      </c>
      <c r="T190" s="159">
        <v>0</v>
      </c>
      <c r="U190" s="9" t="s">
        <v>281</v>
      </c>
      <c r="V190" s="19"/>
    </row>
    <row r="191" spans="1:22" ht="15" thickTop="1" x14ac:dyDescent="0.3">
      <c r="A191" s="89">
        <v>10</v>
      </c>
      <c r="B191" s="8">
        <v>1</v>
      </c>
      <c r="C191" s="9">
        <v>1</v>
      </c>
      <c r="D191" s="9" t="s">
        <v>22</v>
      </c>
      <c r="E191" s="9">
        <v>0</v>
      </c>
      <c r="F191" s="9">
        <v>1</v>
      </c>
      <c r="G191" s="28"/>
      <c r="H191" s="28" t="s">
        <v>268</v>
      </c>
      <c r="I191" s="107" t="s">
        <v>274</v>
      </c>
      <c r="J191" s="108">
        <v>0</v>
      </c>
      <c r="K191" s="109" t="str">
        <f>IF(J191&gt;=1,"Yes","No")</f>
        <v>No</v>
      </c>
      <c r="L191" s="110">
        <v>0</v>
      </c>
      <c r="M191" s="111" t="str">
        <f>IF(L191&gt;=1,"Yes","No")</f>
        <v>No</v>
      </c>
      <c r="N191" s="112">
        <v>1</v>
      </c>
      <c r="O191" s="113" t="str">
        <f>IF(N191&gt;=1,"Yes","No")</f>
        <v>Yes</v>
      </c>
      <c r="P191" s="108">
        <v>0</v>
      </c>
      <c r="Q191" s="114" t="str">
        <f>IF(P191&gt;=1,"Yes","No")</f>
        <v>No</v>
      </c>
      <c r="R191" s="9">
        <v>1</v>
      </c>
      <c r="S191" s="9">
        <v>1</v>
      </c>
      <c r="T191" s="9">
        <v>0</v>
      </c>
      <c r="U191" s="9" t="s">
        <v>282</v>
      </c>
      <c r="V191" s="9"/>
    </row>
    <row r="192" spans="1:22" x14ac:dyDescent="0.3">
      <c r="A192" s="89">
        <v>10</v>
      </c>
      <c r="B192" s="31">
        <v>2</v>
      </c>
      <c r="C192" s="32">
        <v>1</v>
      </c>
      <c r="D192" s="32" t="s">
        <v>22</v>
      </c>
      <c r="E192" s="32">
        <v>0</v>
      </c>
      <c r="F192" s="32">
        <v>1</v>
      </c>
      <c r="G192" s="34"/>
      <c r="H192" s="34" t="s">
        <v>268</v>
      </c>
      <c r="I192" s="116" t="s">
        <v>274</v>
      </c>
      <c r="J192" s="117">
        <v>0</v>
      </c>
      <c r="K192" s="118" t="str">
        <f>IF(J192&gt;=1,"Yes","No")</f>
        <v>No</v>
      </c>
      <c r="L192" s="119">
        <v>0</v>
      </c>
      <c r="M192" s="120" t="str">
        <f>IF(L192&gt;=1,"Yes","No")</f>
        <v>No</v>
      </c>
      <c r="N192" s="121">
        <v>1</v>
      </c>
      <c r="O192" s="122" t="str">
        <f>IF(N192&gt;=1,"Yes","No")</f>
        <v>Yes</v>
      </c>
      <c r="P192" s="117">
        <v>0</v>
      </c>
      <c r="Q192" s="123" t="str">
        <f>IF(P192&gt;=1,"Yes","No")</f>
        <v>No</v>
      </c>
      <c r="R192" s="32">
        <v>1</v>
      </c>
      <c r="S192" s="32">
        <v>1</v>
      </c>
      <c r="T192" s="32">
        <v>0</v>
      </c>
      <c r="U192" s="32" t="s">
        <v>283</v>
      </c>
      <c r="V192" s="32"/>
    </row>
    <row r="193" spans="1:22" x14ac:dyDescent="0.3">
      <c r="A193" s="89">
        <v>10</v>
      </c>
      <c r="B193" s="31">
        <v>3</v>
      </c>
      <c r="C193" s="32">
        <v>1</v>
      </c>
      <c r="D193" s="32" t="s">
        <v>22</v>
      </c>
      <c r="E193" s="32">
        <v>0</v>
      </c>
      <c r="F193" s="32">
        <v>1</v>
      </c>
      <c r="G193" s="34"/>
      <c r="H193" s="34" t="s">
        <v>268</v>
      </c>
      <c r="I193" s="116" t="s">
        <v>274</v>
      </c>
      <c r="J193" s="117">
        <v>0</v>
      </c>
      <c r="K193" s="118" t="str">
        <f>IF(J193&gt;=1,"Yes","No")</f>
        <v>No</v>
      </c>
      <c r="L193" s="119">
        <v>0</v>
      </c>
      <c r="M193" s="120" t="str">
        <f>IF(L193&gt;=1,"Yes","No")</f>
        <v>No</v>
      </c>
      <c r="N193" s="121">
        <v>1</v>
      </c>
      <c r="O193" s="122" t="str">
        <f>IF(N193&gt;=1,"Yes","No")</f>
        <v>Yes</v>
      </c>
      <c r="P193" s="117">
        <v>0</v>
      </c>
      <c r="Q193" s="123" t="str">
        <f>IF(P193&gt;=1,"Yes","No")</f>
        <v>No</v>
      </c>
      <c r="R193" s="32">
        <v>1</v>
      </c>
      <c r="S193" s="32">
        <v>1</v>
      </c>
      <c r="T193" s="32">
        <v>0</v>
      </c>
      <c r="U193" s="32" t="s">
        <v>284</v>
      </c>
      <c r="V193" s="32"/>
    </row>
    <row r="194" spans="1:22" x14ac:dyDescent="0.3">
      <c r="A194" s="89">
        <v>10</v>
      </c>
      <c r="B194" s="31">
        <v>4</v>
      </c>
      <c r="C194" s="32">
        <v>1</v>
      </c>
      <c r="D194" s="32" t="s">
        <v>22</v>
      </c>
      <c r="E194" s="32">
        <v>0</v>
      </c>
      <c r="F194" s="32">
        <v>1</v>
      </c>
      <c r="G194" s="34"/>
      <c r="H194" s="34" t="s">
        <v>268</v>
      </c>
      <c r="I194" s="116" t="s">
        <v>274</v>
      </c>
      <c r="J194" s="117">
        <v>0</v>
      </c>
      <c r="K194" s="118" t="str">
        <f>IF(J194&gt;=1,"Yes","No")</f>
        <v>No</v>
      </c>
      <c r="L194" s="119">
        <v>0</v>
      </c>
      <c r="M194" s="120" t="str">
        <f>IF(L194&gt;=1,"Yes","No")</f>
        <v>No</v>
      </c>
      <c r="N194" s="121">
        <v>1</v>
      </c>
      <c r="O194" s="122" t="str">
        <f>IF(N194&gt;=1,"Yes","No")</f>
        <v>Yes</v>
      </c>
      <c r="P194" s="117">
        <v>0</v>
      </c>
      <c r="Q194" s="123" t="str">
        <f>IF(P194&gt;=1,"Yes","No")</f>
        <v>No</v>
      </c>
      <c r="R194" s="32">
        <v>1</v>
      </c>
      <c r="S194" s="32">
        <v>1</v>
      </c>
      <c r="T194" s="32">
        <v>0</v>
      </c>
      <c r="U194" s="32" t="s">
        <v>285</v>
      </c>
      <c r="V194" s="32"/>
    </row>
    <row r="195" spans="1:22" x14ac:dyDescent="0.3">
      <c r="A195" s="89">
        <v>10</v>
      </c>
      <c r="B195" s="31">
        <v>5</v>
      </c>
      <c r="C195" s="32">
        <v>1</v>
      </c>
      <c r="D195" s="32" t="s">
        <v>22</v>
      </c>
      <c r="E195" s="32">
        <v>0</v>
      </c>
      <c r="F195" s="32">
        <v>1</v>
      </c>
      <c r="G195" s="34"/>
      <c r="H195" s="34" t="s">
        <v>268</v>
      </c>
      <c r="I195" s="116" t="s">
        <v>274</v>
      </c>
      <c r="J195" s="117">
        <v>0</v>
      </c>
      <c r="K195" s="118" t="str">
        <f>IF(J195&gt;=1,"Yes","No")</f>
        <v>No</v>
      </c>
      <c r="L195" s="119">
        <v>0</v>
      </c>
      <c r="M195" s="120" t="str">
        <f>IF(L195&gt;=1,"Yes","No")</f>
        <v>No</v>
      </c>
      <c r="N195" s="121">
        <v>1</v>
      </c>
      <c r="O195" s="122" t="str">
        <f>IF(N195&gt;=1,"Yes","No")</f>
        <v>Yes</v>
      </c>
      <c r="P195" s="117">
        <v>0</v>
      </c>
      <c r="Q195" s="123" t="str">
        <f>IF(P195&gt;=1,"Yes","No")</f>
        <v>No</v>
      </c>
      <c r="R195" s="32">
        <v>1</v>
      </c>
      <c r="S195" s="32">
        <v>1</v>
      </c>
      <c r="T195" s="32">
        <v>0</v>
      </c>
      <c r="U195" s="32" t="s">
        <v>286</v>
      </c>
      <c r="V195" s="32"/>
    </row>
    <row r="196" spans="1:22" ht="15" thickBot="1" x14ac:dyDescent="0.35">
      <c r="A196" s="89">
        <v>10</v>
      </c>
      <c r="B196" s="18">
        <v>6</v>
      </c>
      <c r="C196" s="19">
        <v>1</v>
      </c>
      <c r="D196" s="19" t="s">
        <v>22</v>
      </c>
      <c r="E196" s="19">
        <v>0</v>
      </c>
      <c r="F196" s="19">
        <v>1</v>
      </c>
      <c r="G196" s="43"/>
      <c r="H196" s="43" t="s">
        <v>268</v>
      </c>
      <c r="I196" s="125" t="s">
        <v>274</v>
      </c>
      <c r="J196" s="126">
        <v>0</v>
      </c>
      <c r="K196" s="127" t="str">
        <f>IF(J196&gt;=1,"Yes","No")</f>
        <v>No</v>
      </c>
      <c r="L196" s="128">
        <v>0</v>
      </c>
      <c r="M196" s="129" t="str">
        <f>IF(L196&gt;=1,"Yes","No")</f>
        <v>No</v>
      </c>
      <c r="N196" s="130">
        <v>1</v>
      </c>
      <c r="O196" s="131" t="str">
        <f>IF(N196&gt;=1,"Yes","No")</f>
        <v>Yes</v>
      </c>
      <c r="P196" s="126">
        <v>0</v>
      </c>
      <c r="Q196" s="132" t="str">
        <f>IF(P196&gt;=1,"Yes","No")</f>
        <v>No</v>
      </c>
      <c r="R196" s="32">
        <v>1</v>
      </c>
      <c r="S196" s="19">
        <v>1</v>
      </c>
      <c r="T196" s="86">
        <v>0</v>
      </c>
      <c r="U196" s="32" t="s">
        <v>287</v>
      </c>
      <c r="V196" s="19"/>
    </row>
    <row r="197" spans="1:22" ht="15.6" thickTop="1" thickBot="1" x14ac:dyDescent="0.35">
      <c r="A197" s="89">
        <v>11</v>
      </c>
      <c r="B197" s="8">
        <v>1</v>
      </c>
      <c r="C197" s="9">
        <v>1</v>
      </c>
      <c r="D197" s="9" t="s">
        <v>22</v>
      </c>
      <c r="E197" s="9">
        <v>0</v>
      </c>
      <c r="F197" s="9">
        <v>1</v>
      </c>
      <c r="G197" s="28"/>
      <c r="H197" s="107" t="s">
        <v>268</v>
      </c>
      <c r="I197" s="107" t="s">
        <v>274</v>
      </c>
      <c r="J197" s="108">
        <v>0</v>
      </c>
      <c r="K197" s="109" t="str">
        <f>IF(J197&gt;=1,"Yes","No")</f>
        <v>No</v>
      </c>
      <c r="L197" s="110">
        <v>0</v>
      </c>
      <c r="M197" s="111" t="str">
        <f>IF(L197&gt;=1,"Yes","No")</f>
        <v>No</v>
      </c>
      <c r="N197" s="112">
        <v>1</v>
      </c>
      <c r="O197" s="113" t="str">
        <f>IF(N197&gt;=1,"Yes","No")</f>
        <v>Yes</v>
      </c>
      <c r="P197" s="108">
        <v>0</v>
      </c>
      <c r="Q197" s="114" t="str">
        <f>IF(P197&gt;=1,"Yes","No")</f>
        <v>No</v>
      </c>
      <c r="R197" s="9">
        <v>0</v>
      </c>
      <c r="S197" s="9">
        <v>1</v>
      </c>
      <c r="T197" s="9">
        <v>0</v>
      </c>
      <c r="U197" s="9" t="s">
        <v>288</v>
      </c>
      <c r="V197" s="9"/>
    </row>
    <row r="198" spans="1:22" ht="15.6" thickTop="1" thickBot="1" x14ac:dyDescent="0.35">
      <c r="A198" s="89">
        <v>11</v>
      </c>
      <c r="B198" s="31">
        <v>2</v>
      </c>
      <c r="C198" s="32">
        <v>1</v>
      </c>
      <c r="D198" s="32" t="s">
        <v>22</v>
      </c>
      <c r="E198" s="32">
        <v>0</v>
      </c>
      <c r="F198" s="32">
        <v>1</v>
      </c>
      <c r="G198" s="34"/>
      <c r="H198" s="116" t="s">
        <v>268</v>
      </c>
      <c r="I198" s="116" t="s">
        <v>274</v>
      </c>
      <c r="J198" s="117">
        <v>0</v>
      </c>
      <c r="K198" s="118" t="str">
        <f>IF(J198&gt;=1,"Yes","No")</f>
        <v>No</v>
      </c>
      <c r="L198" s="119">
        <v>0</v>
      </c>
      <c r="M198" s="120" t="str">
        <f>IF(L198&gt;=1,"Yes","No")</f>
        <v>No</v>
      </c>
      <c r="N198" s="121">
        <v>1</v>
      </c>
      <c r="O198" s="122" t="str">
        <f>IF(N198&gt;=1,"Yes","No")</f>
        <v>Yes</v>
      </c>
      <c r="P198" s="117">
        <v>0</v>
      </c>
      <c r="Q198" s="123" t="str">
        <f>IF(P198&gt;=1,"Yes","No")</f>
        <v>No</v>
      </c>
      <c r="R198" s="32">
        <v>0</v>
      </c>
      <c r="S198" s="32">
        <v>1</v>
      </c>
      <c r="T198" s="78">
        <v>0</v>
      </c>
      <c r="U198" s="9" t="s">
        <v>289</v>
      </c>
      <c r="V198" s="32"/>
    </row>
    <row r="199" spans="1:22" ht="15.6" thickTop="1" thickBot="1" x14ac:dyDescent="0.35">
      <c r="A199" s="89">
        <v>11</v>
      </c>
      <c r="B199" s="31">
        <v>3</v>
      </c>
      <c r="C199" s="32">
        <v>1</v>
      </c>
      <c r="D199" s="32" t="s">
        <v>22</v>
      </c>
      <c r="E199" s="32">
        <v>0</v>
      </c>
      <c r="F199" s="32">
        <v>1</v>
      </c>
      <c r="G199" s="34"/>
      <c r="H199" s="116" t="s">
        <v>268</v>
      </c>
      <c r="I199" s="116" t="s">
        <v>274</v>
      </c>
      <c r="J199" s="117">
        <v>0</v>
      </c>
      <c r="K199" s="118" t="str">
        <f>IF(J199&gt;=1,"Yes","No")</f>
        <v>No</v>
      </c>
      <c r="L199" s="119">
        <v>0</v>
      </c>
      <c r="M199" s="120" t="str">
        <f>IF(L199&gt;=1,"Yes","No")</f>
        <v>No</v>
      </c>
      <c r="N199" s="121">
        <v>1</v>
      </c>
      <c r="O199" s="122" t="str">
        <f>IF(N199&gt;=1,"Yes","No")</f>
        <v>Yes</v>
      </c>
      <c r="P199" s="117">
        <v>0</v>
      </c>
      <c r="Q199" s="123" t="str">
        <f>IF(P199&gt;=1,"Yes","No")</f>
        <v>No</v>
      </c>
      <c r="R199" s="32">
        <v>0</v>
      </c>
      <c r="S199" s="32">
        <v>1</v>
      </c>
      <c r="T199" s="78">
        <v>0</v>
      </c>
      <c r="U199" s="9" t="s">
        <v>290</v>
      </c>
      <c r="V199" s="32"/>
    </row>
    <row r="200" spans="1:22" ht="15.6" thickTop="1" thickBot="1" x14ac:dyDescent="0.35">
      <c r="A200" s="89">
        <v>11</v>
      </c>
      <c r="B200" s="31">
        <v>4</v>
      </c>
      <c r="C200" s="32">
        <v>1</v>
      </c>
      <c r="D200" s="32" t="s">
        <v>22</v>
      </c>
      <c r="E200" s="32">
        <v>0</v>
      </c>
      <c r="F200" s="32">
        <v>1</v>
      </c>
      <c r="G200" s="34"/>
      <c r="H200" s="116" t="s">
        <v>268</v>
      </c>
      <c r="I200" s="116" t="s">
        <v>274</v>
      </c>
      <c r="J200" s="117">
        <v>0</v>
      </c>
      <c r="K200" s="118" t="str">
        <f>IF(J200&gt;=1,"Yes","No")</f>
        <v>No</v>
      </c>
      <c r="L200" s="119">
        <v>0</v>
      </c>
      <c r="M200" s="120" t="str">
        <f>IF(L200&gt;=1,"Yes","No")</f>
        <v>No</v>
      </c>
      <c r="N200" s="121">
        <v>1</v>
      </c>
      <c r="O200" s="122" t="str">
        <f>IF(N200&gt;=1,"Yes","No")</f>
        <v>Yes</v>
      </c>
      <c r="P200" s="117">
        <v>0</v>
      </c>
      <c r="Q200" s="123" t="str">
        <f>IF(P200&gt;=1,"Yes","No")</f>
        <v>No</v>
      </c>
      <c r="R200" s="32">
        <v>0</v>
      </c>
      <c r="S200" s="32">
        <v>1</v>
      </c>
      <c r="T200" s="78">
        <v>0</v>
      </c>
      <c r="U200" s="9" t="s">
        <v>291</v>
      </c>
      <c r="V200" s="32"/>
    </row>
    <row r="201" spans="1:22" ht="15.6" thickTop="1" thickBot="1" x14ac:dyDescent="0.35">
      <c r="A201" s="89">
        <v>11</v>
      </c>
      <c r="B201" s="31">
        <v>5</v>
      </c>
      <c r="C201" s="32">
        <v>1</v>
      </c>
      <c r="D201" s="32" t="s">
        <v>22</v>
      </c>
      <c r="E201" s="32">
        <v>0</v>
      </c>
      <c r="F201" s="32">
        <v>1</v>
      </c>
      <c r="G201" s="34"/>
      <c r="H201" s="116" t="s">
        <v>268</v>
      </c>
      <c r="I201" s="116" t="s">
        <v>274</v>
      </c>
      <c r="J201" s="117">
        <v>0</v>
      </c>
      <c r="K201" s="118" t="str">
        <f>IF(J201&gt;=1,"Yes","No")</f>
        <v>No</v>
      </c>
      <c r="L201" s="119">
        <v>0</v>
      </c>
      <c r="M201" s="120" t="str">
        <f>IF(L201&gt;=1,"Yes","No")</f>
        <v>No</v>
      </c>
      <c r="N201" s="121">
        <v>1</v>
      </c>
      <c r="O201" s="122" t="str">
        <f>IF(N201&gt;=1,"Yes","No")</f>
        <v>Yes</v>
      </c>
      <c r="P201" s="117">
        <v>0</v>
      </c>
      <c r="Q201" s="123" t="str">
        <f>IF(P201&gt;=1,"Yes","No")</f>
        <v>No</v>
      </c>
      <c r="R201" s="32">
        <v>0</v>
      </c>
      <c r="S201" s="32">
        <v>1</v>
      </c>
      <c r="T201" s="78">
        <v>0</v>
      </c>
      <c r="U201" s="9" t="s">
        <v>292</v>
      </c>
      <c r="V201" s="32"/>
    </row>
    <row r="202" spans="1:22" ht="15.6" thickTop="1" thickBot="1" x14ac:dyDescent="0.35">
      <c r="A202" s="89">
        <v>11</v>
      </c>
      <c r="B202" s="18">
        <v>6</v>
      </c>
      <c r="C202" s="19">
        <v>1</v>
      </c>
      <c r="D202" s="19" t="s">
        <v>22</v>
      </c>
      <c r="E202" s="19">
        <v>0</v>
      </c>
      <c r="F202" s="19">
        <v>1</v>
      </c>
      <c r="G202" s="43"/>
      <c r="H202" s="125" t="s">
        <v>268</v>
      </c>
      <c r="I202" s="125" t="s">
        <v>274</v>
      </c>
      <c r="J202" s="126">
        <v>0</v>
      </c>
      <c r="K202" s="127" t="str">
        <f>IF(J202&gt;=1,"Yes","No")</f>
        <v>No</v>
      </c>
      <c r="L202" s="128">
        <v>0</v>
      </c>
      <c r="M202" s="129" t="str">
        <f>IF(L202&gt;=1,"Yes","No")</f>
        <v>No</v>
      </c>
      <c r="N202" s="130">
        <v>1</v>
      </c>
      <c r="O202" s="131" t="str">
        <f>IF(N202&gt;=1,"Yes","No")</f>
        <v>Yes</v>
      </c>
      <c r="P202" s="126">
        <v>0</v>
      </c>
      <c r="Q202" s="132" t="str">
        <f>IF(P202&gt;=1,"Yes","No")</f>
        <v>No</v>
      </c>
      <c r="R202" s="19">
        <v>0</v>
      </c>
      <c r="S202" s="19">
        <v>1</v>
      </c>
      <c r="T202" s="159">
        <v>0</v>
      </c>
      <c r="U202" s="9" t="s">
        <v>293</v>
      </c>
      <c r="V202" s="19"/>
    </row>
    <row r="203" spans="1:22" ht="15" thickTop="1" x14ac:dyDescent="0.3">
      <c r="A203" s="89">
        <v>12</v>
      </c>
      <c r="B203" s="8">
        <v>1</v>
      </c>
      <c r="C203" s="9">
        <v>1</v>
      </c>
      <c r="D203" s="9" t="s">
        <v>22</v>
      </c>
      <c r="E203" s="9">
        <v>0</v>
      </c>
      <c r="F203" s="9">
        <v>1</v>
      </c>
      <c r="G203" s="28"/>
      <c r="H203" s="107" t="s">
        <v>271</v>
      </c>
      <c r="I203" s="160" t="s">
        <v>272</v>
      </c>
      <c r="J203" s="108">
        <v>0</v>
      </c>
      <c r="K203" s="109" t="str">
        <f>IF(J203&gt;=1,"Yes","No")</f>
        <v>No</v>
      </c>
      <c r="L203" s="110">
        <v>0</v>
      </c>
      <c r="M203" s="111" t="str">
        <f>IF(L203&gt;=1,"Yes","No")</f>
        <v>No</v>
      </c>
      <c r="N203" s="112">
        <v>6</v>
      </c>
      <c r="O203" s="113" t="str">
        <f>IF(N203&gt;=1,"Yes","No")</f>
        <v>Yes</v>
      </c>
      <c r="P203" s="108">
        <v>0</v>
      </c>
      <c r="Q203" s="114" t="str">
        <f>IF(P203&gt;=1,"Yes","No")</f>
        <v>No</v>
      </c>
      <c r="R203" s="9">
        <v>0</v>
      </c>
      <c r="S203" s="9">
        <v>1</v>
      </c>
      <c r="T203" s="9">
        <v>0</v>
      </c>
      <c r="U203" s="9"/>
      <c r="V203" s="9"/>
    </row>
    <row r="204" spans="1:22" x14ac:dyDescent="0.3">
      <c r="A204" s="89">
        <v>12</v>
      </c>
      <c r="B204" s="31">
        <v>2</v>
      </c>
      <c r="C204" s="32">
        <v>1</v>
      </c>
      <c r="D204" s="32" t="s">
        <v>22</v>
      </c>
      <c r="E204" s="32">
        <v>0</v>
      </c>
      <c r="F204" s="32">
        <v>0</v>
      </c>
      <c r="G204" s="34"/>
      <c r="H204" s="116" t="s">
        <v>271</v>
      </c>
      <c r="I204" s="116" t="s">
        <v>272</v>
      </c>
      <c r="J204" s="117">
        <v>0</v>
      </c>
      <c r="K204" s="118" t="str">
        <f>IF(J204&gt;=1,"Yes","No")</f>
        <v>No</v>
      </c>
      <c r="L204" s="119">
        <v>0</v>
      </c>
      <c r="M204" s="120" t="str">
        <f>IF(L204&gt;=1,"Yes","No")</f>
        <v>No</v>
      </c>
      <c r="N204" s="121">
        <v>0</v>
      </c>
      <c r="O204" s="122" t="str">
        <f>IF(N204&gt;=1,"Yes","No")</f>
        <v>No</v>
      </c>
      <c r="P204" s="117">
        <v>0</v>
      </c>
      <c r="Q204" s="123" t="str">
        <f>IF(P204&gt;=1,"Yes","No")</f>
        <v>No</v>
      </c>
      <c r="R204" s="32">
        <v>0</v>
      </c>
      <c r="S204" s="32">
        <v>1</v>
      </c>
      <c r="T204" s="32">
        <v>0</v>
      </c>
      <c r="U204" s="32"/>
      <c r="V204" s="32"/>
    </row>
    <row r="205" spans="1:22" x14ac:dyDescent="0.3">
      <c r="A205" s="89">
        <v>12</v>
      </c>
      <c r="B205" s="31">
        <v>3</v>
      </c>
      <c r="C205" s="32">
        <v>1</v>
      </c>
      <c r="D205" s="32" t="s">
        <v>22</v>
      </c>
      <c r="E205" s="32">
        <v>0</v>
      </c>
      <c r="F205" s="32">
        <v>0</v>
      </c>
      <c r="G205" s="34"/>
      <c r="H205" s="116" t="s">
        <v>271</v>
      </c>
      <c r="I205" s="116" t="s">
        <v>272</v>
      </c>
      <c r="J205" s="117">
        <v>0</v>
      </c>
      <c r="K205" s="118" t="str">
        <f>IF(J205&gt;=1,"Yes","No")</f>
        <v>No</v>
      </c>
      <c r="L205" s="119">
        <v>0</v>
      </c>
      <c r="M205" s="120" t="str">
        <f>IF(L205&gt;=1,"Yes","No")</f>
        <v>No</v>
      </c>
      <c r="N205" s="121">
        <v>0</v>
      </c>
      <c r="O205" s="122" t="str">
        <f>IF(N205&gt;=1,"Yes","No")</f>
        <v>No</v>
      </c>
      <c r="P205" s="117">
        <v>0</v>
      </c>
      <c r="Q205" s="123" t="str">
        <f>IF(P205&gt;=1,"Yes","No")</f>
        <v>No</v>
      </c>
      <c r="R205" s="32">
        <v>0</v>
      </c>
      <c r="S205" s="32">
        <v>1</v>
      </c>
      <c r="T205" s="32">
        <v>0</v>
      </c>
      <c r="U205" s="32"/>
      <c r="V205" s="32"/>
    </row>
    <row r="206" spans="1:22" x14ac:dyDescent="0.3">
      <c r="A206" s="89">
        <v>12</v>
      </c>
      <c r="B206" s="31">
        <v>4</v>
      </c>
      <c r="C206" s="32">
        <v>1</v>
      </c>
      <c r="D206" s="32" t="s">
        <v>22</v>
      </c>
      <c r="E206" s="32">
        <v>0</v>
      </c>
      <c r="F206" s="32">
        <v>0</v>
      </c>
      <c r="G206" s="34"/>
      <c r="H206" s="116" t="s">
        <v>271</v>
      </c>
      <c r="I206" s="116" t="s">
        <v>272</v>
      </c>
      <c r="J206" s="117">
        <v>0</v>
      </c>
      <c r="K206" s="118" t="str">
        <f>IF(J206&gt;=1,"Yes","No")</f>
        <v>No</v>
      </c>
      <c r="L206" s="119">
        <v>0</v>
      </c>
      <c r="M206" s="120" t="str">
        <f>IF(L206&gt;=1,"Yes","No")</f>
        <v>No</v>
      </c>
      <c r="N206" s="121">
        <v>0</v>
      </c>
      <c r="O206" s="122" t="str">
        <f>IF(N206&gt;=1,"Yes","No")</f>
        <v>No</v>
      </c>
      <c r="P206" s="117">
        <v>0</v>
      </c>
      <c r="Q206" s="123" t="str">
        <f>IF(P206&gt;=1,"Yes","No")</f>
        <v>No</v>
      </c>
      <c r="R206" s="32">
        <v>0</v>
      </c>
      <c r="S206" s="32">
        <v>1</v>
      </c>
      <c r="T206" s="32">
        <v>0</v>
      </c>
      <c r="U206" s="32"/>
      <c r="V206" s="32"/>
    </row>
    <row r="207" spans="1:22" x14ac:dyDescent="0.3">
      <c r="A207" s="89">
        <v>12</v>
      </c>
      <c r="B207" s="31">
        <v>5</v>
      </c>
      <c r="C207" s="32">
        <v>1</v>
      </c>
      <c r="D207" s="32" t="s">
        <v>22</v>
      </c>
      <c r="E207" s="32">
        <v>0</v>
      </c>
      <c r="F207" s="32">
        <v>0</v>
      </c>
      <c r="G207" s="34"/>
      <c r="H207" s="116" t="s">
        <v>271</v>
      </c>
      <c r="I207" s="116" t="s">
        <v>272</v>
      </c>
      <c r="J207" s="117">
        <v>0</v>
      </c>
      <c r="K207" s="118" t="str">
        <f>IF(J207&gt;=1,"Yes","No")</f>
        <v>No</v>
      </c>
      <c r="L207" s="119">
        <v>0</v>
      </c>
      <c r="M207" s="120" t="str">
        <f>IF(L207&gt;=1,"Yes","No")</f>
        <v>No</v>
      </c>
      <c r="N207" s="121">
        <v>0</v>
      </c>
      <c r="O207" s="122" t="str">
        <f>IF(N207&gt;=1,"Yes","No")</f>
        <v>No</v>
      </c>
      <c r="P207" s="117">
        <v>0</v>
      </c>
      <c r="Q207" s="123" t="str">
        <f>IF(P207&gt;=1,"Yes","No")</f>
        <v>No</v>
      </c>
      <c r="R207" s="32">
        <v>0</v>
      </c>
      <c r="S207" s="32">
        <v>1</v>
      </c>
      <c r="T207" s="32">
        <v>0</v>
      </c>
      <c r="U207" s="32"/>
      <c r="V207" s="32"/>
    </row>
    <row r="208" spans="1:22" ht="15" thickBot="1" x14ac:dyDescent="0.35">
      <c r="A208" s="89">
        <v>12</v>
      </c>
      <c r="B208" s="18">
        <v>6</v>
      </c>
      <c r="C208" s="19">
        <v>1</v>
      </c>
      <c r="D208" s="19" t="s">
        <v>22</v>
      </c>
      <c r="E208" s="19">
        <v>0</v>
      </c>
      <c r="F208" s="19">
        <v>0</v>
      </c>
      <c r="G208" s="43"/>
      <c r="H208" s="125" t="s">
        <v>271</v>
      </c>
      <c r="I208" s="125" t="s">
        <v>272</v>
      </c>
      <c r="J208" s="126">
        <v>0</v>
      </c>
      <c r="K208" s="127" t="str">
        <f>IF(J208&gt;=1,"Yes","No")</f>
        <v>No</v>
      </c>
      <c r="L208" s="128">
        <v>0</v>
      </c>
      <c r="M208" s="129" t="str">
        <f>IF(L208&gt;=1,"Yes","No")</f>
        <v>No</v>
      </c>
      <c r="N208" s="130">
        <v>0</v>
      </c>
      <c r="O208" s="131" t="str">
        <f>IF(N208&gt;=1,"Yes","No")</f>
        <v>No</v>
      </c>
      <c r="P208" s="126">
        <v>0</v>
      </c>
      <c r="Q208" s="132" t="str">
        <f>IF(P208&gt;=1,"Yes","No")</f>
        <v>No</v>
      </c>
      <c r="R208" s="19">
        <v>0</v>
      </c>
      <c r="S208" s="19">
        <v>1</v>
      </c>
      <c r="T208" s="19">
        <v>0</v>
      </c>
      <c r="U208" s="19"/>
      <c r="V208" s="19"/>
    </row>
    <row r="209" spans="1:22" ht="15" thickTop="1" x14ac:dyDescent="0.3">
      <c r="A209" s="89">
        <v>15</v>
      </c>
      <c r="B209" s="8">
        <v>1</v>
      </c>
      <c r="C209" s="9">
        <v>1</v>
      </c>
      <c r="D209" s="9" t="s">
        <v>22</v>
      </c>
      <c r="E209" s="9">
        <v>0</v>
      </c>
      <c r="F209" s="9">
        <v>1</v>
      </c>
      <c r="G209" s="28"/>
      <c r="H209" s="107" t="s">
        <v>271</v>
      </c>
      <c r="I209" s="107" t="s">
        <v>294</v>
      </c>
      <c r="J209" s="108">
        <v>0</v>
      </c>
      <c r="K209" s="109" t="str">
        <f>IF(J209&gt;=1,"Yes","No")</f>
        <v>No</v>
      </c>
      <c r="L209" s="110">
        <v>1</v>
      </c>
      <c r="M209" s="111" t="str">
        <f>IF(L209&gt;=1,"Yes","No")</f>
        <v>Yes</v>
      </c>
      <c r="N209" s="112">
        <v>6</v>
      </c>
      <c r="O209" s="113" t="str">
        <f>IF(N209&gt;=1,"Yes","No")</f>
        <v>Yes</v>
      </c>
      <c r="P209" s="108">
        <v>0</v>
      </c>
      <c r="Q209" s="114" t="str">
        <f>IF(P209&gt;=1,"Yes","No")</f>
        <v>No</v>
      </c>
      <c r="R209" s="9">
        <v>0</v>
      </c>
      <c r="S209" s="9">
        <v>1</v>
      </c>
      <c r="T209" s="9">
        <v>0</v>
      </c>
      <c r="U209" s="9"/>
      <c r="V209" s="9"/>
    </row>
    <row r="210" spans="1:22" x14ac:dyDescent="0.3">
      <c r="A210" s="89">
        <v>15</v>
      </c>
      <c r="B210" s="31">
        <v>2</v>
      </c>
      <c r="C210" s="32">
        <v>1</v>
      </c>
      <c r="D210" s="32" t="s">
        <v>22</v>
      </c>
      <c r="E210" s="32">
        <v>0</v>
      </c>
      <c r="F210" s="32">
        <v>0</v>
      </c>
      <c r="G210" s="34"/>
      <c r="H210" s="116" t="s">
        <v>271</v>
      </c>
      <c r="I210" s="116" t="s">
        <v>294</v>
      </c>
      <c r="J210" s="117">
        <v>0</v>
      </c>
      <c r="K210" s="118" t="str">
        <f>IF(J210&gt;=1,"Yes","No")</f>
        <v>No</v>
      </c>
      <c r="L210" s="119">
        <v>1</v>
      </c>
      <c r="M210" s="120" t="str">
        <f>IF(L210&gt;=1,"Yes","No")</f>
        <v>Yes</v>
      </c>
      <c r="N210" s="121">
        <v>0</v>
      </c>
      <c r="O210" s="122" t="str">
        <f>IF(N210&gt;=1,"Yes","No")</f>
        <v>No</v>
      </c>
      <c r="P210" s="117">
        <v>0</v>
      </c>
      <c r="Q210" s="123" t="str">
        <f>IF(P210&gt;=1,"Yes","No")</f>
        <v>No</v>
      </c>
      <c r="R210" s="32">
        <v>0</v>
      </c>
      <c r="S210" s="32">
        <v>1</v>
      </c>
      <c r="T210" s="32">
        <v>0</v>
      </c>
      <c r="U210" s="32"/>
      <c r="V210" s="32"/>
    </row>
    <row r="211" spans="1:22" x14ac:dyDescent="0.3">
      <c r="A211" s="89">
        <v>15</v>
      </c>
      <c r="B211" s="31">
        <v>3</v>
      </c>
      <c r="C211" s="32">
        <v>1</v>
      </c>
      <c r="D211" s="32" t="s">
        <v>22</v>
      </c>
      <c r="E211" s="32">
        <v>0</v>
      </c>
      <c r="F211" s="32">
        <v>0</v>
      </c>
      <c r="G211" s="34"/>
      <c r="H211" s="116" t="s">
        <v>271</v>
      </c>
      <c r="I211" s="116" t="s">
        <v>294</v>
      </c>
      <c r="J211" s="117">
        <v>0</v>
      </c>
      <c r="K211" s="118" t="str">
        <f>IF(J211&gt;=1,"Yes","No")</f>
        <v>No</v>
      </c>
      <c r="L211" s="119">
        <v>1</v>
      </c>
      <c r="M211" s="120" t="str">
        <f>IF(L211&gt;=1,"Yes","No")</f>
        <v>Yes</v>
      </c>
      <c r="N211" s="121">
        <v>0</v>
      </c>
      <c r="O211" s="122" t="str">
        <f>IF(N211&gt;=1,"Yes","No")</f>
        <v>No</v>
      </c>
      <c r="P211" s="117">
        <v>0</v>
      </c>
      <c r="Q211" s="123" t="str">
        <f>IF(P211&gt;=1,"Yes","No")</f>
        <v>No</v>
      </c>
      <c r="R211" s="32">
        <v>0</v>
      </c>
      <c r="S211" s="32">
        <v>1</v>
      </c>
      <c r="T211" s="32">
        <v>0</v>
      </c>
      <c r="U211" s="32"/>
      <c r="V211" s="32"/>
    </row>
    <row r="212" spans="1:22" x14ac:dyDescent="0.3">
      <c r="A212" s="89">
        <v>15</v>
      </c>
      <c r="B212" s="31">
        <v>4</v>
      </c>
      <c r="C212" s="32">
        <v>1</v>
      </c>
      <c r="D212" s="32" t="s">
        <v>22</v>
      </c>
      <c r="E212" s="32">
        <v>0</v>
      </c>
      <c r="F212" s="32">
        <v>0</v>
      </c>
      <c r="G212" s="34"/>
      <c r="H212" s="116" t="s">
        <v>271</v>
      </c>
      <c r="I212" s="116" t="s">
        <v>294</v>
      </c>
      <c r="J212" s="117">
        <v>0</v>
      </c>
      <c r="K212" s="118" t="str">
        <f>IF(J212&gt;=1,"Yes","No")</f>
        <v>No</v>
      </c>
      <c r="L212" s="119">
        <v>1</v>
      </c>
      <c r="M212" s="120" t="str">
        <f>IF(L212&gt;=1,"Yes","No")</f>
        <v>Yes</v>
      </c>
      <c r="N212" s="121">
        <v>0</v>
      </c>
      <c r="O212" s="122" t="str">
        <f>IF(N212&gt;=1,"Yes","No")</f>
        <v>No</v>
      </c>
      <c r="P212" s="117">
        <v>0</v>
      </c>
      <c r="Q212" s="123" t="str">
        <f>IF(P212&gt;=1,"Yes","No")</f>
        <v>No</v>
      </c>
      <c r="R212" s="32">
        <v>0</v>
      </c>
      <c r="S212" s="32">
        <v>1</v>
      </c>
      <c r="T212" s="32">
        <v>0</v>
      </c>
      <c r="U212" s="32"/>
      <c r="V212" s="32"/>
    </row>
    <row r="213" spans="1:22" x14ac:dyDescent="0.3">
      <c r="A213" s="89">
        <v>15</v>
      </c>
      <c r="B213" s="31">
        <v>5</v>
      </c>
      <c r="C213" s="32">
        <v>1</v>
      </c>
      <c r="D213" s="32" t="s">
        <v>22</v>
      </c>
      <c r="E213" s="32">
        <v>0</v>
      </c>
      <c r="F213" s="32">
        <v>0</v>
      </c>
      <c r="G213" s="34"/>
      <c r="H213" s="116" t="s">
        <v>271</v>
      </c>
      <c r="I213" s="116" t="s">
        <v>294</v>
      </c>
      <c r="J213" s="117">
        <v>0</v>
      </c>
      <c r="K213" s="118" t="str">
        <f>IF(J213&gt;=1,"Yes","No")</f>
        <v>No</v>
      </c>
      <c r="L213" s="119">
        <v>1</v>
      </c>
      <c r="M213" s="120" t="str">
        <f>IF(L213&gt;=1,"Yes","No")</f>
        <v>Yes</v>
      </c>
      <c r="N213" s="121">
        <v>0</v>
      </c>
      <c r="O213" s="122" t="str">
        <f>IF(N213&gt;=1,"Yes","No")</f>
        <v>No</v>
      </c>
      <c r="P213" s="117">
        <v>0</v>
      </c>
      <c r="Q213" s="123" t="str">
        <f>IF(P213&gt;=1,"Yes","No")</f>
        <v>No</v>
      </c>
      <c r="R213" s="32">
        <v>0</v>
      </c>
      <c r="S213" s="32">
        <v>1</v>
      </c>
      <c r="T213" s="32">
        <v>0</v>
      </c>
      <c r="U213" s="32"/>
      <c r="V213" s="32"/>
    </row>
    <row r="214" spans="1:22" ht="15" thickBot="1" x14ac:dyDescent="0.35">
      <c r="A214" s="89">
        <v>15</v>
      </c>
      <c r="B214" s="18">
        <v>6</v>
      </c>
      <c r="C214" s="19">
        <v>1</v>
      </c>
      <c r="D214" s="19" t="s">
        <v>22</v>
      </c>
      <c r="E214" s="19">
        <v>0</v>
      </c>
      <c r="F214" s="19">
        <v>0</v>
      </c>
      <c r="G214" s="43"/>
      <c r="H214" s="125" t="s">
        <v>271</v>
      </c>
      <c r="I214" s="125" t="s">
        <v>294</v>
      </c>
      <c r="J214" s="126">
        <v>0</v>
      </c>
      <c r="K214" s="127" t="str">
        <f>IF(J214&gt;=1,"Yes","No")</f>
        <v>No</v>
      </c>
      <c r="L214" s="128">
        <v>1</v>
      </c>
      <c r="M214" s="129" t="str">
        <f>IF(L214&gt;=1,"Yes","No")</f>
        <v>Yes</v>
      </c>
      <c r="N214" s="130">
        <v>0</v>
      </c>
      <c r="O214" s="131" t="str">
        <f>IF(N214&gt;=1,"Yes","No")</f>
        <v>No</v>
      </c>
      <c r="P214" s="126">
        <v>0</v>
      </c>
      <c r="Q214" s="132" t="str">
        <f>IF(P214&gt;=1,"Yes","No")</f>
        <v>No</v>
      </c>
      <c r="R214" s="19">
        <v>0</v>
      </c>
      <c r="S214" s="19">
        <v>1</v>
      </c>
      <c r="T214" s="19">
        <v>0</v>
      </c>
      <c r="U214" s="19"/>
      <c r="V214" s="19"/>
    </row>
    <row r="215" spans="1:22" ht="15" thickTop="1" x14ac:dyDescent="0.3">
      <c r="A215" s="89">
        <v>16</v>
      </c>
      <c r="B215" s="8">
        <v>1</v>
      </c>
      <c r="C215" s="9">
        <v>1</v>
      </c>
      <c r="D215" s="9" t="s">
        <v>22</v>
      </c>
      <c r="E215" s="9">
        <v>0</v>
      </c>
      <c r="F215" s="9">
        <v>1</v>
      </c>
      <c r="G215" s="28"/>
      <c r="H215" s="107" t="s">
        <v>271</v>
      </c>
      <c r="I215" s="107" t="s">
        <v>295</v>
      </c>
      <c r="J215" s="108">
        <v>0</v>
      </c>
      <c r="K215" s="109" t="str">
        <f>IF(J215&gt;=1,"Yes","No")</f>
        <v>No</v>
      </c>
      <c r="L215" s="110">
        <v>1</v>
      </c>
      <c r="M215" s="111" t="str">
        <f>IF(L215&gt;=1,"Yes","No")</f>
        <v>Yes</v>
      </c>
      <c r="N215" s="112">
        <v>6</v>
      </c>
      <c r="O215" s="113" t="str">
        <f>IF(N215&gt;=1,"Yes","No")</f>
        <v>Yes</v>
      </c>
      <c r="P215" s="108">
        <v>0</v>
      </c>
      <c r="Q215" s="114" t="str">
        <f>IF(P215&gt;=1,"Yes","No")</f>
        <v>No</v>
      </c>
      <c r="R215" s="9">
        <v>0</v>
      </c>
      <c r="S215" s="9">
        <v>1</v>
      </c>
      <c r="T215" s="9">
        <v>0</v>
      </c>
      <c r="U215" s="9"/>
      <c r="V215" s="9"/>
    </row>
    <row r="216" spans="1:22" x14ac:dyDescent="0.3">
      <c r="A216" s="89">
        <v>16</v>
      </c>
      <c r="B216" s="31">
        <v>2</v>
      </c>
      <c r="C216" s="32">
        <v>1</v>
      </c>
      <c r="D216" s="32" t="s">
        <v>22</v>
      </c>
      <c r="E216" s="32">
        <v>0</v>
      </c>
      <c r="F216" s="32">
        <v>0</v>
      </c>
      <c r="G216" s="34"/>
      <c r="H216" s="116" t="s">
        <v>271</v>
      </c>
      <c r="I216" s="116" t="s">
        <v>295</v>
      </c>
      <c r="J216" s="117">
        <v>0</v>
      </c>
      <c r="K216" s="118" t="str">
        <f>IF(J216&gt;=1,"Yes","No")</f>
        <v>No</v>
      </c>
      <c r="L216" s="119">
        <v>1</v>
      </c>
      <c r="M216" s="120" t="str">
        <f>IF(L216&gt;=1,"Yes","No")</f>
        <v>Yes</v>
      </c>
      <c r="N216" s="121">
        <v>0</v>
      </c>
      <c r="O216" s="122" t="str">
        <f>IF(N216&gt;=1,"Yes","No")</f>
        <v>No</v>
      </c>
      <c r="P216" s="117">
        <v>0</v>
      </c>
      <c r="Q216" s="123" t="str">
        <f>IF(P216&gt;=1,"Yes","No")</f>
        <v>No</v>
      </c>
      <c r="R216" s="32">
        <v>0</v>
      </c>
      <c r="S216" s="32">
        <v>1</v>
      </c>
      <c r="T216" s="32">
        <v>0</v>
      </c>
      <c r="U216" s="32"/>
      <c r="V216" s="32"/>
    </row>
    <row r="217" spans="1:22" x14ac:dyDescent="0.3">
      <c r="A217" s="89">
        <v>16</v>
      </c>
      <c r="B217" s="31">
        <v>3</v>
      </c>
      <c r="C217" s="32">
        <v>1</v>
      </c>
      <c r="D217" s="32" t="s">
        <v>22</v>
      </c>
      <c r="E217" s="32">
        <v>0</v>
      </c>
      <c r="F217" s="32">
        <v>0</v>
      </c>
      <c r="G217" s="34"/>
      <c r="H217" s="116" t="s">
        <v>271</v>
      </c>
      <c r="I217" s="116" t="s">
        <v>295</v>
      </c>
      <c r="J217" s="117">
        <v>0</v>
      </c>
      <c r="K217" s="118" t="str">
        <f>IF(J217&gt;=1,"Yes","No")</f>
        <v>No</v>
      </c>
      <c r="L217" s="119">
        <v>1</v>
      </c>
      <c r="M217" s="120" t="str">
        <f>IF(L217&gt;=1,"Yes","No")</f>
        <v>Yes</v>
      </c>
      <c r="N217" s="121">
        <v>0</v>
      </c>
      <c r="O217" s="122" t="str">
        <f>IF(N217&gt;=1,"Yes","No")</f>
        <v>No</v>
      </c>
      <c r="P217" s="117">
        <v>0</v>
      </c>
      <c r="Q217" s="123" t="str">
        <f>IF(P217&gt;=1,"Yes","No")</f>
        <v>No</v>
      </c>
      <c r="R217" s="32">
        <v>0</v>
      </c>
      <c r="S217" s="32">
        <v>1</v>
      </c>
      <c r="T217" s="32">
        <v>0</v>
      </c>
      <c r="U217" s="32"/>
      <c r="V217" s="32"/>
    </row>
    <row r="218" spans="1:22" x14ac:dyDescent="0.3">
      <c r="A218" s="89">
        <v>16</v>
      </c>
      <c r="B218" s="31">
        <v>4</v>
      </c>
      <c r="C218" s="32">
        <v>1</v>
      </c>
      <c r="D218" s="32" t="s">
        <v>22</v>
      </c>
      <c r="E218" s="32">
        <v>0</v>
      </c>
      <c r="F218" s="32">
        <v>0</v>
      </c>
      <c r="G218" s="34"/>
      <c r="H218" s="116" t="s">
        <v>271</v>
      </c>
      <c r="I218" s="116" t="s">
        <v>295</v>
      </c>
      <c r="J218" s="117">
        <v>0</v>
      </c>
      <c r="K218" s="118" t="str">
        <f>IF(J218&gt;=1,"Yes","No")</f>
        <v>No</v>
      </c>
      <c r="L218" s="119">
        <v>1</v>
      </c>
      <c r="M218" s="120" t="str">
        <f>IF(L218&gt;=1,"Yes","No")</f>
        <v>Yes</v>
      </c>
      <c r="N218" s="121">
        <v>0</v>
      </c>
      <c r="O218" s="122" t="str">
        <f>IF(N218&gt;=1,"Yes","No")</f>
        <v>No</v>
      </c>
      <c r="P218" s="117">
        <v>0</v>
      </c>
      <c r="Q218" s="123" t="str">
        <f>IF(P218&gt;=1,"Yes","No")</f>
        <v>No</v>
      </c>
      <c r="R218" s="32">
        <v>0</v>
      </c>
      <c r="S218" s="32">
        <v>1</v>
      </c>
      <c r="T218" s="32">
        <v>0</v>
      </c>
      <c r="U218" s="32"/>
      <c r="V218" s="32"/>
    </row>
    <row r="219" spans="1:22" x14ac:dyDescent="0.3">
      <c r="A219" s="89">
        <v>16</v>
      </c>
      <c r="B219" s="31">
        <v>5</v>
      </c>
      <c r="C219" s="32">
        <v>1</v>
      </c>
      <c r="D219" s="32" t="s">
        <v>22</v>
      </c>
      <c r="E219" s="32">
        <v>0</v>
      </c>
      <c r="F219" s="32">
        <v>0</v>
      </c>
      <c r="G219" s="34"/>
      <c r="H219" s="116" t="s">
        <v>271</v>
      </c>
      <c r="I219" s="116" t="s">
        <v>295</v>
      </c>
      <c r="J219" s="117">
        <v>0</v>
      </c>
      <c r="K219" s="118" t="str">
        <f>IF(J219&gt;=1,"Yes","No")</f>
        <v>No</v>
      </c>
      <c r="L219" s="119">
        <v>1</v>
      </c>
      <c r="M219" s="120" t="str">
        <f>IF(L219&gt;=1,"Yes","No")</f>
        <v>Yes</v>
      </c>
      <c r="N219" s="121">
        <v>0</v>
      </c>
      <c r="O219" s="122" t="str">
        <f>IF(N219&gt;=1,"Yes","No")</f>
        <v>No</v>
      </c>
      <c r="P219" s="117">
        <v>0</v>
      </c>
      <c r="Q219" s="123" t="str">
        <f>IF(P219&gt;=1,"Yes","No")</f>
        <v>No</v>
      </c>
      <c r="R219" s="32">
        <v>0</v>
      </c>
      <c r="S219" s="32">
        <v>1</v>
      </c>
      <c r="T219" s="32">
        <v>0</v>
      </c>
      <c r="U219" s="32"/>
      <c r="V219" s="32"/>
    </row>
    <row r="220" spans="1:22" ht="15" thickBot="1" x14ac:dyDescent="0.35">
      <c r="A220" s="89">
        <v>16</v>
      </c>
      <c r="B220" s="18">
        <v>6</v>
      </c>
      <c r="C220" s="19">
        <v>1</v>
      </c>
      <c r="D220" s="19" t="s">
        <v>22</v>
      </c>
      <c r="E220" s="19">
        <v>0</v>
      </c>
      <c r="F220" s="32">
        <v>0</v>
      </c>
      <c r="G220" s="43"/>
      <c r="H220" s="125" t="s">
        <v>271</v>
      </c>
      <c r="I220" s="125" t="s">
        <v>295</v>
      </c>
      <c r="J220" s="126">
        <v>0</v>
      </c>
      <c r="K220" s="127" t="str">
        <f>IF(J220&gt;=1,"Yes","No")</f>
        <v>No</v>
      </c>
      <c r="L220" s="128">
        <v>1</v>
      </c>
      <c r="M220" s="129" t="str">
        <f>IF(L220&gt;=1,"Yes","No")</f>
        <v>Yes</v>
      </c>
      <c r="N220" s="130">
        <v>0</v>
      </c>
      <c r="O220" s="131" t="str">
        <f>IF(N220&gt;=1,"Yes","No")</f>
        <v>No</v>
      </c>
      <c r="P220" s="126">
        <v>0</v>
      </c>
      <c r="Q220" s="132" t="str">
        <f>IF(P220&gt;=1,"Yes","No")</f>
        <v>No</v>
      </c>
      <c r="R220" s="19">
        <v>0</v>
      </c>
      <c r="S220" s="19">
        <v>1</v>
      </c>
      <c r="T220" s="19">
        <v>0</v>
      </c>
      <c r="U220" s="19"/>
      <c r="V220" s="19"/>
    </row>
    <row r="221" spans="1:22" ht="15" thickTop="1" x14ac:dyDescent="0.3">
      <c r="A221" s="89">
        <v>17</v>
      </c>
      <c r="B221" s="8">
        <v>1</v>
      </c>
      <c r="C221" s="9">
        <v>1</v>
      </c>
      <c r="D221" s="9" t="s">
        <v>22</v>
      </c>
      <c r="E221" s="9">
        <v>0</v>
      </c>
      <c r="F221" s="9">
        <v>1</v>
      </c>
      <c r="G221" s="28"/>
      <c r="H221" s="107" t="s">
        <v>271</v>
      </c>
      <c r="I221" s="107" t="s">
        <v>295</v>
      </c>
      <c r="J221" s="108">
        <v>0</v>
      </c>
      <c r="K221" s="109" t="str">
        <f>IF(J221&gt;=1,"Yes","No")</f>
        <v>No</v>
      </c>
      <c r="L221" s="110">
        <v>1</v>
      </c>
      <c r="M221" s="111" t="str">
        <f>IF(L221&gt;=1,"Yes","No")</f>
        <v>Yes</v>
      </c>
      <c r="N221" s="112">
        <v>6</v>
      </c>
      <c r="O221" s="113" t="str">
        <f>IF(N221&gt;=1,"Yes","No")</f>
        <v>Yes</v>
      </c>
      <c r="P221" s="108">
        <v>0</v>
      </c>
      <c r="Q221" s="114" t="str">
        <f>IF(P221&gt;=1,"Yes","No")</f>
        <v>No</v>
      </c>
      <c r="R221" s="9">
        <v>0</v>
      </c>
      <c r="S221" s="9">
        <v>1</v>
      </c>
      <c r="T221" s="9">
        <v>0</v>
      </c>
      <c r="U221" s="9"/>
      <c r="V221" s="9"/>
    </row>
    <row r="222" spans="1:22" x14ac:dyDescent="0.3">
      <c r="A222" s="89">
        <v>17</v>
      </c>
      <c r="B222" s="31">
        <v>2</v>
      </c>
      <c r="C222" s="32">
        <v>1</v>
      </c>
      <c r="D222" s="32" t="s">
        <v>22</v>
      </c>
      <c r="E222" s="32">
        <v>0</v>
      </c>
      <c r="F222" s="32">
        <v>0</v>
      </c>
      <c r="G222" s="34"/>
      <c r="H222" s="116" t="s">
        <v>271</v>
      </c>
      <c r="I222" s="116" t="s">
        <v>295</v>
      </c>
      <c r="J222" s="117">
        <v>0</v>
      </c>
      <c r="K222" s="118" t="str">
        <f>IF(J222&gt;=1,"Yes","No")</f>
        <v>No</v>
      </c>
      <c r="L222" s="119">
        <v>1</v>
      </c>
      <c r="M222" s="120" t="str">
        <f>IF(L222&gt;=1,"Yes","No")</f>
        <v>Yes</v>
      </c>
      <c r="N222" s="121">
        <v>0</v>
      </c>
      <c r="O222" s="122" t="str">
        <f>IF(N222&gt;=1,"Yes","No")</f>
        <v>No</v>
      </c>
      <c r="P222" s="117">
        <v>0</v>
      </c>
      <c r="Q222" s="123" t="str">
        <f>IF(P222&gt;=1,"Yes","No")</f>
        <v>No</v>
      </c>
      <c r="R222" s="32">
        <v>0</v>
      </c>
      <c r="S222" s="32">
        <v>1</v>
      </c>
      <c r="T222" s="32">
        <v>0</v>
      </c>
      <c r="U222" s="32"/>
      <c r="V222" s="32"/>
    </row>
    <row r="223" spans="1:22" x14ac:dyDescent="0.3">
      <c r="A223" s="89">
        <v>17</v>
      </c>
      <c r="B223" s="31">
        <v>3</v>
      </c>
      <c r="C223" s="32">
        <v>1</v>
      </c>
      <c r="D223" s="32" t="s">
        <v>22</v>
      </c>
      <c r="E223" s="32">
        <v>0</v>
      </c>
      <c r="F223" s="32">
        <v>0</v>
      </c>
      <c r="G223" s="34"/>
      <c r="H223" s="116" t="s">
        <v>271</v>
      </c>
      <c r="I223" s="116" t="s">
        <v>295</v>
      </c>
      <c r="J223" s="117">
        <v>0</v>
      </c>
      <c r="K223" s="118" t="str">
        <f>IF(J223&gt;=1,"Yes","No")</f>
        <v>No</v>
      </c>
      <c r="L223" s="119">
        <v>1</v>
      </c>
      <c r="M223" s="120" t="str">
        <f>IF(L223&gt;=1,"Yes","No")</f>
        <v>Yes</v>
      </c>
      <c r="N223" s="121">
        <v>0</v>
      </c>
      <c r="O223" s="122" t="str">
        <f>IF(N223&gt;=1,"Yes","No")</f>
        <v>No</v>
      </c>
      <c r="P223" s="117">
        <v>0</v>
      </c>
      <c r="Q223" s="123" t="str">
        <f>IF(P223&gt;=1,"Yes","No")</f>
        <v>No</v>
      </c>
      <c r="R223" s="32">
        <v>0</v>
      </c>
      <c r="S223" s="32">
        <v>1</v>
      </c>
      <c r="T223" s="32">
        <v>0</v>
      </c>
      <c r="U223" s="32"/>
      <c r="V223" s="32"/>
    </row>
    <row r="224" spans="1:22" x14ac:dyDescent="0.3">
      <c r="A224" s="89">
        <v>17</v>
      </c>
      <c r="B224" s="31">
        <v>4</v>
      </c>
      <c r="C224" s="32">
        <v>1</v>
      </c>
      <c r="D224" s="32" t="s">
        <v>22</v>
      </c>
      <c r="E224" s="32">
        <v>0</v>
      </c>
      <c r="F224" s="32">
        <v>0</v>
      </c>
      <c r="G224" s="34"/>
      <c r="H224" s="116" t="s">
        <v>271</v>
      </c>
      <c r="I224" s="116" t="s">
        <v>295</v>
      </c>
      <c r="J224" s="117">
        <v>0</v>
      </c>
      <c r="K224" s="118" t="str">
        <f>IF(J224&gt;=1,"Yes","No")</f>
        <v>No</v>
      </c>
      <c r="L224" s="119">
        <v>1</v>
      </c>
      <c r="M224" s="120" t="str">
        <f>IF(L224&gt;=1,"Yes","No")</f>
        <v>Yes</v>
      </c>
      <c r="N224" s="121">
        <v>0</v>
      </c>
      <c r="O224" s="122" t="str">
        <f>IF(N224&gt;=1,"Yes","No")</f>
        <v>No</v>
      </c>
      <c r="P224" s="117">
        <v>0</v>
      </c>
      <c r="Q224" s="123" t="str">
        <f>IF(P224&gt;=1,"Yes","No")</f>
        <v>No</v>
      </c>
      <c r="R224" s="32">
        <v>0</v>
      </c>
      <c r="S224" s="32">
        <v>1</v>
      </c>
      <c r="T224" s="32">
        <v>0</v>
      </c>
      <c r="U224" s="32"/>
      <c r="V224" s="32"/>
    </row>
    <row r="225" spans="1:22" x14ac:dyDescent="0.3">
      <c r="A225" s="89">
        <v>17</v>
      </c>
      <c r="B225" s="31">
        <v>5</v>
      </c>
      <c r="C225" s="32">
        <v>1</v>
      </c>
      <c r="D225" s="32" t="s">
        <v>22</v>
      </c>
      <c r="E225" s="32">
        <v>0</v>
      </c>
      <c r="F225" s="32">
        <v>0</v>
      </c>
      <c r="G225" s="34"/>
      <c r="H225" s="116" t="s">
        <v>271</v>
      </c>
      <c r="I225" s="116" t="s">
        <v>295</v>
      </c>
      <c r="J225" s="117">
        <v>0</v>
      </c>
      <c r="K225" s="118" t="str">
        <f>IF(J225&gt;=1,"Yes","No")</f>
        <v>No</v>
      </c>
      <c r="L225" s="119">
        <v>1</v>
      </c>
      <c r="M225" s="120" t="str">
        <f>IF(L225&gt;=1,"Yes","No")</f>
        <v>Yes</v>
      </c>
      <c r="N225" s="121">
        <v>0</v>
      </c>
      <c r="O225" s="122" t="str">
        <f>IF(N225&gt;=1,"Yes","No")</f>
        <v>No</v>
      </c>
      <c r="P225" s="117">
        <v>0</v>
      </c>
      <c r="Q225" s="123" t="str">
        <f>IF(P225&gt;=1,"Yes","No")</f>
        <v>No</v>
      </c>
      <c r="R225" s="32">
        <v>0</v>
      </c>
      <c r="S225" s="32">
        <v>1</v>
      </c>
      <c r="T225" s="32">
        <v>0</v>
      </c>
      <c r="U225" s="32"/>
      <c r="V225" s="32"/>
    </row>
    <row r="226" spans="1:22" ht="15" thickBot="1" x14ac:dyDescent="0.35">
      <c r="A226" s="89">
        <v>17</v>
      </c>
      <c r="B226" s="18">
        <v>6</v>
      </c>
      <c r="C226" s="19">
        <v>1</v>
      </c>
      <c r="D226" s="19" t="s">
        <v>22</v>
      </c>
      <c r="E226" s="19">
        <v>0</v>
      </c>
      <c r="F226" s="19">
        <v>0</v>
      </c>
      <c r="G226" s="43"/>
      <c r="H226" s="125" t="s">
        <v>271</v>
      </c>
      <c r="I226" s="125" t="s">
        <v>295</v>
      </c>
      <c r="J226" s="126">
        <v>0</v>
      </c>
      <c r="K226" s="127" t="str">
        <f>IF(J226&gt;=1,"Yes","No")</f>
        <v>No</v>
      </c>
      <c r="L226" s="128">
        <v>1</v>
      </c>
      <c r="M226" s="129" t="str">
        <f>IF(L226&gt;=1,"Yes","No")</f>
        <v>Yes</v>
      </c>
      <c r="N226" s="121">
        <v>0</v>
      </c>
      <c r="O226" s="131" t="str">
        <f>IF(N226&gt;=1,"Yes","No")</f>
        <v>No</v>
      </c>
      <c r="P226" s="126">
        <v>0</v>
      </c>
      <c r="Q226" s="132" t="str">
        <f>IF(P226&gt;=1,"Yes","No")</f>
        <v>No</v>
      </c>
      <c r="R226" s="19">
        <v>0</v>
      </c>
      <c r="S226" s="19">
        <v>1</v>
      </c>
      <c r="T226" s="19">
        <v>0</v>
      </c>
      <c r="U226" s="19"/>
      <c r="V226" s="19"/>
    </row>
    <row r="227" spans="1:22" ht="15.6" thickTop="1" thickBot="1" x14ac:dyDescent="0.35">
      <c r="A227" s="89">
        <v>18</v>
      </c>
      <c r="B227" s="8">
        <v>1</v>
      </c>
      <c r="C227" s="9">
        <v>1</v>
      </c>
      <c r="D227" s="9" t="s">
        <v>22</v>
      </c>
      <c r="E227" s="9">
        <v>0</v>
      </c>
      <c r="F227" s="9">
        <v>1</v>
      </c>
      <c r="G227" s="135"/>
      <c r="H227" s="107" t="s">
        <v>268</v>
      </c>
      <c r="I227" s="107" t="s">
        <v>272</v>
      </c>
      <c r="J227" s="108">
        <v>0</v>
      </c>
      <c r="K227" s="109" t="str">
        <f>IF(J227&gt;=1,"Yes","No")</f>
        <v>No</v>
      </c>
      <c r="L227" s="110">
        <v>0</v>
      </c>
      <c r="M227" s="111" t="str">
        <f>IF(L227&gt;=1,"Yes","No")</f>
        <v>No</v>
      </c>
      <c r="N227" s="112">
        <v>0</v>
      </c>
      <c r="O227" s="113" t="str">
        <f>IF(N227&gt;=1,"Yes","No")</f>
        <v>No</v>
      </c>
      <c r="P227" s="108">
        <v>1</v>
      </c>
      <c r="Q227" s="114" t="str">
        <f>IF(P227&gt;=1,"Yes","No")</f>
        <v>Yes</v>
      </c>
      <c r="R227" s="9">
        <v>1</v>
      </c>
      <c r="S227" s="9">
        <v>0</v>
      </c>
      <c r="T227" s="9">
        <v>0</v>
      </c>
      <c r="U227" s="9"/>
      <c r="V227" s="9"/>
    </row>
    <row r="228" spans="1:22" ht="15.6" thickTop="1" thickBot="1" x14ac:dyDescent="0.35">
      <c r="A228" s="89">
        <v>19</v>
      </c>
      <c r="B228" s="8">
        <v>1</v>
      </c>
      <c r="C228" s="9">
        <v>1</v>
      </c>
      <c r="D228" s="9" t="s">
        <v>22</v>
      </c>
      <c r="E228" s="9">
        <v>0</v>
      </c>
      <c r="F228" s="9">
        <v>1</v>
      </c>
      <c r="G228" s="135"/>
      <c r="H228" s="107" t="s">
        <v>268</v>
      </c>
      <c r="I228" s="107" t="s">
        <v>295</v>
      </c>
      <c r="J228" s="108">
        <v>0</v>
      </c>
      <c r="K228" s="109" t="str">
        <f>IF(J228&gt;=1,"Yes","No")</f>
        <v>No</v>
      </c>
      <c r="L228" s="110">
        <v>0</v>
      </c>
      <c r="M228" s="111" t="str">
        <f>IF(L228&gt;=1,"Yes","No")</f>
        <v>No</v>
      </c>
      <c r="N228" s="112">
        <v>1</v>
      </c>
      <c r="O228" s="113" t="str">
        <f>IF(N228&gt;=1,"Yes","No")</f>
        <v>Yes</v>
      </c>
      <c r="P228" s="108">
        <v>0</v>
      </c>
      <c r="Q228" s="114" t="str">
        <f>IF(P228&gt;=1,"Yes","No")</f>
        <v>No</v>
      </c>
      <c r="R228" s="9">
        <v>1</v>
      </c>
      <c r="S228" s="9">
        <v>1</v>
      </c>
      <c r="T228" s="9">
        <v>0</v>
      </c>
      <c r="U228" s="9" t="s">
        <v>296</v>
      </c>
      <c r="V228" s="9"/>
    </row>
    <row r="229" spans="1:22" ht="15.6" thickTop="1" thickBot="1" x14ac:dyDescent="0.35">
      <c r="A229" s="89">
        <v>20</v>
      </c>
      <c r="B229" s="8">
        <v>1</v>
      </c>
      <c r="C229" s="9">
        <v>1</v>
      </c>
      <c r="D229" s="9" t="s">
        <v>22</v>
      </c>
      <c r="E229" s="9">
        <v>0</v>
      </c>
      <c r="F229" s="9">
        <v>1</v>
      </c>
      <c r="G229" s="135"/>
      <c r="H229" s="107" t="s">
        <v>268</v>
      </c>
      <c r="I229" s="107" t="s">
        <v>295</v>
      </c>
      <c r="J229" s="108">
        <v>0</v>
      </c>
      <c r="K229" s="109" t="str">
        <f>IF(J229&gt;=1,"Yes","No")</f>
        <v>No</v>
      </c>
      <c r="L229" s="110">
        <v>0</v>
      </c>
      <c r="M229" s="111" t="str">
        <f>IF(L229&gt;=1,"Yes","No")</f>
        <v>No</v>
      </c>
      <c r="N229" s="112">
        <v>1</v>
      </c>
      <c r="O229" s="113" t="str">
        <f>IF(N229&gt;=1,"Yes","No")</f>
        <v>Yes</v>
      </c>
      <c r="P229" s="108">
        <v>0</v>
      </c>
      <c r="Q229" s="114" t="str">
        <f>IF(P229&gt;=1,"Yes","No")</f>
        <v>No</v>
      </c>
      <c r="R229" s="9">
        <v>1</v>
      </c>
      <c r="S229" s="9">
        <v>1</v>
      </c>
      <c r="T229" s="9">
        <v>0</v>
      </c>
      <c r="U229" s="9"/>
      <c r="V229" s="9"/>
    </row>
    <row r="230" spans="1:22" ht="15.6" thickTop="1" thickBot="1" x14ac:dyDescent="0.35">
      <c r="A230" s="89">
        <v>21</v>
      </c>
      <c r="B230" s="8">
        <v>1</v>
      </c>
      <c r="C230" s="9">
        <v>1</v>
      </c>
      <c r="D230" s="9" t="s">
        <v>22</v>
      </c>
      <c r="E230" s="9">
        <v>0</v>
      </c>
      <c r="F230" s="9">
        <v>1</v>
      </c>
      <c r="G230" s="135"/>
      <c r="H230" s="107" t="s">
        <v>268</v>
      </c>
      <c r="I230" s="107" t="s">
        <v>295</v>
      </c>
      <c r="J230" s="108">
        <v>0</v>
      </c>
      <c r="K230" s="109" t="str">
        <f>IF(J230&gt;=1,"Yes","No")</f>
        <v>No</v>
      </c>
      <c r="L230" s="110">
        <v>0</v>
      </c>
      <c r="M230" s="111" t="str">
        <f>IF(L230&gt;=1,"Yes","No")</f>
        <v>No</v>
      </c>
      <c r="N230" s="112">
        <v>1</v>
      </c>
      <c r="O230" s="113" t="str">
        <f>IF(N230&gt;=1,"Yes","No")</f>
        <v>Yes</v>
      </c>
      <c r="P230" s="108">
        <v>0</v>
      </c>
      <c r="Q230" s="114" t="str">
        <f>IF(P230&gt;=1,"Yes","No")</f>
        <v>No</v>
      </c>
      <c r="R230" s="9">
        <v>0</v>
      </c>
      <c r="S230" s="9">
        <v>1</v>
      </c>
      <c r="T230" s="9">
        <v>0</v>
      </c>
      <c r="U230" s="9"/>
      <c r="V230" s="9"/>
    </row>
    <row r="231" spans="1:22" ht="15" thickTop="1" x14ac:dyDescent="0.3">
      <c r="A231" s="89">
        <v>22</v>
      </c>
      <c r="B231" s="8">
        <v>1</v>
      </c>
      <c r="C231" s="9">
        <v>1</v>
      </c>
      <c r="D231" s="9" t="s">
        <v>22</v>
      </c>
      <c r="E231" s="9">
        <v>0</v>
      </c>
      <c r="F231" s="9">
        <v>1</v>
      </c>
      <c r="G231" s="28"/>
      <c r="H231" s="107" t="s">
        <v>268</v>
      </c>
      <c r="I231" s="107" t="s">
        <v>295</v>
      </c>
      <c r="J231" s="108">
        <v>0</v>
      </c>
      <c r="K231" s="109" t="str">
        <f>IF(J231&gt;=1,"Yes","No")</f>
        <v>No</v>
      </c>
      <c r="L231" s="110">
        <v>1</v>
      </c>
      <c r="M231" s="111" t="str">
        <f>IF(L231&gt;=1,"Yes","No")</f>
        <v>Yes</v>
      </c>
      <c r="N231" s="112">
        <v>0</v>
      </c>
      <c r="O231" s="113" t="str">
        <f>IF(N231&gt;=1,"Yes","No")</f>
        <v>No</v>
      </c>
      <c r="P231" s="108">
        <v>0</v>
      </c>
      <c r="Q231" s="114" t="str">
        <f>IF(P231&gt;=1,"Yes","No")</f>
        <v>No</v>
      </c>
      <c r="R231" s="9">
        <v>1</v>
      </c>
      <c r="S231" s="9">
        <v>0</v>
      </c>
      <c r="T231" s="9">
        <v>0</v>
      </c>
      <c r="U231" s="9"/>
      <c r="V231" s="9"/>
    </row>
    <row r="232" spans="1:22" x14ac:dyDescent="0.3">
      <c r="A232" s="89">
        <v>22</v>
      </c>
      <c r="B232" s="31">
        <v>2</v>
      </c>
      <c r="C232" s="32">
        <v>1</v>
      </c>
      <c r="D232" s="32" t="s">
        <v>22</v>
      </c>
      <c r="E232" s="32">
        <v>0</v>
      </c>
      <c r="F232" s="32">
        <v>1</v>
      </c>
      <c r="G232" s="34"/>
      <c r="H232" s="116" t="s">
        <v>268</v>
      </c>
      <c r="I232" s="116" t="s">
        <v>295</v>
      </c>
      <c r="J232" s="117">
        <v>0</v>
      </c>
      <c r="K232" s="118" t="str">
        <f>IF(J232&gt;=1,"Yes","No")</f>
        <v>No</v>
      </c>
      <c r="L232" s="119">
        <v>1</v>
      </c>
      <c r="M232" s="120" t="str">
        <f>IF(L232&gt;=1,"Yes","No")</f>
        <v>Yes</v>
      </c>
      <c r="N232" s="121">
        <v>0</v>
      </c>
      <c r="O232" s="122" t="str">
        <f>IF(N232&gt;=1,"Yes","No")</f>
        <v>No</v>
      </c>
      <c r="P232" s="117">
        <v>0</v>
      </c>
      <c r="Q232" s="123" t="str">
        <f>IF(P232&gt;=1,"Yes","No")</f>
        <v>No</v>
      </c>
      <c r="R232" s="32">
        <v>1</v>
      </c>
      <c r="S232" s="32">
        <v>0</v>
      </c>
      <c r="T232" s="32">
        <v>0</v>
      </c>
      <c r="U232" s="32"/>
      <c r="V232" s="32"/>
    </row>
    <row r="233" spans="1:22" x14ac:dyDescent="0.3">
      <c r="A233" s="89">
        <v>22</v>
      </c>
      <c r="B233" s="31">
        <v>3</v>
      </c>
      <c r="C233" s="32">
        <v>1</v>
      </c>
      <c r="D233" s="32" t="s">
        <v>22</v>
      </c>
      <c r="E233" s="32">
        <v>0</v>
      </c>
      <c r="F233" s="32">
        <v>1</v>
      </c>
      <c r="G233" s="34"/>
      <c r="H233" s="116" t="s">
        <v>268</v>
      </c>
      <c r="I233" s="116" t="s">
        <v>295</v>
      </c>
      <c r="J233" s="117">
        <v>0</v>
      </c>
      <c r="K233" s="118" t="str">
        <f>IF(J233&gt;=1,"Yes","No")</f>
        <v>No</v>
      </c>
      <c r="L233" s="119">
        <v>1</v>
      </c>
      <c r="M233" s="120" t="str">
        <f>IF(L233&gt;=1,"Yes","No")</f>
        <v>Yes</v>
      </c>
      <c r="N233" s="121">
        <v>0</v>
      </c>
      <c r="O233" s="122" t="str">
        <f>IF(N233&gt;=1,"Yes","No")</f>
        <v>No</v>
      </c>
      <c r="P233" s="117">
        <v>0</v>
      </c>
      <c r="Q233" s="123" t="str">
        <f>IF(P233&gt;=1,"Yes","No")</f>
        <v>No</v>
      </c>
      <c r="R233" s="32">
        <v>1</v>
      </c>
      <c r="S233" s="32">
        <v>0</v>
      </c>
      <c r="T233" s="32">
        <v>0</v>
      </c>
      <c r="U233" s="32"/>
      <c r="V233" s="32"/>
    </row>
    <row r="234" spans="1:22" x14ac:dyDescent="0.3">
      <c r="A234" s="89">
        <v>22</v>
      </c>
      <c r="B234" s="31">
        <v>4</v>
      </c>
      <c r="C234" s="32">
        <v>1</v>
      </c>
      <c r="D234" s="32" t="s">
        <v>22</v>
      </c>
      <c r="E234" s="32">
        <v>0</v>
      </c>
      <c r="F234" s="32">
        <v>1</v>
      </c>
      <c r="G234" s="34"/>
      <c r="H234" s="116" t="s">
        <v>268</v>
      </c>
      <c r="I234" s="116" t="s">
        <v>295</v>
      </c>
      <c r="J234" s="117">
        <v>0</v>
      </c>
      <c r="K234" s="118" t="str">
        <f>IF(J234&gt;=1,"Yes","No")</f>
        <v>No</v>
      </c>
      <c r="L234" s="119">
        <v>1</v>
      </c>
      <c r="M234" s="120" t="str">
        <f>IF(L234&gt;=1,"Yes","No")</f>
        <v>Yes</v>
      </c>
      <c r="N234" s="121">
        <v>0</v>
      </c>
      <c r="O234" s="122" t="str">
        <f>IF(N234&gt;=1,"Yes","No")</f>
        <v>No</v>
      </c>
      <c r="P234" s="117">
        <v>0</v>
      </c>
      <c r="Q234" s="123" t="str">
        <f>IF(P234&gt;=1,"Yes","No")</f>
        <v>No</v>
      </c>
      <c r="R234" s="32">
        <v>1</v>
      </c>
      <c r="S234" s="32">
        <v>0</v>
      </c>
      <c r="T234" s="32">
        <v>0</v>
      </c>
      <c r="U234" s="32"/>
      <c r="V234" s="32"/>
    </row>
    <row r="235" spans="1:22" x14ac:dyDescent="0.3">
      <c r="A235" s="89">
        <v>22</v>
      </c>
      <c r="B235" s="31">
        <v>5</v>
      </c>
      <c r="C235" s="32">
        <v>1</v>
      </c>
      <c r="D235" s="32" t="s">
        <v>22</v>
      </c>
      <c r="E235" s="32">
        <v>0</v>
      </c>
      <c r="F235" s="32">
        <v>1</v>
      </c>
      <c r="G235" s="34"/>
      <c r="H235" s="116" t="s">
        <v>268</v>
      </c>
      <c r="I235" s="116" t="s">
        <v>295</v>
      </c>
      <c r="J235" s="117">
        <v>0</v>
      </c>
      <c r="K235" s="118" t="str">
        <f>IF(J235&gt;=1,"Yes","No")</f>
        <v>No</v>
      </c>
      <c r="L235" s="119">
        <v>0</v>
      </c>
      <c r="M235" s="120" t="str">
        <f>IF(L235&gt;=1,"Yes","No")</f>
        <v>No</v>
      </c>
      <c r="N235" s="121">
        <v>0</v>
      </c>
      <c r="O235" s="122" t="str">
        <f>IF(N235&gt;=1,"Yes","No")</f>
        <v>No</v>
      </c>
      <c r="P235" s="117">
        <v>0</v>
      </c>
      <c r="Q235" s="123" t="str">
        <f>IF(P235&gt;=1,"Yes","No")</f>
        <v>No</v>
      </c>
      <c r="R235" s="32">
        <v>1</v>
      </c>
      <c r="S235" s="32">
        <v>0</v>
      </c>
      <c r="T235" s="32">
        <v>0</v>
      </c>
      <c r="U235" s="32"/>
      <c r="V235" s="32"/>
    </row>
    <row r="236" spans="1:22" ht="15" thickBot="1" x14ac:dyDescent="0.35">
      <c r="A236" s="89">
        <v>22</v>
      </c>
      <c r="B236" s="18">
        <v>6</v>
      </c>
      <c r="C236" s="19">
        <v>1</v>
      </c>
      <c r="D236" s="19" t="s">
        <v>22</v>
      </c>
      <c r="E236" s="19">
        <v>0</v>
      </c>
      <c r="F236" s="19">
        <v>1</v>
      </c>
      <c r="G236" s="43"/>
      <c r="H236" s="125" t="s">
        <v>268</v>
      </c>
      <c r="I236" s="125" t="s">
        <v>295</v>
      </c>
      <c r="J236" s="117">
        <v>0</v>
      </c>
      <c r="K236" s="127" t="str">
        <f>IF(J236&gt;=1,"Yes","No")</f>
        <v>No</v>
      </c>
      <c r="L236" s="128">
        <v>0</v>
      </c>
      <c r="M236" s="129" t="str">
        <f>IF(L236&gt;=1,"Yes","No")</f>
        <v>No</v>
      </c>
      <c r="N236" s="130">
        <v>0</v>
      </c>
      <c r="O236" s="131" t="str">
        <f>IF(N236&gt;=1,"Yes","No")</f>
        <v>No</v>
      </c>
      <c r="P236" s="126">
        <v>0</v>
      </c>
      <c r="Q236" s="132" t="str">
        <f>IF(P236&gt;=1,"Yes","No")</f>
        <v>No</v>
      </c>
      <c r="R236" s="32">
        <v>1</v>
      </c>
      <c r="S236" s="19">
        <v>0</v>
      </c>
      <c r="T236" s="19">
        <v>0</v>
      </c>
      <c r="U236" s="19"/>
      <c r="V236" s="19"/>
    </row>
    <row r="237" spans="1:22" ht="15" thickTop="1" x14ac:dyDescent="0.3">
      <c r="A237" s="89">
        <v>23</v>
      </c>
      <c r="B237" s="8">
        <v>1</v>
      </c>
      <c r="C237" s="9">
        <v>1</v>
      </c>
      <c r="D237" s="9" t="s">
        <v>22</v>
      </c>
      <c r="E237" s="9">
        <v>0</v>
      </c>
      <c r="F237" s="9">
        <v>1</v>
      </c>
      <c r="G237" s="28"/>
      <c r="H237" s="107" t="s">
        <v>268</v>
      </c>
      <c r="I237" s="107" t="s">
        <v>295</v>
      </c>
      <c r="J237" s="108">
        <v>0</v>
      </c>
      <c r="K237" s="109" t="str">
        <f>IF(J237&gt;=1,"Yes","No")</f>
        <v>No</v>
      </c>
      <c r="L237" s="110">
        <v>0</v>
      </c>
      <c r="M237" s="111" t="str">
        <f>IF(L237&gt;=1,"Yes","No")</f>
        <v>No</v>
      </c>
      <c r="N237" s="112">
        <v>1</v>
      </c>
      <c r="O237" s="113" t="str">
        <f>IF(N237&gt;=1,"Yes","No")</f>
        <v>Yes</v>
      </c>
      <c r="P237" s="108">
        <v>0</v>
      </c>
      <c r="Q237" s="114" t="str">
        <f>IF(P237&gt;=1,"Yes","No")</f>
        <v>No</v>
      </c>
      <c r="R237" s="9">
        <v>0</v>
      </c>
      <c r="S237" s="9">
        <v>1</v>
      </c>
      <c r="T237" s="9">
        <v>0</v>
      </c>
      <c r="U237" s="9" t="s">
        <v>297</v>
      </c>
      <c r="V237" s="9"/>
    </row>
    <row r="238" spans="1:22" x14ac:dyDescent="0.3">
      <c r="A238" s="89">
        <v>23</v>
      </c>
      <c r="B238" s="31">
        <v>2</v>
      </c>
      <c r="C238" s="32">
        <v>1</v>
      </c>
      <c r="D238" s="32" t="s">
        <v>22</v>
      </c>
      <c r="E238" s="32">
        <v>0</v>
      </c>
      <c r="F238" s="32">
        <v>1</v>
      </c>
      <c r="G238" s="34"/>
      <c r="H238" s="116" t="s">
        <v>268</v>
      </c>
      <c r="I238" s="116" t="s">
        <v>295</v>
      </c>
      <c r="J238" s="117">
        <v>0</v>
      </c>
      <c r="K238" s="118" t="str">
        <f>IF(J238&gt;=1,"Yes","No")</f>
        <v>No</v>
      </c>
      <c r="L238" s="119">
        <v>0</v>
      </c>
      <c r="M238" s="120" t="str">
        <f>IF(L238&gt;=1,"Yes","No")</f>
        <v>No</v>
      </c>
      <c r="N238" s="121">
        <v>1</v>
      </c>
      <c r="O238" s="122" t="str">
        <f>IF(N238&gt;=1,"Yes","No")</f>
        <v>Yes</v>
      </c>
      <c r="P238" s="117">
        <v>0</v>
      </c>
      <c r="Q238" s="123" t="str">
        <f>IF(P238&gt;=1,"Yes","No")</f>
        <v>No</v>
      </c>
      <c r="R238" s="32">
        <v>0</v>
      </c>
      <c r="S238" s="32">
        <v>1</v>
      </c>
      <c r="T238" s="32">
        <v>0</v>
      </c>
      <c r="U238" s="32" t="s">
        <v>298</v>
      </c>
      <c r="V238" s="32"/>
    </row>
    <row r="239" spans="1:22" x14ac:dyDescent="0.3">
      <c r="A239" s="89">
        <v>23</v>
      </c>
      <c r="B239" s="31">
        <v>3</v>
      </c>
      <c r="C239" s="32">
        <v>1</v>
      </c>
      <c r="D239" s="32" t="s">
        <v>22</v>
      </c>
      <c r="E239" s="32">
        <v>0</v>
      </c>
      <c r="F239" s="32">
        <v>1</v>
      </c>
      <c r="G239" s="34"/>
      <c r="H239" s="116" t="s">
        <v>268</v>
      </c>
      <c r="I239" s="116" t="s">
        <v>295</v>
      </c>
      <c r="J239" s="117">
        <v>0</v>
      </c>
      <c r="K239" s="118" t="str">
        <f>IF(J239&gt;=1,"Yes","No")</f>
        <v>No</v>
      </c>
      <c r="L239" s="119">
        <v>0</v>
      </c>
      <c r="M239" s="120" t="str">
        <f>IF(L239&gt;=1,"Yes","No")</f>
        <v>No</v>
      </c>
      <c r="N239" s="121">
        <v>1</v>
      </c>
      <c r="O239" s="122" t="str">
        <f>IF(N239&gt;=1,"Yes","No")</f>
        <v>Yes</v>
      </c>
      <c r="P239" s="117">
        <v>0</v>
      </c>
      <c r="Q239" s="123" t="str">
        <f>IF(P239&gt;=1,"Yes","No")</f>
        <v>No</v>
      </c>
      <c r="R239" s="32">
        <v>0</v>
      </c>
      <c r="S239" s="32">
        <v>1</v>
      </c>
      <c r="T239" s="32">
        <v>0</v>
      </c>
      <c r="U239" s="32" t="s">
        <v>299</v>
      </c>
      <c r="V239" s="32"/>
    </row>
    <row r="240" spans="1:22" x14ac:dyDescent="0.3">
      <c r="A240" s="89">
        <v>23</v>
      </c>
      <c r="B240" s="31">
        <v>4</v>
      </c>
      <c r="C240" s="32">
        <v>1</v>
      </c>
      <c r="D240" s="32" t="s">
        <v>22</v>
      </c>
      <c r="E240" s="32">
        <v>0</v>
      </c>
      <c r="F240" s="32">
        <v>1</v>
      </c>
      <c r="G240" s="34"/>
      <c r="H240" s="116" t="s">
        <v>268</v>
      </c>
      <c r="I240" s="116" t="s">
        <v>295</v>
      </c>
      <c r="J240" s="117">
        <v>0</v>
      </c>
      <c r="K240" s="118" t="str">
        <f>IF(J240&gt;=1,"Yes","No")</f>
        <v>No</v>
      </c>
      <c r="L240" s="119">
        <v>0</v>
      </c>
      <c r="M240" s="120" t="str">
        <f>IF(L240&gt;=1,"Yes","No")</f>
        <v>No</v>
      </c>
      <c r="N240" s="121">
        <v>1</v>
      </c>
      <c r="O240" s="122" t="str">
        <f>IF(N240&gt;=1,"Yes","No")</f>
        <v>Yes</v>
      </c>
      <c r="P240" s="117">
        <v>0</v>
      </c>
      <c r="Q240" s="123" t="str">
        <f>IF(P240&gt;=1,"Yes","No")</f>
        <v>No</v>
      </c>
      <c r="R240" s="32">
        <v>0</v>
      </c>
      <c r="S240" s="32">
        <v>1</v>
      </c>
      <c r="T240" s="32">
        <v>0</v>
      </c>
      <c r="U240" s="32" t="s">
        <v>300</v>
      </c>
      <c r="V240" s="32"/>
    </row>
    <row r="241" spans="1:22" x14ac:dyDescent="0.3">
      <c r="A241" s="89">
        <v>23</v>
      </c>
      <c r="B241" s="31">
        <v>5</v>
      </c>
      <c r="C241" s="32">
        <v>1</v>
      </c>
      <c r="D241" s="32" t="s">
        <v>22</v>
      </c>
      <c r="E241" s="32">
        <v>0</v>
      </c>
      <c r="F241" s="32">
        <v>1</v>
      </c>
      <c r="G241" s="34"/>
      <c r="H241" s="116" t="s">
        <v>268</v>
      </c>
      <c r="I241" s="116" t="s">
        <v>295</v>
      </c>
      <c r="J241" s="117">
        <v>0</v>
      </c>
      <c r="K241" s="118" t="str">
        <f>IF(J241&gt;=1,"Yes","No")</f>
        <v>No</v>
      </c>
      <c r="L241" s="119">
        <v>0</v>
      </c>
      <c r="M241" s="120" t="str">
        <f>IF(L241&gt;=1,"Yes","No")</f>
        <v>No</v>
      </c>
      <c r="N241" s="121">
        <v>1</v>
      </c>
      <c r="O241" s="122" t="str">
        <f>IF(N241&gt;=1,"Yes","No")</f>
        <v>Yes</v>
      </c>
      <c r="P241" s="117">
        <v>0</v>
      </c>
      <c r="Q241" s="123" t="str">
        <f>IF(P241&gt;=1,"Yes","No")</f>
        <v>No</v>
      </c>
      <c r="R241" s="32">
        <v>0</v>
      </c>
      <c r="S241" s="32">
        <v>1</v>
      </c>
      <c r="T241" s="32">
        <v>0</v>
      </c>
      <c r="U241" s="32" t="s">
        <v>301</v>
      </c>
      <c r="V241" s="32"/>
    </row>
    <row r="242" spans="1:22" ht="15" thickBot="1" x14ac:dyDescent="0.35">
      <c r="A242" s="89">
        <v>23</v>
      </c>
      <c r="B242" s="18">
        <v>6</v>
      </c>
      <c r="C242" s="19">
        <v>1</v>
      </c>
      <c r="D242" s="19" t="s">
        <v>22</v>
      </c>
      <c r="E242" s="19">
        <v>0</v>
      </c>
      <c r="F242" s="19">
        <v>1</v>
      </c>
      <c r="G242" s="43"/>
      <c r="H242" s="125" t="s">
        <v>268</v>
      </c>
      <c r="I242" s="125" t="s">
        <v>295</v>
      </c>
      <c r="J242" s="126">
        <v>0</v>
      </c>
      <c r="K242" s="127" t="str">
        <f>IF(J242&gt;=1,"Yes","No")</f>
        <v>No</v>
      </c>
      <c r="L242" s="128">
        <v>0</v>
      </c>
      <c r="M242" s="129" t="str">
        <f>IF(L242&gt;=1,"Yes","No")</f>
        <v>No</v>
      </c>
      <c r="N242" s="130">
        <v>1</v>
      </c>
      <c r="O242" s="131" t="str">
        <f>IF(N242&gt;=1,"Yes","No")</f>
        <v>Yes</v>
      </c>
      <c r="P242" s="126">
        <v>0</v>
      </c>
      <c r="Q242" s="132" t="str">
        <f>IF(P242&gt;=1,"Yes","No")</f>
        <v>No</v>
      </c>
      <c r="R242" s="19">
        <v>0</v>
      </c>
      <c r="S242" s="19">
        <v>1</v>
      </c>
      <c r="T242" s="86">
        <v>0</v>
      </c>
      <c r="U242" s="32" t="s">
        <v>302</v>
      </c>
      <c r="V242" s="19"/>
    </row>
    <row r="243" spans="1:22" ht="15.6" thickTop="1" thickBot="1" x14ac:dyDescent="0.35">
      <c r="A243" s="89">
        <v>24</v>
      </c>
      <c r="B243" s="8">
        <v>1</v>
      </c>
      <c r="C243" s="9">
        <v>1</v>
      </c>
      <c r="D243" s="9" t="s">
        <v>22</v>
      </c>
      <c r="E243" s="9">
        <v>0</v>
      </c>
      <c r="F243" s="9">
        <v>1</v>
      </c>
      <c r="G243" s="28"/>
      <c r="H243" s="107" t="s">
        <v>268</v>
      </c>
      <c r="I243" s="107" t="s">
        <v>295</v>
      </c>
      <c r="J243" s="108">
        <v>0</v>
      </c>
      <c r="K243" s="109" t="str">
        <f>IF(J243&gt;=1,"Yes","No")</f>
        <v>No</v>
      </c>
      <c r="L243" s="110">
        <v>0</v>
      </c>
      <c r="M243" s="111" t="str">
        <f>IF(L243&gt;=1,"Yes","No")</f>
        <v>No</v>
      </c>
      <c r="N243" s="112">
        <v>1</v>
      </c>
      <c r="O243" s="113" t="str">
        <f>IF(N243&gt;=1,"Yes","No")</f>
        <v>Yes</v>
      </c>
      <c r="P243" s="108">
        <v>0</v>
      </c>
      <c r="Q243" s="114" t="str">
        <f>IF(P243&gt;=1,"Yes","No")</f>
        <v>No</v>
      </c>
      <c r="R243" s="9">
        <v>1</v>
      </c>
      <c r="S243" s="9">
        <v>1</v>
      </c>
      <c r="T243" s="9">
        <v>0</v>
      </c>
      <c r="U243" s="9" t="s">
        <v>303</v>
      </c>
      <c r="V243" s="9"/>
    </row>
    <row r="244" spans="1:22" ht="15" thickTop="1" x14ac:dyDescent="0.3">
      <c r="A244" s="89">
        <v>24</v>
      </c>
      <c r="B244" s="31">
        <v>2</v>
      </c>
      <c r="C244" s="32">
        <v>1</v>
      </c>
      <c r="D244" s="32" t="s">
        <v>22</v>
      </c>
      <c r="E244" s="32">
        <v>0</v>
      </c>
      <c r="F244" s="32">
        <v>1</v>
      </c>
      <c r="G244" s="34"/>
      <c r="H244" s="116" t="s">
        <v>268</v>
      </c>
      <c r="I244" s="116" t="s">
        <v>295</v>
      </c>
      <c r="J244" s="117">
        <v>0</v>
      </c>
      <c r="K244" s="118" t="str">
        <f>IF(J244&gt;=1,"Yes","No")</f>
        <v>No</v>
      </c>
      <c r="L244" s="119">
        <v>0</v>
      </c>
      <c r="M244" s="120" t="str">
        <f>IF(L244&gt;=1,"Yes","No")</f>
        <v>No</v>
      </c>
      <c r="N244" s="121">
        <v>1</v>
      </c>
      <c r="O244" s="122" t="str">
        <f>IF(N244&gt;=1,"Yes","No")</f>
        <v>Yes</v>
      </c>
      <c r="P244" s="117">
        <v>0</v>
      </c>
      <c r="Q244" s="123" t="str">
        <f>IF(P244&gt;=1,"Yes","No")</f>
        <v>No</v>
      </c>
      <c r="R244" s="32">
        <v>1</v>
      </c>
      <c r="S244" s="32">
        <v>1</v>
      </c>
      <c r="T244" s="78">
        <v>0</v>
      </c>
      <c r="U244" s="9" t="s">
        <v>304</v>
      </c>
      <c r="V244" s="32"/>
    </row>
    <row r="245" spans="1:22" x14ac:dyDescent="0.3">
      <c r="A245" s="89">
        <v>24</v>
      </c>
      <c r="B245" s="31">
        <v>3</v>
      </c>
      <c r="C245" s="32">
        <v>1</v>
      </c>
      <c r="D245" s="32" t="s">
        <v>22</v>
      </c>
      <c r="E245" s="32">
        <v>0</v>
      </c>
      <c r="F245" s="32">
        <v>1</v>
      </c>
      <c r="G245" s="34"/>
      <c r="H245" s="116" t="s">
        <v>268</v>
      </c>
      <c r="I245" s="116" t="s">
        <v>295</v>
      </c>
      <c r="J245" s="117">
        <v>0</v>
      </c>
      <c r="K245" s="118" t="str">
        <f>IF(J245&gt;=1,"Yes","No")</f>
        <v>No</v>
      </c>
      <c r="L245" s="119">
        <v>0</v>
      </c>
      <c r="M245" s="120" t="str">
        <f>IF(L245&gt;=1,"Yes","No")</f>
        <v>No</v>
      </c>
      <c r="N245" s="121">
        <v>1</v>
      </c>
      <c r="O245" s="122" t="str">
        <f>IF(N245&gt;=1,"Yes","No")</f>
        <v>Yes</v>
      </c>
      <c r="P245" s="117">
        <v>0</v>
      </c>
      <c r="Q245" s="123" t="str">
        <f>IF(P245&gt;=1,"Yes","No")</f>
        <v>No</v>
      </c>
      <c r="R245" s="32">
        <v>1</v>
      </c>
      <c r="S245" s="32">
        <v>1</v>
      </c>
      <c r="T245" s="32">
        <v>0</v>
      </c>
      <c r="U245" s="32" t="s">
        <v>305</v>
      </c>
      <c r="V245" s="32"/>
    </row>
    <row r="246" spans="1:22" x14ac:dyDescent="0.3">
      <c r="A246" s="89">
        <v>24</v>
      </c>
      <c r="B246" s="31">
        <v>4</v>
      </c>
      <c r="C246" s="32">
        <v>1</v>
      </c>
      <c r="D246" s="32" t="s">
        <v>22</v>
      </c>
      <c r="E246" s="32">
        <v>0</v>
      </c>
      <c r="F246" s="32">
        <v>1</v>
      </c>
      <c r="G246" s="34"/>
      <c r="H246" s="116" t="s">
        <v>268</v>
      </c>
      <c r="I246" s="116" t="s">
        <v>295</v>
      </c>
      <c r="J246" s="117">
        <v>0</v>
      </c>
      <c r="K246" s="118" t="str">
        <f>IF(J246&gt;=1,"Yes","No")</f>
        <v>No</v>
      </c>
      <c r="L246" s="119">
        <v>0</v>
      </c>
      <c r="M246" s="120" t="str">
        <f>IF(L246&gt;=1,"Yes","No")</f>
        <v>No</v>
      </c>
      <c r="N246" s="121">
        <v>1</v>
      </c>
      <c r="O246" s="122" t="str">
        <f>IF(N246&gt;=1,"Yes","No")</f>
        <v>Yes</v>
      </c>
      <c r="P246" s="117">
        <v>0</v>
      </c>
      <c r="Q246" s="123" t="str">
        <f>IF(P246&gt;=1,"Yes","No")</f>
        <v>No</v>
      </c>
      <c r="R246" s="32">
        <v>1</v>
      </c>
      <c r="S246" s="32">
        <v>1</v>
      </c>
      <c r="T246" s="32">
        <v>0</v>
      </c>
      <c r="U246" s="32" t="s">
        <v>306</v>
      </c>
      <c r="V246" s="32"/>
    </row>
    <row r="247" spans="1:22" x14ac:dyDescent="0.3">
      <c r="A247" s="89">
        <v>24</v>
      </c>
      <c r="B247" s="31">
        <v>5</v>
      </c>
      <c r="C247" s="32">
        <v>1</v>
      </c>
      <c r="D247" s="32" t="s">
        <v>22</v>
      </c>
      <c r="E247" s="32">
        <v>0</v>
      </c>
      <c r="F247" s="32">
        <v>1</v>
      </c>
      <c r="G247" s="34"/>
      <c r="H247" s="116" t="s">
        <v>268</v>
      </c>
      <c r="I247" s="116" t="s">
        <v>295</v>
      </c>
      <c r="J247" s="117">
        <v>0</v>
      </c>
      <c r="K247" s="118" t="str">
        <f>IF(J247&gt;=1,"Yes","No")</f>
        <v>No</v>
      </c>
      <c r="L247" s="119">
        <v>0</v>
      </c>
      <c r="M247" s="120" t="str">
        <f>IF(L247&gt;=1,"Yes","No")</f>
        <v>No</v>
      </c>
      <c r="N247" s="121">
        <v>1</v>
      </c>
      <c r="O247" s="122" t="str">
        <f>IF(N247&gt;=1,"Yes","No")</f>
        <v>Yes</v>
      </c>
      <c r="P247" s="117">
        <v>0</v>
      </c>
      <c r="Q247" s="123" t="str">
        <f>IF(P247&gt;=1,"Yes","No")</f>
        <v>No</v>
      </c>
      <c r="R247" s="32">
        <v>1</v>
      </c>
      <c r="S247" s="32">
        <v>1</v>
      </c>
      <c r="T247" s="32">
        <v>0</v>
      </c>
      <c r="U247" s="32" t="s">
        <v>307</v>
      </c>
      <c r="V247" s="32"/>
    </row>
    <row r="248" spans="1:22" ht="15" thickBot="1" x14ac:dyDescent="0.35">
      <c r="A248" s="89">
        <v>24</v>
      </c>
      <c r="B248" s="18">
        <v>6</v>
      </c>
      <c r="C248" s="19">
        <v>1</v>
      </c>
      <c r="D248" s="19" t="s">
        <v>22</v>
      </c>
      <c r="E248" s="19">
        <v>0</v>
      </c>
      <c r="F248" s="19">
        <v>1</v>
      </c>
      <c r="G248" s="43"/>
      <c r="H248" s="125" t="s">
        <v>268</v>
      </c>
      <c r="I248" s="125" t="s">
        <v>295</v>
      </c>
      <c r="J248" s="126">
        <v>0</v>
      </c>
      <c r="K248" s="127" t="str">
        <f>IF(J248&gt;=1,"Yes","No")</f>
        <v>No</v>
      </c>
      <c r="L248" s="128">
        <v>0</v>
      </c>
      <c r="M248" s="129" t="str">
        <f>IF(L248&gt;=1,"Yes","No")</f>
        <v>No</v>
      </c>
      <c r="N248" s="130">
        <v>1</v>
      </c>
      <c r="O248" s="131" t="str">
        <f>IF(N248&gt;=1,"Yes","No")</f>
        <v>Yes</v>
      </c>
      <c r="P248" s="126">
        <v>0</v>
      </c>
      <c r="Q248" s="132" t="str">
        <f>IF(P248&gt;=1,"Yes","No")</f>
        <v>No</v>
      </c>
      <c r="R248" s="19">
        <v>1</v>
      </c>
      <c r="S248" s="19">
        <v>1</v>
      </c>
      <c r="T248" s="86">
        <v>0</v>
      </c>
      <c r="U248" s="32" t="s">
        <v>308</v>
      </c>
      <c r="V248" s="19"/>
    </row>
    <row r="249" spans="1:22" ht="15" thickTop="1" x14ac:dyDescent="0.3">
      <c r="A249" s="89">
        <v>85</v>
      </c>
      <c r="B249" s="106">
        <v>1</v>
      </c>
      <c r="C249" s="9">
        <v>1</v>
      </c>
      <c r="D249" s="9" t="s">
        <v>22</v>
      </c>
      <c r="E249" s="9">
        <v>1</v>
      </c>
      <c r="F249" s="9">
        <v>1</v>
      </c>
      <c r="G249" s="28" t="s">
        <v>309</v>
      </c>
      <c r="H249" s="28" t="s">
        <v>310</v>
      </c>
      <c r="I249" s="107" t="s">
        <v>136</v>
      </c>
      <c r="J249" s="108">
        <v>1</v>
      </c>
      <c r="K249" s="109" t="str">
        <f>IF(J249&gt;=1,"Yes","No")</f>
        <v>Yes</v>
      </c>
      <c r="L249" s="110">
        <v>0</v>
      </c>
      <c r="M249" s="111" t="str">
        <f>IF(L249&gt;=1,"Yes","No")</f>
        <v>No</v>
      </c>
      <c r="N249" s="112">
        <v>0</v>
      </c>
      <c r="O249" s="113" t="str">
        <f>IF(N249&gt;=1,"Yes","No")</f>
        <v>No</v>
      </c>
      <c r="P249" s="108">
        <v>1</v>
      </c>
      <c r="Q249" s="114" t="str">
        <f>IF(P249&gt;=1,"Yes","No")</f>
        <v>Yes</v>
      </c>
      <c r="R249" s="9">
        <v>1</v>
      </c>
      <c r="S249" s="9">
        <v>0</v>
      </c>
      <c r="T249" s="9">
        <v>0</v>
      </c>
      <c r="U249" s="9"/>
      <c r="V249" s="9"/>
    </row>
    <row r="250" spans="1:22" x14ac:dyDescent="0.3">
      <c r="A250" s="89">
        <v>85</v>
      </c>
      <c r="B250" s="115">
        <v>2</v>
      </c>
      <c r="C250" s="32">
        <v>1</v>
      </c>
      <c r="D250" s="32" t="s">
        <v>22</v>
      </c>
      <c r="E250" s="32">
        <v>1</v>
      </c>
      <c r="F250" s="32">
        <v>1</v>
      </c>
      <c r="G250" s="34" t="s">
        <v>309</v>
      </c>
      <c r="H250" s="34" t="s">
        <v>310</v>
      </c>
      <c r="I250" s="116" t="s">
        <v>136</v>
      </c>
      <c r="J250" s="117">
        <v>1</v>
      </c>
      <c r="K250" s="118" t="str">
        <f>IF(J250&gt;=1,"Yes","No")</f>
        <v>Yes</v>
      </c>
      <c r="L250" s="119">
        <v>0</v>
      </c>
      <c r="M250" s="120" t="str">
        <f>IF(L250&gt;=1,"Yes","No")</f>
        <v>No</v>
      </c>
      <c r="N250" s="121">
        <v>0</v>
      </c>
      <c r="O250" s="122" t="str">
        <f>IF(N250&gt;=1,"Yes","No")</f>
        <v>No</v>
      </c>
      <c r="P250" s="117">
        <v>1</v>
      </c>
      <c r="Q250" s="123" t="str">
        <f>IF(P250&gt;=1,"Yes","No")</f>
        <v>Yes</v>
      </c>
      <c r="R250" s="32">
        <v>1</v>
      </c>
      <c r="S250" s="32">
        <v>0</v>
      </c>
      <c r="T250" s="32">
        <v>0</v>
      </c>
      <c r="U250" s="32"/>
      <c r="V250" s="32"/>
    </row>
    <row r="251" spans="1:22" ht="15" thickBot="1" x14ac:dyDescent="0.35">
      <c r="A251" s="89">
        <v>85</v>
      </c>
      <c r="B251" s="124">
        <v>3</v>
      </c>
      <c r="C251" s="19">
        <v>1</v>
      </c>
      <c r="D251" s="19" t="s">
        <v>22</v>
      </c>
      <c r="E251" s="19">
        <v>1</v>
      </c>
      <c r="F251" s="19">
        <v>1</v>
      </c>
      <c r="G251" s="43" t="s">
        <v>309</v>
      </c>
      <c r="H251" s="43" t="s">
        <v>310</v>
      </c>
      <c r="I251" s="125" t="s">
        <v>136</v>
      </c>
      <c r="J251" s="126">
        <v>1</v>
      </c>
      <c r="K251" s="127" t="str">
        <f>IF(J251&gt;=1,"Yes","No")</f>
        <v>Yes</v>
      </c>
      <c r="L251" s="128">
        <v>0</v>
      </c>
      <c r="M251" s="129" t="str">
        <f>IF(L251&gt;=1,"Yes","No")</f>
        <v>No</v>
      </c>
      <c r="N251" s="130">
        <v>0</v>
      </c>
      <c r="O251" s="131" t="str">
        <f>IF(N251&gt;=1,"Yes","No")</f>
        <v>No</v>
      </c>
      <c r="P251" s="126">
        <v>1</v>
      </c>
      <c r="Q251" s="132" t="str">
        <f>IF(P251&gt;=1,"Yes","No")</f>
        <v>Yes</v>
      </c>
      <c r="R251" s="19">
        <v>1</v>
      </c>
      <c r="S251" s="19">
        <v>0</v>
      </c>
      <c r="T251" s="19">
        <v>0</v>
      </c>
      <c r="U251" s="19"/>
      <c r="V251" s="19"/>
    </row>
    <row r="252" spans="1:22" ht="15.6" thickTop="1" thickBot="1" x14ac:dyDescent="0.35">
      <c r="A252" s="89">
        <v>86</v>
      </c>
      <c r="B252" s="106">
        <v>1</v>
      </c>
      <c r="C252" s="9">
        <v>1</v>
      </c>
      <c r="D252" s="9" t="s">
        <v>193</v>
      </c>
      <c r="E252" s="9">
        <v>0</v>
      </c>
      <c r="F252" s="9">
        <v>1</v>
      </c>
      <c r="G252" s="28"/>
      <c r="H252" s="164" t="s">
        <v>311</v>
      </c>
      <c r="I252" s="164" t="s">
        <v>312</v>
      </c>
      <c r="J252" s="108">
        <v>1</v>
      </c>
      <c r="K252" s="109" t="str">
        <f>IF(J252&gt;=1,"Yes","No")</f>
        <v>Yes</v>
      </c>
      <c r="L252" s="110">
        <v>1</v>
      </c>
      <c r="M252" s="111" t="str">
        <f>IF(L252&gt;=1,"Yes","No")</f>
        <v>Yes</v>
      </c>
      <c r="N252" s="112">
        <v>0</v>
      </c>
      <c r="O252" s="113" t="str">
        <f>IF(N252&gt;=1,"Yes","No")</f>
        <v>No</v>
      </c>
      <c r="P252" s="108">
        <v>0</v>
      </c>
      <c r="Q252" s="114" t="str">
        <f>IF(P252&gt;=1,"Yes","No")</f>
        <v>No</v>
      </c>
      <c r="R252" s="9">
        <v>1</v>
      </c>
      <c r="S252" s="9">
        <v>0</v>
      </c>
      <c r="T252" s="9">
        <v>0</v>
      </c>
      <c r="U252" s="9"/>
      <c r="V252" s="9"/>
    </row>
    <row r="253" spans="1:22" ht="15.6" thickTop="1" thickBot="1" x14ac:dyDescent="0.35">
      <c r="A253" s="89">
        <v>86</v>
      </c>
      <c r="B253" s="115">
        <v>2</v>
      </c>
      <c r="C253" s="32">
        <v>1</v>
      </c>
      <c r="D253" s="32" t="s">
        <v>193</v>
      </c>
      <c r="E253" s="32">
        <v>0</v>
      </c>
      <c r="F253" s="32">
        <v>1</v>
      </c>
      <c r="G253" s="34"/>
      <c r="H253" s="164" t="s">
        <v>311</v>
      </c>
      <c r="I253" s="164" t="s">
        <v>312</v>
      </c>
      <c r="J253" s="117">
        <v>1</v>
      </c>
      <c r="K253" s="118" t="str">
        <f>IF(J253&gt;=1,"Yes","No")</f>
        <v>Yes</v>
      </c>
      <c r="L253" s="119">
        <v>1</v>
      </c>
      <c r="M253" s="120" t="str">
        <f>IF(L253&gt;=1,"Yes","No")</f>
        <v>Yes</v>
      </c>
      <c r="N253" s="121">
        <v>0</v>
      </c>
      <c r="O253" s="122" t="str">
        <f>IF(N253&gt;=1,"Yes","No")</f>
        <v>No</v>
      </c>
      <c r="P253" s="117">
        <v>0</v>
      </c>
      <c r="Q253" s="123" t="str">
        <f>IF(P253&gt;=1,"Yes","No")</f>
        <v>No</v>
      </c>
      <c r="R253" s="32">
        <v>1</v>
      </c>
      <c r="S253" s="32">
        <v>0</v>
      </c>
      <c r="T253" s="32">
        <v>0</v>
      </c>
      <c r="U253" s="32"/>
      <c r="V253" s="32"/>
    </row>
    <row r="254" spans="1:22" ht="15.6" thickTop="1" thickBot="1" x14ac:dyDescent="0.35">
      <c r="A254" s="89">
        <v>86</v>
      </c>
      <c r="B254" s="124">
        <v>3</v>
      </c>
      <c r="C254" s="19">
        <v>1</v>
      </c>
      <c r="D254" s="19" t="s">
        <v>193</v>
      </c>
      <c r="E254" s="19">
        <v>0</v>
      </c>
      <c r="F254" s="19">
        <v>1</v>
      </c>
      <c r="G254" s="43"/>
      <c r="H254" s="164" t="s">
        <v>311</v>
      </c>
      <c r="I254" s="164" t="s">
        <v>312</v>
      </c>
      <c r="J254" s="126">
        <v>1</v>
      </c>
      <c r="K254" s="127" t="str">
        <f>IF(J254&gt;=1,"Yes","No")</f>
        <v>Yes</v>
      </c>
      <c r="L254" s="128">
        <v>1</v>
      </c>
      <c r="M254" s="129" t="str">
        <f>IF(L254&gt;=1,"Yes","No")</f>
        <v>Yes</v>
      </c>
      <c r="N254" s="130">
        <v>0</v>
      </c>
      <c r="O254" s="131" t="str">
        <f>IF(N254&gt;=1,"Yes","No")</f>
        <v>No</v>
      </c>
      <c r="P254" s="126">
        <v>0</v>
      </c>
      <c r="Q254" s="132" t="str">
        <f>IF(P254&gt;=1,"Yes","No")</f>
        <v>No</v>
      </c>
      <c r="R254" s="19">
        <v>1</v>
      </c>
      <c r="S254" s="19">
        <v>0</v>
      </c>
      <c r="T254" s="19">
        <v>0</v>
      </c>
      <c r="U254" s="19"/>
      <c r="V254" s="19"/>
    </row>
    <row r="255" spans="1:22" ht="15.6" thickTop="1" thickBot="1" x14ac:dyDescent="0.35">
      <c r="A255" s="89">
        <v>87</v>
      </c>
      <c r="B255" s="106">
        <v>1</v>
      </c>
      <c r="C255" s="9">
        <v>1</v>
      </c>
      <c r="D255" s="9" t="s">
        <v>193</v>
      </c>
      <c r="E255" s="9">
        <v>0</v>
      </c>
      <c r="F255" s="9">
        <v>1</v>
      </c>
      <c r="G255" s="28"/>
      <c r="H255" s="164" t="s">
        <v>311</v>
      </c>
      <c r="I255" s="164" t="s">
        <v>312</v>
      </c>
      <c r="J255" s="108">
        <v>1</v>
      </c>
      <c r="K255" s="109" t="str">
        <f>IF(J255&gt;=1,"Yes","No")</f>
        <v>Yes</v>
      </c>
      <c r="L255" s="110">
        <v>1</v>
      </c>
      <c r="M255" s="111" t="str">
        <f>IF(L255&gt;=1,"Yes","No")</f>
        <v>Yes</v>
      </c>
      <c r="N255" s="112">
        <v>0</v>
      </c>
      <c r="O255" s="113" t="str">
        <f>IF(N255&gt;=1,"Yes","No")</f>
        <v>No</v>
      </c>
      <c r="P255" s="108">
        <v>0</v>
      </c>
      <c r="Q255" s="114" t="str">
        <f>IF(P255&gt;=1,"Yes","No")</f>
        <v>No</v>
      </c>
      <c r="R255" s="9">
        <v>1</v>
      </c>
      <c r="S255" s="9">
        <v>0</v>
      </c>
      <c r="T255" s="9">
        <v>0</v>
      </c>
      <c r="U255" s="9"/>
      <c r="V255" s="9"/>
    </row>
    <row r="256" spans="1:22" ht="15.6" thickTop="1" thickBot="1" x14ac:dyDescent="0.35">
      <c r="A256" s="89">
        <v>87</v>
      </c>
      <c r="B256" s="115">
        <v>2</v>
      </c>
      <c r="C256" s="32">
        <v>1</v>
      </c>
      <c r="D256" s="32" t="s">
        <v>193</v>
      </c>
      <c r="E256" s="32">
        <v>0</v>
      </c>
      <c r="F256" s="32">
        <v>1</v>
      </c>
      <c r="G256" s="34"/>
      <c r="H256" s="164" t="s">
        <v>311</v>
      </c>
      <c r="I256" s="164" t="s">
        <v>312</v>
      </c>
      <c r="J256" s="117">
        <v>1</v>
      </c>
      <c r="K256" s="118" t="str">
        <f>IF(J256&gt;=1,"Yes","No")</f>
        <v>Yes</v>
      </c>
      <c r="L256" s="119">
        <v>1</v>
      </c>
      <c r="M256" s="120" t="str">
        <f>IF(L256&gt;=1,"Yes","No")</f>
        <v>Yes</v>
      </c>
      <c r="N256" s="121">
        <v>0</v>
      </c>
      <c r="O256" s="122" t="str">
        <f>IF(N256&gt;=1,"Yes","No")</f>
        <v>No</v>
      </c>
      <c r="P256" s="117">
        <v>0</v>
      </c>
      <c r="Q256" s="123" t="str">
        <f>IF(P256&gt;=1,"Yes","No")</f>
        <v>No</v>
      </c>
      <c r="R256" s="32">
        <v>1</v>
      </c>
      <c r="S256" s="32">
        <v>0</v>
      </c>
      <c r="T256" s="32">
        <v>0</v>
      </c>
      <c r="U256" s="32"/>
      <c r="V256" s="32"/>
    </row>
    <row r="257" spans="1:22" ht="15.6" thickTop="1" thickBot="1" x14ac:dyDescent="0.35">
      <c r="A257" s="89">
        <v>87</v>
      </c>
      <c r="B257" s="124">
        <v>3</v>
      </c>
      <c r="C257" s="19">
        <v>1</v>
      </c>
      <c r="D257" s="19" t="s">
        <v>193</v>
      </c>
      <c r="E257" s="19">
        <v>0</v>
      </c>
      <c r="F257" s="19">
        <v>1</v>
      </c>
      <c r="G257" s="43"/>
      <c r="H257" s="164" t="s">
        <v>311</v>
      </c>
      <c r="I257" s="164" t="s">
        <v>312</v>
      </c>
      <c r="J257" s="126">
        <v>1</v>
      </c>
      <c r="K257" s="127" t="str">
        <f>IF(J257&gt;=1,"Yes","No")</f>
        <v>Yes</v>
      </c>
      <c r="L257" s="128">
        <v>1</v>
      </c>
      <c r="M257" s="129" t="str">
        <f>IF(L257&gt;=1,"Yes","No")</f>
        <v>Yes</v>
      </c>
      <c r="N257" s="130">
        <v>0</v>
      </c>
      <c r="O257" s="131" t="str">
        <f>IF(N257&gt;=1,"Yes","No")</f>
        <v>No</v>
      </c>
      <c r="P257" s="126">
        <v>0</v>
      </c>
      <c r="Q257" s="132" t="str">
        <f>IF(P257&gt;=1,"Yes","No")</f>
        <v>No</v>
      </c>
      <c r="R257" s="19">
        <v>1</v>
      </c>
      <c r="S257" s="19">
        <v>0</v>
      </c>
      <c r="T257" s="19">
        <v>0</v>
      </c>
      <c r="U257" s="19"/>
      <c r="V257" s="19"/>
    </row>
    <row r="258" spans="1:22" ht="15.6" thickTop="1" thickBot="1" x14ac:dyDescent="0.35">
      <c r="A258" s="89">
        <v>88</v>
      </c>
      <c r="B258" s="106">
        <v>1</v>
      </c>
      <c r="C258" s="9">
        <v>1</v>
      </c>
      <c r="D258" s="9" t="s">
        <v>193</v>
      </c>
      <c r="E258" s="9">
        <v>0</v>
      </c>
      <c r="F258" s="9">
        <v>1</v>
      </c>
      <c r="G258" s="34" t="s">
        <v>23</v>
      </c>
      <c r="H258" s="164"/>
      <c r="I258" s="164" t="s">
        <v>313</v>
      </c>
      <c r="J258" s="108">
        <v>1</v>
      </c>
      <c r="K258" s="109" t="str">
        <f>IF(J258&gt;=1,"Yes","No")</f>
        <v>Yes</v>
      </c>
      <c r="L258" s="110">
        <v>1</v>
      </c>
      <c r="M258" s="111" t="str">
        <f>IF(L258&gt;=1,"Yes","No")</f>
        <v>Yes</v>
      </c>
      <c r="N258" s="112">
        <v>0</v>
      </c>
      <c r="O258" s="113" t="str">
        <f>IF(N258&gt;=1,"Yes","No")</f>
        <v>No</v>
      </c>
      <c r="P258" s="108">
        <v>0</v>
      </c>
      <c r="Q258" s="114" t="str">
        <f>IF(P258&gt;=1,"Yes","No")</f>
        <v>No</v>
      </c>
      <c r="R258" s="9">
        <v>1</v>
      </c>
      <c r="S258" s="9">
        <v>0</v>
      </c>
      <c r="T258" s="9">
        <v>0</v>
      </c>
      <c r="U258" s="9"/>
      <c r="V258" s="9"/>
    </row>
    <row r="259" spans="1:22" ht="15.6" thickTop="1" thickBot="1" x14ac:dyDescent="0.35">
      <c r="A259" s="89">
        <v>88</v>
      </c>
      <c r="B259" s="115">
        <v>2</v>
      </c>
      <c r="C259" s="32">
        <v>1</v>
      </c>
      <c r="D259" s="32" t="s">
        <v>193</v>
      </c>
      <c r="E259" s="32">
        <v>0</v>
      </c>
      <c r="F259" s="32">
        <v>1</v>
      </c>
      <c r="G259" s="34" t="s">
        <v>23</v>
      </c>
      <c r="H259" s="165"/>
      <c r="I259" s="164" t="s">
        <v>313</v>
      </c>
      <c r="J259" s="117">
        <v>1</v>
      </c>
      <c r="K259" s="118" t="str">
        <f>IF(J259&gt;=1,"Yes","No")</f>
        <v>Yes</v>
      </c>
      <c r="L259" s="119">
        <v>1</v>
      </c>
      <c r="M259" s="120" t="str">
        <f>IF(L259&gt;=1,"Yes","No")</f>
        <v>Yes</v>
      </c>
      <c r="N259" s="121">
        <v>0</v>
      </c>
      <c r="O259" s="122" t="str">
        <f>IF(N259&gt;=1,"Yes","No")</f>
        <v>No</v>
      </c>
      <c r="P259" s="117">
        <v>0</v>
      </c>
      <c r="Q259" s="123" t="str">
        <f>IF(P259&gt;=1,"Yes","No")</f>
        <v>No</v>
      </c>
      <c r="R259" s="32">
        <v>1</v>
      </c>
      <c r="S259" s="32">
        <v>0</v>
      </c>
      <c r="T259" s="32">
        <v>0</v>
      </c>
      <c r="U259" s="32"/>
      <c r="V259" s="32"/>
    </row>
    <row r="260" spans="1:22" ht="15.6" thickTop="1" thickBot="1" x14ac:dyDescent="0.35">
      <c r="A260" s="89">
        <v>88</v>
      </c>
      <c r="B260" s="124">
        <v>3</v>
      </c>
      <c r="C260" s="19">
        <v>1</v>
      </c>
      <c r="D260" s="19" t="s">
        <v>193</v>
      </c>
      <c r="E260" s="19">
        <v>0</v>
      </c>
      <c r="F260" s="19">
        <v>1</v>
      </c>
      <c r="G260" s="34" t="s">
        <v>23</v>
      </c>
      <c r="H260" s="166"/>
      <c r="I260" s="164" t="s">
        <v>313</v>
      </c>
      <c r="J260" s="126">
        <v>1</v>
      </c>
      <c r="K260" s="127" t="str">
        <f>IF(J260&gt;=1,"Yes","No")</f>
        <v>Yes</v>
      </c>
      <c r="L260" s="128">
        <v>1</v>
      </c>
      <c r="M260" s="129" t="str">
        <f>IF(L260&gt;=1,"Yes","No")</f>
        <v>Yes</v>
      </c>
      <c r="N260" s="130">
        <v>0</v>
      </c>
      <c r="O260" s="131" t="str">
        <f>IF(N260&gt;=1,"Yes","No")</f>
        <v>No</v>
      </c>
      <c r="P260" s="126">
        <v>0</v>
      </c>
      <c r="Q260" s="132" t="str">
        <f>IF(P260&gt;=1,"Yes","No")</f>
        <v>No</v>
      </c>
      <c r="R260" s="19">
        <v>1</v>
      </c>
      <c r="S260" s="19">
        <v>0</v>
      </c>
      <c r="T260" s="19">
        <v>0</v>
      </c>
      <c r="U260" s="19"/>
      <c r="V260" s="19"/>
    </row>
    <row r="261" spans="1:22" ht="15" thickTop="1" x14ac:dyDescent="0.3">
      <c r="A261" s="89">
        <v>36</v>
      </c>
      <c r="B261" s="106">
        <v>1</v>
      </c>
      <c r="C261" s="9">
        <v>1</v>
      </c>
      <c r="D261" s="9" t="s">
        <v>22</v>
      </c>
      <c r="E261" s="9">
        <v>0</v>
      </c>
      <c r="F261" s="9">
        <v>1</v>
      </c>
      <c r="G261" s="28"/>
      <c r="H261" s="28" t="s">
        <v>153</v>
      </c>
      <c r="I261" s="107" t="s">
        <v>231</v>
      </c>
      <c r="J261" s="108">
        <v>0</v>
      </c>
      <c r="K261" s="109" t="str">
        <f>IF(J261&gt;=1,"Yes","No")</f>
        <v>No</v>
      </c>
      <c r="L261" s="110">
        <v>1</v>
      </c>
      <c r="M261" s="111" t="str">
        <f>IF(L261&gt;=1,"Yes","No")</f>
        <v>Yes</v>
      </c>
      <c r="N261" s="112">
        <v>0</v>
      </c>
      <c r="O261" s="113" t="str">
        <f>IF(N261&gt;=1,"Yes","No")</f>
        <v>No</v>
      </c>
      <c r="P261" s="108">
        <v>0</v>
      </c>
      <c r="Q261" s="114" t="str">
        <f>IF(P261&gt;=1,"Yes","No")</f>
        <v>No</v>
      </c>
      <c r="R261" s="9">
        <v>1</v>
      </c>
      <c r="S261" s="9">
        <v>1</v>
      </c>
      <c r="T261" s="9">
        <v>0</v>
      </c>
      <c r="U261" s="9"/>
      <c r="V261" s="9"/>
    </row>
    <row r="262" spans="1:22" x14ac:dyDescent="0.3">
      <c r="A262" s="89">
        <v>36</v>
      </c>
      <c r="B262" s="115">
        <v>2</v>
      </c>
      <c r="C262" s="32">
        <v>1</v>
      </c>
      <c r="D262" s="32" t="s">
        <v>22</v>
      </c>
      <c r="E262" s="32">
        <v>0</v>
      </c>
      <c r="F262" s="32">
        <v>1</v>
      </c>
      <c r="G262" s="34"/>
      <c r="H262" s="34" t="s">
        <v>153</v>
      </c>
      <c r="I262" s="35" t="s">
        <v>231</v>
      </c>
      <c r="J262" s="133">
        <v>0</v>
      </c>
      <c r="K262" s="118" t="str">
        <f>IF(J262&gt;=1,"Yes","No")</f>
        <v>No</v>
      </c>
      <c r="L262" s="119">
        <v>1</v>
      </c>
      <c r="M262" s="120" t="str">
        <f>IF(L262&gt;=1,"Yes","No")</f>
        <v>Yes</v>
      </c>
      <c r="N262" s="121">
        <v>0</v>
      </c>
      <c r="O262" s="122" t="str">
        <f>IF(N262&gt;=1,"Yes","No")</f>
        <v>No</v>
      </c>
      <c r="P262" s="117">
        <v>0</v>
      </c>
      <c r="Q262" s="123" t="str">
        <f>IF(P262&gt;=1,"Yes","No")</f>
        <v>No</v>
      </c>
      <c r="R262" s="32">
        <v>1</v>
      </c>
      <c r="S262" s="32">
        <v>1</v>
      </c>
      <c r="T262" s="32">
        <v>0</v>
      </c>
      <c r="U262" s="32"/>
      <c r="V262" s="32"/>
    </row>
    <row r="263" spans="1:22" x14ac:dyDescent="0.3">
      <c r="A263" s="89">
        <v>36</v>
      </c>
      <c r="B263" s="115">
        <v>3</v>
      </c>
      <c r="C263" s="32">
        <v>1</v>
      </c>
      <c r="D263" s="32" t="s">
        <v>22</v>
      </c>
      <c r="E263" s="32">
        <v>0</v>
      </c>
      <c r="F263" s="32">
        <v>1</v>
      </c>
      <c r="G263" s="34"/>
      <c r="H263" s="34" t="s">
        <v>153</v>
      </c>
      <c r="I263" s="35" t="s">
        <v>231</v>
      </c>
      <c r="J263" s="133">
        <v>0</v>
      </c>
      <c r="K263" s="118" t="str">
        <f>IF(J263&gt;=1,"Yes","No")</f>
        <v>No</v>
      </c>
      <c r="L263" s="119">
        <v>1</v>
      </c>
      <c r="M263" s="120" t="str">
        <f>IF(L263&gt;=1,"Yes","No")</f>
        <v>Yes</v>
      </c>
      <c r="N263" s="121">
        <v>0</v>
      </c>
      <c r="O263" s="122" t="str">
        <f>IF(N263&gt;=1,"Yes","No")</f>
        <v>No</v>
      </c>
      <c r="P263" s="117">
        <v>0</v>
      </c>
      <c r="Q263" s="123" t="str">
        <f>IF(P263&gt;=1,"Yes","No")</f>
        <v>No</v>
      </c>
      <c r="R263" s="32">
        <v>1</v>
      </c>
      <c r="S263" s="32">
        <v>1</v>
      </c>
      <c r="T263" s="32">
        <v>0</v>
      </c>
      <c r="U263" s="32"/>
      <c r="V263" s="32"/>
    </row>
    <row r="264" spans="1:22" x14ac:dyDescent="0.3">
      <c r="A264" s="89">
        <v>36</v>
      </c>
      <c r="B264" s="115">
        <v>4</v>
      </c>
      <c r="C264" s="32">
        <v>1</v>
      </c>
      <c r="D264" s="32" t="s">
        <v>22</v>
      </c>
      <c r="E264" s="32">
        <v>0</v>
      </c>
      <c r="F264" s="32">
        <v>1</v>
      </c>
      <c r="G264" s="34"/>
      <c r="H264" s="34" t="s">
        <v>153</v>
      </c>
      <c r="I264" s="35" t="s">
        <v>231</v>
      </c>
      <c r="J264" s="133">
        <v>0</v>
      </c>
      <c r="K264" s="118" t="str">
        <f>IF(J264&gt;=1,"Yes","No")</f>
        <v>No</v>
      </c>
      <c r="L264" s="119">
        <v>1</v>
      </c>
      <c r="M264" s="120" t="str">
        <f>IF(L264&gt;=1,"Yes","No")</f>
        <v>Yes</v>
      </c>
      <c r="N264" s="121">
        <v>0</v>
      </c>
      <c r="O264" s="122" t="str">
        <f>IF(N264&gt;=1,"Yes","No")</f>
        <v>No</v>
      </c>
      <c r="P264" s="117">
        <v>0</v>
      </c>
      <c r="Q264" s="123" t="str">
        <f>IF(P264&gt;=1,"Yes","No")</f>
        <v>No</v>
      </c>
      <c r="R264" s="32">
        <v>1</v>
      </c>
      <c r="S264" s="32">
        <v>1</v>
      </c>
      <c r="T264" s="32">
        <v>0</v>
      </c>
      <c r="U264" s="32"/>
      <c r="V264" s="32"/>
    </row>
    <row r="265" spans="1:22" x14ac:dyDescent="0.3">
      <c r="A265" s="89">
        <v>36</v>
      </c>
      <c r="B265" s="115">
        <v>5</v>
      </c>
      <c r="C265" s="32">
        <v>1</v>
      </c>
      <c r="D265" s="32" t="s">
        <v>22</v>
      </c>
      <c r="E265" s="32">
        <v>0</v>
      </c>
      <c r="F265" s="32">
        <v>1</v>
      </c>
      <c r="G265" s="34"/>
      <c r="H265" s="34" t="s">
        <v>153</v>
      </c>
      <c r="I265" s="35" t="s">
        <v>231</v>
      </c>
      <c r="J265" s="133">
        <v>0</v>
      </c>
      <c r="K265" s="118" t="str">
        <f>IF(J265&gt;=1,"Yes","No")</f>
        <v>No</v>
      </c>
      <c r="L265" s="119">
        <v>1</v>
      </c>
      <c r="M265" s="120" t="str">
        <f>IF(L265&gt;=1,"Yes","No")</f>
        <v>Yes</v>
      </c>
      <c r="N265" s="121">
        <v>0</v>
      </c>
      <c r="O265" s="122" t="str">
        <f>IF(N265&gt;=1,"Yes","No")</f>
        <v>No</v>
      </c>
      <c r="P265" s="117">
        <v>0</v>
      </c>
      <c r="Q265" s="123" t="str">
        <f>IF(P265&gt;=1,"Yes","No")</f>
        <v>No</v>
      </c>
      <c r="R265" s="32">
        <v>1</v>
      </c>
      <c r="S265" s="32">
        <v>1</v>
      </c>
      <c r="T265" s="32">
        <v>0</v>
      </c>
      <c r="U265" s="32"/>
      <c r="V265" s="32"/>
    </row>
    <row r="266" spans="1:22" ht="15" thickBot="1" x14ac:dyDescent="0.35">
      <c r="A266" s="89">
        <v>36</v>
      </c>
      <c r="B266" s="124">
        <v>6</v>
      </c>
      <c r="C266" s="19">
        <v>1</v>
      </c>
      <c r="D266" s="19" t="s">
        <v>22</v>
      </c>
      <c r="E266" s="19">
        <v>0</v>
      </c>
      <c r="F266" s="19">
        <v>1</v>
      </c>
      <c r="G266" s="43"/>
      <c r="H266" s="43" t="s">
        <v>153</v>
      </c>
      <c r="I266" s="116" t="s">
        <v>231</v>
      </c>
      <c r="J266" s="126">
        <v>0</v>
      </c>
      <c r="K266" s="127" t="str">
        <f>IF(J266&gt;=1,"Yes","No")</f>
        <v>No</v>
      </c>
      <c r="L266" s="128">
        <v>1</v>
      </c>
      <c r="M266" s="129" t="str">
        <f>IF(L266&gt;=1,"Yes","No")</f>
        <v>Yes</v>
      </c>
      <c r="N266" s="130">
        <v>0</v>
      </c>
      <c r="O266" s="131" t="str">
        <f>IF(N266&gt;=1,"Yes","No")</f>
        <v>No</v>
      </c>
      <c r="P266" s="126">
        <v>0</v>
      </c>
      <c r="Q266" s="132" t="str">
        <f>IF(P266&gt;=1,"Yes","No")</f>
        <v>No</v>
      </c>
      <c r="R266" s="19">
        <v>1</v>
      </c>
      <c r="S266" s="19">
        <v>1</v>
      </c>
      <c r="T266" s="19">
        <v>0</v>
      </c>
      <c r="U266" s="19"/>
      <c r="V266" s="19"/>
    </row>
    <row r="267" spans="1:22" ht="15" thickTop="1" x14ac:dyDescent="0.3">
      <c r="A267" s="89">
        <v>37</v>
      </c>
      <c r="B267" s="106">
        <v>1</v>
      </c>
      <c r="C267" s="9">
        <v>1</v>
      </c>
      <c r="D267" s="9" t="s">
        <v>22</v>
      </c>
      <c r="E267" s="9">
        <v>0</v>
      </c>
      <c r="F267" s="9">
        <v>1</v>
      </c>
      <c r="G267" s="28"/>
      <c r="H267" s="28" t="s">
        <v>153</v>
      </c>
      <c r="I267" s="107" t="s">
        <v>231</v>
      </c>
      <c r="J267" s="108">
        <v>0</v>
      </c>
      <c r="K267" s="109" t="str">
        <f>IF(J267&gt;=1,"Yes","No")</f>
        <v>No</v>
      </c>
      <c r="L267" s="110">
        <v>1</v>
      </c>
      <c r="M267" s="111" t="str">
        <f>IF(L267&gt;=1,"Yes","No")</f>
        <v>Yes</v>
      </c>
      <c r="N267" s="112">
        <v>0</v>
      </c>
      <c r="O267" s="113" t="str">
        <f>IF(N267&gt;=1,"Yes","No")</f>
        <v>No</v>
      </c>
      <c r="P267" s="108">
        <v>0</v>
      </c>
      <c r="Q267" s="114" t="str">
        <f>IF(P267&gt;=1,"Yes","No")</f>
        <v>No</v>
      </c>
      <c r="R267" s="9">
        <v>1</v>
      </c>
      <c r="S267" s="9">
        <v>1</v>
      </c>
      <c r="T267" s="9">
        <v>0</v>
      </c>
      <c r="U267" s="9"/>
      <c r="V267" s="9"/>
    </row>
    <row r="268" spans="1:22" x14ac:dyDescent="0.3">
      <c r="A268" s="89">
        <v>37</v>
      </c>
      <c r="B268" s="115">
        <v>2</v>
      </c>
      <c r="C268" s="32">
        <v>1</v>
      </c>
      <c r="D268" s="32" t="s">
        <v>22</v>
      </c>
      <c r="E268" s="32">
        <v>0</v>
      </c>
      <c r="F268" s="32">
        <v>1</v>
      </c>
      <c r="G268" s="34"/>
      <c r="H268" s="34" t="s">
        <v>153</v>
      </c>
      <c r="I268" s="35" t="s">
        <v>231</v>
      </c>
      <c r="J268" s="133">
        <v>0</v>
      </c>
      <c r="K268" s="118" t="str">
        <f>IF(J268&gt;=1,"Yes","No")</f>
        <v>No</v>
      </c>
      <c r="L268" s="119">
        <v>1</v>
      </c>
      <c r="M268" s="120" t="str">
        <f>IF(L268&gt;=1,"Yes","No")</f>
        <v>Yes</v>
      </c>
      <c r="N268" s="121">
        <v>0</v>
      </c>
      <c r="O268" s="122" t="str">
        <f>IF(N268&gt;=1,"Yes","No")</f>
        <v>No</v>
      </c>
      <c r="P268" s="117">
        <v>0</v>
      </c>
      <c r="Q268" s="123" t="str">
        <f>IF(P268&gt;=1,"Yes","No")</f>
        <v>No</v>
      </c>
      <c r="R268" s="32">
        <v>1</v>
      </c>
      <c r="S268" s="32">
        <v>1</v>
      </c>
      <c r="T268" s="32">
        <v>0</v>
      </c>
      <c r="U268" s="32"/>
      <c r="V268" s="32"/>
    </row>
    <row r="269" spans="1:22" x14ac:dyDescent="0.3">
      <c r="A269" s="89">
        <v>37</v>
      </c>
      <c r="B269" s="115">
        <v>3</v>
      </c>
      <c r="C269" s="32">
        <v>1</v>
      </c>
      <c r="D269" s="32" t="s">
        <v>22</v>
      </c>
      <c r="E269" s="32">
        <v>0</v>
      </c>
      <c r="F269" s="32">
        <v>1</v>
      </c>
      <c r="G269" s="34"/>
      <c r="H269" s="34" t="s">
        <v>153</v>
      </c>
      <c r="I269" s="35" t="s">
        <v>231</v>
      </c>
      <c r="J269" s="133">
        <v>0</v>
      </c>
      <c r="K269" s="118" t="str">
        <f>IF(J269&gt;=1,"Yes","No")</f>
        <v>No</v>
      </c>
      <c r="L269" s="119">
        <v>1</v>
      </c>
      <c r="M269" s="120" t="str">
        <f>IF(L269&gt;=1,"Yes","No")</f>
        <v>Yes</v>
      </c>
      <c r="N269" s="121">
        <v>0</v>
      </c>
      <c r="O269" s="122" t="str">
        <f>IF(N269&gt;=1,"Yes","No")</f>
        <v>No</v>
      </c>
      <c r="P269" s="117">
        <v>0</v>
      </c>
      <c r="Q269" s="123" t="str">
        <f>IF(P269&gt;=1,"Yes","No")</f>
        <v>No</v>
      </c>
      <c r="R269" s="32">
        <v>1</v>
      </c>
      <c r="S269" s="32">
        <v>1</v>
      </c>
      <c r="T269" s="32">
        <v>0</v>
      </c>
      <c r="U269" s="32"/>
      <c r="V269" s="32"/>
    </row>
    <row r="270" spans="1:22" x14ac:dyDescent="0.3">
      <c r="A270" s="89">
        <v>37</v>
      </c>
      <c r="B270" s="115">
        <v>4</v>
      </c>
      <c r="C270" s="32">
        <v>1</v>
      </c>
      <c r="D270" s="32" t="s">
        <v>22</v>
      </c>
      <c r="E270" s="32">
        <v>0</v>
      </c>
      <c r="F270" s="32">
        <v>1</v>
      </c>
      <c r="G270" s="34"/>
      <c r="H270" s="34" t="s">
        <v>153</v>
      </c>
      <c r="I270" s="35" t="s">
        <v>231</v>
      </c>
      <c r="J270" s="133">
        <v>0</v>
      </c>
      <c r="K270" s="118" t="str">
        <f>IF(J270&gt;=1,"Yes","No")</f>
        <v>No</v>
      </c>
      <c r="L270" s="119">
        <v>1</v>
      </c>
      <c r="M270" s="120" t="str">
        <f>IF(L270&gt;=1,"Yes","No")</f>
        <v>Yes</v>
      </c>
      <c r="N270" s="121">
        <v>0</v>
      </c>
      <c r="O270" s="122" t="str">
        <f>IF(N270&gt;=1,"Yes","No")</f>
        <v>No</v>
      </c>
      <c r="P270" s="117">
        <v>0</v>
      </c>
      <c r="Q270" s="123" t="str">
        <f>IF(P270&gt;=1,"Yes","No")</f>
        <v>No</v>
      </c>
      <c r="R270" s="32">
        <v>1</v>
      </c>
      <c r="S270" s="32">
        <v>1</v>
      </c>
      <c r="T270" s="32">
        <v>0</v>
      </c>
      <c r="U270" s="32"/>
      <c r="V270" s="32"/>
    </row>
    <row r="271" spans="1:22" x14ac:dyDescent="0.3">
      <c r="A271" s="89">
        <v>37</v>
      </c>
      <c r="B271" s="115">
        <v>5</v>
      </c>
      <c r="C271" s="32">
        <v>1</v>
      </c>
      <c r="D271" s="32" t="s">
        <v>22</v>
      </c>
      <c r="E271" s="32">
        <v>0</v>
      </c>
      <c r="F271" s="32">
        <v>1</v>
      </c>
      <c r="G271" s="34"/>
      <c r="H271" s="34" t="s">
        <v>153</v>
      </c>
      <c r="I271" s="35" t="s">
        <v>231</v>
      </c>
      <c r="J271" s="133">
        <v>0</v>
      </c>
      <c r="K271" s="118" t="str">
        <f>IF(J271&gt;=1,"Yes","No")</f>
        <v>No</v>
      </c>
      <c r="L271" s="119">
        <v>1</v>
      </c>
      <c r="M271" s="120" t="str">
        <f>IF(L271&gt;=1,"Yes","No")</f>
        <v>Yes</v>
      </c>
      <c r="N271" s="121">
        <v>0</v>
      </c>
      <c r="O271" s="122" t="str">
        <f>IF(N271&gt;=1,"Yes","No")</f>
        <v>No</v>
      </c>
      <c r="P271" s="117">
        <v>0</v>
      </c>
      <c r="Q271" s="123" t="str">
        <f>IF(P271&gt;=1,"Yes","No")</f>
        <v>No</v>
      </c>
      <c r="R271" s="32">
        <v>1</v>
      </c>
      <c r="S271" s="32">
        <v>1</v>
      </c>
      <c r="T271" s="32">
        <v>0</v>
      </c>
      <c r="U271" s="32"/>
      <c r="V271" s="32"/>
    </row>
    <row r="272" spans="1:22" ht="15" thickBot="1" x14ac:dyDescent="0.35">
      <c r="A272" s="89">
        <v>37</v>
      </c>
      <c r="B272" s="124">
        <v>6</v>
      </c>
      <c r="C272" s="19">
        <v>1</v>
      </c>
      <c r="D272" s="19" t="s">
        <v>22</v>
      </c>
      <c r="E272" s="19">
        <v>0</v>
      </c>
      <c r="F272" s="19">
        <v>1</v>
      </c>
      <c r="G272" s="43"/>
      <c r="H272" s="43" t="s">
        <v>153</v>
      </c>
      <c r="I272" s="116" t="s">
        <v>231</v>
      </c>
      <c r="J272" s="126">
        <v>0</v>
      </c>
      <c r="K272" s="127" t="str">
        <f>IF(J272&gt;=1,"Yes","No")</f>
        <v>No</v>
      </c>
      <c r="L272" s="128">
        <v>1</v>
      </c>
      <c r="M272" s="129" t="str">
        <f>IF(L272&gt;=1,"Yes","No")</f>
        <v>Yes</v>
      </c>
      <c r="N272" s="130">
        <v>0</v>
      </c>
      <c r="O272" s="131" t="str">
        <f>IF(N272&gt;=1,"Yes","No")</f>
        <v>No</v>
      </c>
      <c r="P272" s="126">
        <v>0</v>
      </c>
      <c r="Q272" s="132" t="str">
        <f>IF(P272&gt;=1,"Yes","No")</f>
        <v>No</v>
      </c>
      <c r="R272" s="19">
        <v>1</v>
      </c>
      <c r="S272" s="19">
        <v>1</v>
      </c>
      <c r="T272" s="19">
        <v>0</v>
      </c>
      <c r="U272" s="19"/>
      <c r="V272" s="19"/>
    </row>
    <row r="273" spans="1:22" ht="15" thickTop="1" x14ac:dyDescent="0.3">
      <c r="A273" s="89">
        <v>38</v>
      </c>
      <c r="B273" s="106">
        <v>1</v>
      </c>
      <c r="C273" s="9">
        <v>1</v>
      </c>
      <c r="D273" s="9" t="s">
        <v>22</v>
      </c>
      <c r="E273" s="9">
        <v>0</v>
      </c>
      <c r="F273" s="9">
        <v>1</v>
      </c>
      <c r="G273" s="28"/>
      <c r="H273" s="28" t="s">
        <v>153</v>
      </c>
      <c r="I273" s="107" t="s">
        <v>231</v>
      </c>
      <c r="J273" s="108">
        <v>0</v>
      </c>
      <c r="K273" s="109" t="str">
        <f>IF(J273&gt;=1,"Yes","No")</f>
        <v>No</v>
      </c>
      <c r="L273" s="110">
        <v>1</v>
      </c>
      <c r="M273" s="111" t="str">
        <f>IF(L273&gt;=1,"Yes","No")</f>
        <v>Yes</v>
      </c>
      <c r="N273" s="112">
        <v>0</v>
      </c>
      <c r="O273" s="113" t="str">
        <f>IF(N273&gt;=1,"Yes","No")</f>
        <v>No</v>
      </c>
      <c r="P273" s="108">
        <v>0</v>
      </c>
      <c r="Q273" s="114" t="str">
        <f>IF(P273&gt;=1,"Yes","No")</f>
        <v>No</v>
      </c>
      <c r="R273" s="9">
        <v>1</v>
      </c>
      <c r="S273" s="9">
        <v>1</v>
      </c>
      <c r="T273" s="9">
        <v>0</v>
      </c>
      <c r="U273" s="9"/>
      <c r="V273" s="9"/>
    </row>
    <row r="274" spans="1:22" x14ac:dyDescent="0.3">
      <c r="A274" s="89">
        <v>38</v>
      </c>
      <c r="B274" s="115">
        <v>2</v>
      </c>
      <c r="C274" s="32">
        <v>1</v>
      </c>
      <c r="D274" s="32" t="s">
        <v>22</v>
      </c>
      <c r="E274" s="32">
        <v>0</v>
      </c>
      <c r="F274" s="32">
        <v>1</v>
      </c>
      <c r="G274" s="34"/>
      <c r="H274" s="34" t="s">
        <v>153</v>
      </c>
      <c r="I274" s="35" t="s">
        <v>231</v>
      </c>
      <c r="J274" s="133">
        <v>0</v>
      </c>
      <c r="K274" s="118" t="str">
        <f>IF(J274&gt;=1,"Yes","No")</f>
        <v>No</v>
      </c>
      <c r="L274" s="119">
        <v>1</v>
      </c>
      <c r="M274" s="120" t="str">
        <f>IF(L274&gt;=1,"Yes","No")</f>
        <v>Yes</v>
      </c>
      <c r="N274" s="121">
        <v>0</v>
      </c>
      <c r="O274" s="122" t="str">
        <f>IF(N274&gt;=1,"Yes","No")</f>
        <v>No</v>
      </c>
      <c r="P274" s="117">
        <v>0</v>
      </c>
      <c r="Q274" s="123" t="str">
        <f>IF(P274&gt;=1,"Yes","No")</f>
        <v>No</v>
      </c>
      <c r="R274" s="32">
        <v>1</v>
      </c>
      <c r="S274" s="32">
        <v>1</v>
      </c>
      <c r="T274" s="32">
        <v>0</v>
      </c>
      <c r="U274" s="32"/>
      <c r="V274" s="32"/>
    </row>
    <row r="275" spans="1:22" x14ac:dyDescent="0.3">
      <c r="A275" s="89">
        <v>38</v>
      </c>
      <c r="B275" s="115">
        <v>3</v>
      </c>
      <c r="C275" s="32">
        <v>1</v>
      </c>
      <c r="D275" s="32" t="s">
        <v>22</v>
      </c>
      <c r="E275" s="32">
        <v>0</v>
      </c>
      <c r="F275" s="32">
        <v>1</v>
      </c>
      <c r="G275" s="34"/>
      <c r="H275" s="34" t="s">
        <v>153</v>
      </c>
      <c r="I275" s="35" t="s">
        <v>231</v>
      </c>
      <c r="J275" s="133">
        <v>0</v>
      </c>
      <c r="K275" s="118" t="str">
        <f>IF(J275&gt;=1,"Yes","No")</f>
        <v>No</v>
      </c>
      <c r="L275" s="119">
        <v>1</v>
      </c>
      <c r="M275" s="120" t="str">
        <f>IF(L275&gt;=1,"Yes","No")</f>
        <v>Yes</v>
      </c>
      <c r="N275" s="121">
        <v>0</v>
      </c>
      <c r="O275" s="122" t="str">
        <f>IF(N275&gt;=1,"Yes","No")</f>
        <v>No</v>
      </c>
      <c r="P275" s="117">
        <v>0</v>
      </c>
      <c r="Q275" s="123" t="str">
        <f>IF(P275&gt;=1,"Yes","No")</f>
        <v>No</v>
      </c>
      <c r="R275" s="32">
        <v>1</v>
      </c>
      <c r="S275" s="32">
        <v>1</v>
      </c>
      <c r="T275" s="32">
        <v>0</v>
      </c>
      <c r="U275" s="32"/>
      <c r="V275" s="32"/>
    </row>
    <row r="276" spans="1:22" x14ac:dyDescent="0.3">
      <c r="A276" s="89">
        <v>38</v>
      </c>
      <c r="B276" s="115">
        <v>4</v>
      </c>
      <c r="C276" s="32">
        <v>1</v>
      </c>
      <c r="D276" s="32" t="s">
        <v>22</v>
      </c>
      <c r="E276" s="32">
        <v>0</v>
      </c>
      <c r="F276" s="32">
        <v>1</v>
      </c>
      <c r="G276" s="34"/>
      <c r="H276" s="34" t="s">
        <v>153</v>
      </c>
      <c r="I276" s="35" t="s">
        <v>231</v>
      </c>
      <c r="J276" s="133">
        <v>0</v>
      </c>
      <c r="K276" s="118" t="str">
        <f>IF(J276&gt;=1,"Yes","No")</f>
        <v>No</v>
      </c>
      <c r="L276" s="119">
        <v>1</v>
      </c>
      <c r="M276" s="120" t="str">
        <f>IF(L276&gt;=1,"Yes","No")</f>
        <v>Yes</v>
      </c>
      <c r="N276" s="121">
        <v>0</v>
      </c>
      <c r="O276" s="122" t="str">
        <f>IF(N276&gt;=1,"Yes","No")</f>
        <v>No</v>
      </c>
      <c r="P276" s="117">
        <v>0</v>
      </c>
      <c r="Q276" s="123" t="str">
        <f>IF(P276&gt;=1,"Yes","No")</f>
        <v>No</v>
      </c>
      <c r="R276" s="32">
        <v>1</v>
      </c>
      <c r="S276" s="32">
        <v>1</v>
      </c>
      <c r="T276" s="32">
        <v>0</v>
      </c>
      <c r="U276" s="32"/>
      <c r="V276" s="32"/>
    </row>
    <row r="277" spans="1:22" x14ac:dyDescent="0.3">
      <c r="A277" s="89">
        <v>38</v>
      </c>
      <c r="B277" s="115">
        <v>5</v>
      </c>
      <c r="C277" s="32">
        <v>1</v>
      </c>
      <c r="D277" s="32" t="s">
        <v>22</v>
      </c>
      <c r="E277" s="32">
        <v>0</v>
      </c>
      <c r="F277" s="32">
        <v>1</v>
      </c>
      <c r="G277" s="34"/>
      <c r="H277" s="34" t="s">
        <v>153</v>
      </c>
      <c r="I277" s="35" t="s">
        <v>231</v>
      </c>
      <c r="J277" s="133">
        <v>0</v>
      </c>
      <c r="K277" s="118" t="str">
        <f>IF(J277&gt;=1,"Yes","No")</f>
        <v>No</v>
      </c>
      <c r="L277" s="119">
        <v>1</v>
      </c>
      <c r="M277" s="120" t="str">
        <f>IF(L277&gt;=1,"Yes","No")</f>
        <v>Yes</v>
      </c>
      <c r="N277" s="121">
        <v>0</v>
      </c>
      <c r="O277" s="122" t="str">
        <f>IF(N277&gt;=1,"Yes","No")</f>
        <v>No</v>
      </c>
      <c r="P277" s="117">
        <v>0</v>
      </c>
      <c r="Q277" s="123" t="str">
        <f>IF(P277&gt;=1,"Yes","No")</f>
        <v>No</v>
      </c>
      <c r="R277" s="32">
        <v>1</v>
      </c>
      <c r="S277" s="32">
        <v>1</v>
      </c>
      <c r="T277" s="32">
        <v>0</v>
      </c>
      <c r="U277" s="32"/>
      <c r="V277" s="32"/>
    </row>
    <row r="278" spans="1:22" ht="15" thickBot="1" x14ac:dyDescent="0.35">
      <c r="A278" s="89">
        <v>38</v>
      </c>
      <c r="B278" s="124">
        <v>6</v>
      </c>
      <c r="C278" s="19">
        <v>1</v>
      </c>
      <c r="D278" s="19" t="s">
        <v>22</v>
      </c>
      <c r="E278" s="19">
        <v>0</v>
      </c>
      <c r="F278" s="19">
        <v>1</v>
      </c>
      <c r="G278" s="43"/>
      <c r="H278" s="43" t="s">
        <v>153</v>
      </c>
      <c r="I278" s="116" t="s">
        <v>231</v>
      </c>
      <c r="J278" s="126">
        <v>0</v>
      </c>
      <c r="K278" s="127" t="str">
        <f>IF(J278&gt;=1,"Yes","No")</f>
        <v>No</v>
      </c>
      <c r="L278" s="128">
        <v>1</v>
      </c>
      <c r="M278" s="129" t="str">
        <f>IF(L278&gt;=1,"Yes","No")</f>
        <v>Yes</v>
      </c>
      <c r="N278" s="130">
        <v>0</v>
      </c>
      <c r="O278" s="131" t="str">
        <f>IF(N278&gt;=1,"Yes","No")</f>
        <v>No</v>
      </c>
      <c r="P278" s="126">
        <v>0</v>
      </c>
      <c r="Q278" s="132" t="str">
        <f>IF(P278&gt;=1,"Yes","No")</f>
        <v>No</v>
      </c>
      <c r="R278" s="19">
        <v>1</v>
      </c>
      <c r="S278" s="19">
        <v>1</v>
      </c>
      <c r="T278" s="19">
        <v>0</v>
      </c>
      <c r="U278" s="19"/>
      <c r="V278" s="19"/>
    </row>
    <row r="279" spans="1:22" ht="15" thickTop="1" x14ac:dyDescent="0.3">
      <c r="A279" s="89">
        <v>39</v>
      </c>
      <c r="B279" s="106">
        <v>1</v>
      </c>
      <c r="C279" s="9">
        <v>1</v>
      </c>
      <c r="D279" s="9" t="s">
        <v>22</v>
      </c>
      <c r="E279" s="9">
        <v>0</v>
      </c>
      <c r="F279" s="9">
        <v>1</v>
      </c>
      <c r="G279" s="28"/>
      <c r="H279" s="28" t="s">
        <v>153</v>
      </c>
      <c r="I279" s="107" t="s">
        <v>231</v>
      </c>
      <c r="J279" s="108">
        <v>0</v>
      </c>
      <c r="K279" s="109" t="str">
        <f>IF(J279&gt;=1,"Yes","No")</f>
        <v>No</v>
      </c>
      <c r="L279" s="110">
        <v>1</v>
      </c>
      <c r="M279" s="111" t="str">
        <f>IF(L279&gt;=1,"Yes","No")</f>
        <v>Yes</v>
      </c>
      <c r="N279" s="112">
        <v>0</v>
      </c>
      <c r="O279" s="113" t="str">
        <f>IF(N279&gt;=1,"Yes","No")</f>
        <v>No</v>
      </c>
      <c r="P279" s="108">
        <v>0</v>
      </c>
      <c r="Q279" s="114" t="str">
        <f>IF(P279&gt;=1,"Yes","No")</f>
        <v>No</v>
      </c>
      <c r="R279" s="9">
        <v>1</v>
      </c>
      <c r="S279" s="9">
        <v>1</v>
      </c>
      <c r="T279" s="9">
        <v>0</v>
      </c>
      <c r="U279" s="9"/>
      <c r="V279" s="9"/>
    </row>
    <row r="280" spans="1:22" x14ac:dyDescent="0.3">
      <c r="A280" s="89">
        <v>39</v>
      </c>
      <c r="B280" s="115">
        <v>2</v>
      </c>
      <c r="C280" s="32">
        <v>1</v>
      </c>
      <c r="D280" s="32" t="s">
        <v>22</v>
      </c>
      <c r="E280" s="32">
        <v>0</v>
      </c>
      <c r="F280" s="32">
        <v>1</v>
      </c>
      <c r="G280" s="34"/>
      <c r="H280" s="34" t="s">
        <v>153</v>
      </c>
      <c r="I280" s="35" t="s">
        <v>231</v>
      </c>
      <c r="J280" s="133">
        <v>0</v>
      </c>
      <c r="K280" s="118" t="str">
        <f>IF(J280&gt;=1,"Yes","No")</f>
        <v>No</v>
      </c>
      <c r="L280" s="119">
        <v>1</v>
      </c>
      <c r="M280" s="120" t="str">
        <f>IF(L280&gt;=1,"Yes","No")</f>
        <v>Yes</v>
      </c>
      <c r="N280" s="121">
        <v>0</v>
      </c>
      <c r="O280" s="122" t="str">
        <f>IF(N280&gt;=1,"Yes","No")</f>
        <v>No</v>
      </c>
      <c r="P280" s="117">
        <v>0</v>
      </c>
      <c r="Q280" s="123" t="str">
        <f>IF(P280&gt;=1,"Yes","No")</f>
        <v>No</v>
      </c>
      <c r="R280" s="32">
        <v>1</v>
      </c>
      <c r="S280" s="32">
        <v>1</v>
      </c>
      <c r="T280" s="32">
        <v>0</v>
      </c>
      <c r="U280" s="32"/>
      <c r="V280" s="32"/>
    </row>
    <row r="281" spans="1:22" x14ac:dyDescent="0.3">
      <c r="A281" s="89">
        <v>39</v>
      </c>
      <c r="B281" s="115">
        <v>3</v>
      </c>
      <c r="C281" s="32">
        <v>1</v>
      </c>
      <c r="D281" s="32" t="s">
        <v>22</v>
      </c>
      <c r="E281" s="32">
        <v>0</v>
      </c>
      <c r="F281" s="32">
        <v>1</v>
      </c>
      <c r="G281" s="34"/>
      <c r="H281" s="34" t="s">
        <v>153</v>
      </c>
      <c r="I281" s="35" t="s">
        <v>231</v>
      </c>
      <c r="J281" s="133">
        <v>0</v>
      </c>
      <c r="K281" s="118" t="str">
        <f>IF(J281&gt;=1,"Yes","No")</f>
        <v>No</v>
      </c>
      <c r="L281" s="119">
        <v>1</v>
      </c>
      <c r="M281" s="120" t="str">
        <f>IF(L281&gt;=1,"Yes","No")</f>
        <v>Yes</v>
      </c>
      <c r="N281" s="121">
        <v>0</v>
      </c>
      <c r="O281" s="122" t="str">
        <f>IF(N281&gt;=1,"Yes","No")</f>
        <v>No</v>
      </c>
      <c r="P281" s="117">
        <v>0</v>
      </c>
      <c r="Q281" s="123" t="str">
        <f>IF(P281&gt;=1,"Yes","No")</f>
        <v>No</v>
      </c>
      <c r="R281" s="32">
        <v>1</v>
      </c>
      <c r="S281" s="32">
        <v>1</v>
      </c>
      <c r="T281" s="32">
        <v>0</v>
      </c>
      <c r="U281" s="32"/>
      <c r="V281" s="32"/>
    </row>
    <row r="282" spans="1:22" x14ac:dyDescent="0.3">
      <c r="A282" s="89">
        <v>39</v>
      </c>
      <c r="B282" s="115">
        <v>4</v>
      </c>
      <c r="C282" s="32">
        <v>1</v>
      </c>
      <c r="D282" s="32" t="s">
        <v>22</v>
      </c>
      <c r="E282" s="32">
        <v>0</v>
      </c>
      <c r="F282" s="32">
        <v>1</v>
      </c>
      <c r="G282" s="34"/>
      <c r="H282" s="34" t="s">
        <v>153</v>
      </c>
      <c r="I282" s="35" t="s">
        <v>231</v>
      </c>
      <c r="J282" s="133">
        <v>0</v>
      </c>
      <c r="K282" s="118" t="str">
        <f>IF(J282&gt;=1,"Yes","No")</f>
        <v>No</v>
      </c>
      <c r="L282" s="119">
        <v>1</v>
      </c>
      <c r="M282" s="120" t="str">
        <f>IF(L282&gt;=1,"Yes","No")</f>
        <v>Yes</v>
      </c>
      <c r="N282" s="121">
        <v>0</v>
      </c>
      <c r="O282" s="122" t="str">
        <f>IF(N282&gt;=1,"Yes","No")</f>
        <v>No</v>
      </c>
      <c r="P282" s="117">
        <v>0</v>
      </c>
      <c r="Q282" s="123" t="str">
        <f>IF(P282&gt;=1,"Yes","No")</f>
        <v>No</v>
      </c>
      <c r="R282" s="32">
        <v>1</v>
      </c>
      <c r="S282" s="32">
        <v>1</v>
      </c>
      <c r="T282" s="32">
        <v>0</v>
      </c>
      <c r="U282" s="32"/>
      <c r="V282" s="32"/>
    </row>
    <row r="283" spans="1:22" x14ac:dyDescent="0.3">
      <c r="A283" s="89">
        <v>39</v>
      </c>
      <c r="B283" s="115">
        <v>5</v>
      </c>
      <c r="C283" s="32">
        <v>1</v>
      </c>
      <c r="D283" s="32" t="s">
        <v>22</v>
      </c>
      <c r="E283" s="32">
        <v>0</v>
      </c>
      <c r="F283" s="32">
        <v>1</v>
      </c>
      <c r="G283" s="34"/>
      <c r="H283" s="34" t="s">
        <v>153</v>
      </c>
      <c r="I283" s="35" t="s">
        <v>231</v>
      </c>
      <c r="J283" s="133">
        <v>0</v>
      </c>
      <c r="K283" s="118" t="str">
        <f>IF(J283&gt;=1,"Yes","No")</f>
        <v>No</v>
      </c>
      <c r="L283" s="119">
        <v>1</v>
      </c>
      <c r="M283" s="120" t="str">
        <f>IF(L283&gt;=1,"Yes","No")</f>
        <v>Yes</v>
      </c>
      <c r="N283" s="121">
        <v>0</v>
      </c>
      <c r="O283" s="122" t="str">
        <f>IF(N283&gt;=1,"Yes","No")</f>
        <v>No</v>
      </c>
      <c r="P283" s="117">
        <v>0</v>
      </c>
      <c r="Q283" s="123" t="str">
        <f>IF(P283&gt;=1,"Yes","No")</f>
        <v>No</v>
      </c>
      <c r="R283" s="32">
        <v>1</v>
      </c>
      <c r="S283" s="32">
        <v>1</v>
      </c>
      <c r="T283" s="32">
        <v>0</v>
      </c>
      <c r="U283" s="32"/>
      <c r="V283" s="32"/>
    </row>
    <row r="284" spans="1:22" ht="15" thickBot="1" x14ac:dyDescent="0.35">
      <c r="A284" s="89">
        <v>39</v>
      </c>
      <c r="B284" s="124">
        <v>6</v>
      </c>
      <c r="C284" s="19">
        <v>1</v>
      </c>
      <c r="D284" s="19" t="s">
        <v>22</v>
      </c>
      <c r="E284" s="19">
        <v>0</v>
      </c>
      <c r="F284" s="19">
        <v>1</v>
      </c>
      <c r="G284" s="43"/>
      <c r="H284" s="43" t="s">
        <v>153</v>
      </c>
      <c r="I284" s="161" t="s">
        <v>231</v>
      </c>
      <c r="J284" s="126">
        <v>0</v>
      </c>
      <c r="K284" s="127" t="str">
        <f>IF(J284&gt;=1,"Yes","No")</f>
        <v>No</v>
      </c>
      <c r="L284" s="128">
        <v>1</v>
      </c>
      <c r="M284" s="129" t="str">
        <f>IF(L284&gt;=1,"Yes","No")</f>
        <v>Yes</v>
      </c>
      <c r="N284" s="130">
        <v>0</v>
      </c>
      <c r="O284" s="131" t="str">
        <f>IF(N284&gt;=1,"Yes","No")</f>
        <v>No</v>
      </c>
      <c r="P284" s="126">
        <v>0</v>
      </c>
      <c r="Q284" s="132" t="str">
        <f>IF(P284&gt;=1,"Yes","No")</f>
        <v>No</v>
      </c>
      <c r="R284" s="19">
        <v>1</v>
      </c>
      <c r="S284" s="19">
        <v>1</v>
      </c>
      <c r="T284" s="19">
        <v>0</v>
      </c>
      <c r="U284" s="19"/>
      <c r="V284" s="19"/>
    </row>
    <row r="285" spans="1:22" ht="15" thickTop="1" x14ac:dyDescent="0.3">
      <c r="A285" s="89">
        <v>40</v>
      </c>
      <c r="B285" s="106">
        <v>1</v>
      </c>
      <c r="C285" s="9">
        <v>1</v>
      </c>
      <c r="D285" s="9" t="s">
        <v>22</v>
      </c>
      <c r="E285" s="9">
        <v>0</v>
      </c>
      <c r="F285" s="9">
        <v>1</v>
      </c>
      <c r="G285" s="28" t="s">
        <v>27</v>
      </c>
      <c r="H285" s="28"/>
      <c r="I285" s="107" t="s">
        <v>314</v>
      </c>
      <c r="J285" s="108">
        <v>0</v>
      </c>
      <c r="K285" s="109" t="str">
        <f>IF(J285&gt;=1,"Yes","No")</f>
        <v>No</v>
      </c>
      <c r="L285" s="110">
        <v>1</v>
      </c>
      <c r="M285" s="111" t="str">
        <f>IF(L285&gt;=1,"Yes","No")</f>
        <v>Yes</v>
      </c>
      <c r="N285" s="112">
        <v>0</v>
      </c>
      <c r="O285" s="113" t="str">
        <f>IF(N285&gt;=1,"Yes","No")</f>
        <v>No</v>
      </c>
      <c r="P285" s="108">
        <v>0</v>
      </c>
      <c r="Q285" s="114" t="str">
        <f>IF(P285&gt;=1,"Yes","No")</f>
        <v>No</v>
      </c>
      <c r="R285" s="9">
        <v>1</v>
      </c>
      <c r="S285" s="9">
        <v>1</v>
      </c>
      <c r="T285" s="9">
        <v>0</v>
      </c>
      <c r="U285" s="9"/>
      <c r="V285" s="9"/>
    </row>
    <row r="286" spans="1:22" x14ac:dyDescent="0.3">
      <c r="A286" s="89">
        <v>40</v>
      </c>
      <c r="B286" s="115">
        <v>2</v>
      </c>
      <c r="C286" s="32">
        <v>1</v>
      </c>
      <c r="D286" s="32" t="s">
        <v>22</v>
      </c>
      <c r="E286" s="32">
        <v>0</v>
      </c>
      <c r="F286" s="162">
        <v>1</v>
      </c>
      <c r="G286" s="90" t="s">
        <v>27</v>
      </c>
      <c r="H286" s="163"/>
      <c r="I286" s="35" t="s">
        <v>314</v>
      </c>
      <c r="J286" s="133">
        <v>0</v>
      </c>
      <c r="K286" s="118" t="str">
        <f>IF(J286&gt;=1,"Yes","No")</f>
        <v>No</v>
      </c>
      <c r="L286" s="119">
        <v>1</v>
      </c>
      <c r="M286" s="120" t="str">
        <f>IF(L286&gt;=1,"Yes","No")</f>
        <v>Yes</v>
      </c>
      <c r="N286" s="121">
        <v>0</v>
      </c>
      <c r="O286" s="122" t="str">
        <f>IF(N286&gt;=1,"Yes","No")</f>
        <v>No</v>
      </c>
      <c r="P286" s="117">
        <v>0</v>
      </c>
      <c r="Q286" s="123" t="str">
        <f>IF(P286&gt;=1,"Yes","No")</f>
        <v>No</v>
      </c>
      <c r="R286" s="32">
        <v>1</v>
      </c>
      <c r="S286" s="32">
        <v>1</v>
      </c>
      <c r="T286" s="32">
        <v>0</v>
      </c>
      <c r="U286" s="32"/>
      <c r="V286" s="32"/>
    </row>
    <row r="287" spans="1:22" x14ac:dyDescent="0.3">
      <c r="A287" s="89">
        <v>40</v>
      </c>
      <c r="B287" s="115">
        <v>3</v>
      </c>
      <c r="C287" s="32">
        <v>1</v>
      </c>
      <c r="D287" s="32" t="s">
        <v>22</v>
      </c>
      <c r="E287" s="32">
        <v>0</v>
      </c>
      <c r="F287" s="162">
        <v>1</v>
      </c>
      <c r="G287" s="90" t="s">
        <v>27</v>
      </c>
      <c r="H287" s="163"/>
      <c r="I287" s="35" t="s">
        <v>314</v>
      </c>
      <c r="J287" s="133">
        <v>0</v>
      </c>
      <c r="K287" s="118" t="str">
        <f>IF(J287&gt;=1,"Yes","No")</f>
        <v>No</v>
      </c>
      <c r="L287" s="119">
        <v>1</v>
      </c>
      <c r="M287" s="120" t="str">
        <f>IF(L287&gt;=1,"Yes","No")</f>
        <v>Yes</v>
      </c>
      <c r="N287" s="121">
        <v>0</v>
      </c>
      <c r="O287" s="122" t="str">
        <f>IF(N287&gt;=1,"Yes","No")</f>
        <v>No</v>
      </c>
      <c r="P287" s="117">
        <v>0</v>
      </c>
      <c r="Q287" s="123" t="str">
        <f>IF(P287&gt;=1,"Yes","No")</f>
        <v>No</v>
      </c>
      <c r="R287" s="32">
        <v>1</v>
      </c>
      <c r="S287" s="32">
        <v>1</v>
      </c>
      <c r="T287" s="32">
        <v>0</v>
      </c>
      <c r="U287" s="32"/>
      <c r="V287" s="32"/>
    </row>
    <row r="288" spans="1:22" x14ac:dyDescent="0.3">
      <c r="A288" s="89">
        <v>40</v>
      </c>
      <c r="B288" s="115">
        <v>4</v>
      </c>
      <c r="C288" s="32">
        <v>1</v>
      </c>
      <c r="D288" s="32" t="s">
        <v>22</v>
      </c>
      <c r="E288" s="32">
        <v>0</v>
      </c>
      <c r="F288" s="162">
        <v>1</v>
      </c>
      <c r="G288" s="90" t="s">
        <v>27</v>
      </c>
      <c r="H288" s="163"/>
      <c r="I288" s="35" t="s">
        <v>314</v>
      </c>
      <c r="J288" s="133">
        <v>0</v>
      </c>
      <c r="K288" s="118" t="str">
        <f>IF(J288&gt;=1,"Yes","No")</f>
        <v>No</v>
      </c>
      <c r="L288" s="119">
        <v>1</v>
      </c>
      <c r="M288" s="120" t="str">
        <f>IF(L288&gt;=1,"Yes","No")</f>
        <v>Yes</v>
      </c>
      <c r="N288" s="121">
        <v>0</v>
      </c>
      <c r="O288" s="122" t="str">
        <f>IF(N288&gt;=1,"Yes","No")</f>
        <v>No</v>
      </c>
      <c r="P288" s="117">
        <v>0</v>
      </c>
      <c r="Q288" s="123" t="str">
        <f>IF(P288&gt;=1,"Yes","No")</f>
        <v>No</v>
      </c>
      <c r="R288" s="32">
        <v>1</v>
      </c>
      <c r="S288" s="32">
        <v>1</v>
      </c>
      <c r="T288" s="32">
        <v>0</v>
      </c>
      <c r="U288" s="32"/>
      <c r="V288" s="32"/>
    </row>
    <row r="289" spans="1:22" x14ac:dyDescent="0.3">
      <c r="A289" s="89">
        <v>40</v>
      </c>
      <c r="B289" s="115">
        <v>5</v>
      </c>
      <c r="C289" s="32">
        <v>1</v>
      </c>
      <c r="D289" s="32" t="s">
        <v>22</v>
      </c>
      <c r="E289" s="32">
        <v>0</v>
      </c>
      <c r="F289" s="162">
        <v>1</v>
      </c>
      <c r="G289" s="90" t="s">
        <v>27</v>
      </c>
      <c r="H289" s="163"/>
      <c r="I289" s="35" t="s">
        <v>314</v>
      </c>
      <c r="J289" s="133">
        <v>0</v>
      </c>
      <c r="K289" s="118" t="str">
        <f>IF(J289&gt;=1,"Yes","No")</f>
        <v>No</v>
      </c>
      <c r="L289" s="119">
        <v>1</v>
      </c>
      <c r="M289" s="120" t="str">
        <f>IF(L289&gt;=1,"Yes","No")</f>
        <v>Yes</v>
      </c>
      <c r="N289" s="121">
        <v>0</v>
      </c>
      <c r="O289" s="122" t="str">
        <f>IF(N289&gt;=1,"Yes","No")</f>
        <v>No</v>
      </c>
      <c r="P289" s="117">
        <v>0</v>
      </c>
      <c r="Q289" s="123" t="str">
        <f>IF(P289&gt;=1,"Yes","No")</f>
        <v>No</v>
      </c>
      <c r="R289" s="32">
        <v>1</v>
      </c>
      <c r="S289" s="32">
        <v>1</v>
      </c>
      <c r="T289" s="32">
        <v>0</v>
      </c>
      <c r="U289" s="32"/>
      <c r="V289" s="32"/>
    </row>
    <row r="290" spans="1:22" ht="15" thickBot="1" x14ac:dyDescent="0.35">
      <c r="A290" s="89">
        <v>40</v>
      </c>
      <c r="B290" s="124">
        <v>6</v>
      </c>
      <c r="C290" s="19">
        <v>1</v>
      </c>
      <c r="D290" s="19" t="s">
        <v>22</v>
      </c>
      <c r="E290" s="19">
        <v>0</v>
      </c>
      <c r="F290" s="19">
        <v>1</v>
      </c>
      <c r="G290" s="65" t="s">
        <v>27</v>
      </c>
      <c r="H290" s="43"/>
      <c r="I290" s="161" t="s">
        <v>314</v>
      </c>
      <c r="J290" s="126">
        <v>0</v>
      </c>
      <c r="K290" s="127" t="str">
        <f>IF(J290&gt;=1,"Yes","No")</f>
        <v>No</v>
      </c>
      <c r="L290" s="128">
        <v>1</v>
      </c>
      <c r="M290" s="129" t="str">
        <f>IF(L290&gt;=1,"Yes","No")</f>
        <v>Yes</v>
      </c>
      <c r="N290" s="130">
        <v>0</v>
      </c>
      <c r="O290" s="131" t="str">
        <f>IF(N290&gt;=1,"Yes","No")</f>
        <v>No</v>
      </c>
      <c r="P290" s="126">
        <v>0</v>
      </c>
      <c r="Q290" s="132" t="str">
        <f>IF(P290&gt;=1,"Yes","No")</f>
        <v>No</v>
      </c>
      <c r="R290" s="19">
        <v>1</v>
      </c>
      <c r="S290" s="19">
        <v>1</v>
      </c>
      <c r="T290" s="19">
        <v>0</v>
      </c>
      <c r="U290" s="19"/>
      <c r="V290" s="19"/>
    </row>
    <row r="291" spans="1:22" ht="15" thickTop="1" x14ac:dyDescent="0.3">
      <c r="A291" s="89">
        <v>41</v>
      </c>
      <c r="B291" s="106">
        <v>1</v>
      </c>
      <c r="C291" s="9">
        <v>1</v>
      </c>
      <c r="D291" s="9" t="s">
        <v>22</v>
      </c>
      <c r="E291" s="9">
        <v>0</v>
      </c>
      <c r="F291" s="9">
        <v>1</v>
      </c>
      <c r="G291" s="28" t="s">
        <v>27</v>
      </c>
      <c r="H291" s="28"/>
      <c r="I291" s="107" t="s">
        <v>314</v>
      </c>
      <c r="J291" s="108">
        <v>0</v>
      </c>
      <c r="K291" s="109" t="str">
        <f>IF(J291&gt;=1,"Yes","No")</f>
        <v>No</v>
      </c>
      <c r="L291" s="110">
        <v>1</v>
      </c>
      <c r="M291" s="111" t="str">
        <f>IF(L291&gt;=1,"Yes","No")</f>
        <v>Yes</v>
      </c>
      <c r="N291" s="112">
        <v>0</v>
      </c>
      <c r="O291" s="113" t="str">
        <f>IF(N291&gt;=1,"Yes","No")</f>
        <v>No</v>
      </c>
      <c r="P291" s="108">
        <v>0</v>
      </c>
      <c r="Q291" s="114" t="str">
        <f>IF(P291&gt;=1,"Yes","No")</f>
        <v>No</v>
      </c>
      <c r="R291" s="9">
        <v>1</v>
      </c>
      <c r="S291" s="9">
        <v>1</v>
      </c>
      <c r="T291" s="9">
        <v>0</v>
      </c>
      <c r="U291" s="9"/>
      <c r="V291" s="9"/>
    </row>
    <row r="292" spans="1:22" x14ac:dyDescent="0.3">
      <c r="A292" s="89">
        <v>41</v>
      </c>
      <c r="B292" s="115">
        <v>2</v>
      </c>
      <c r="C292" s="32">
        <v>1</v>
      </c>
      <c r="D292" s="32" t="s">
        <v>22</v>
      </c>
      <c r="E292" s="32">
        <v>0</v>
      </c>
      <c r="F292" s="32">
        <v>1</v>
      </c>
      <c r="G292" s="90" t="s">
        <v>27</v>
      </c>
      <c r="H292" s="34"/>
      <c r="I292" s="35" t="s">
        <v>314</v>
      </c>
      <c r="J292" s="133">
        <v>0</v>
      </c>
      <c r="K292" s="118" t="str">
        <f>IF(J292&gt;=1,"Yes","No")</f>
        <v>No</v>
      </c>
      <c r="L292" s="119">
        <v>1</v>
      </c>
      <c r="M292" s="120" t="str">
        <f>IF(L292&gt;=1,"Yes","No")</f>
        <v>Yes</v>
      </c>
      <c r="N292" s="121">
        <v>0</v>
      </c>
      <c r="O292" s="122" t="str">
        <f>IF(N292&gt;=1,"Yes","No")</f>
        <v>No</v>
      </c>
      <c r="P292" s="117">
        <v>0</v>
      </c>
      <c r="Q292" s="123" t="str">
        <f>IF(P292&gt;=1,"Yes","No")</f>
        <v>No</v>
      </c>
      <c r="R292" s="32">
        <v>1</v>
      </c>
      <c r="S292" s="32">
        <v>1</v>
      </c>
      <c r="T292" s="32">
        <v>0</v>
      </c>
      <c r="U292" s="32"/>
      <c r="V292" s="32"/>
    </row>
    <row r="293" spans="1:22" x14ac:dyDescent="0.3">
      <c r="A293" s="89">
        <v>41</v>
      </c>
      <c r="B293" s="115">
        <v>3</v>
      </c>
      <c r="C293" s="32">
        <v>1</v>
      </c>
      <c r="D293" s="32" t="s">
        <v>22</v>
      </c>
      <c r="E293" s="32">
        <v>0</v>
      </c>
      <c r="F293" s="32">
        <v>1</v>
      </c>
      <c r="G293" s="90" t="s">
        <v>27</v>
      </c>
      <c r="H293" s="34"/>
      <c r="I293" s="35" t="s">
        <v>314</v>
      </c>
      <c r="J293" s="133">
        <v>0</v>
      </c>
      <c r="K293" s="118" t="str">
        <f>IF(J293&gt;=1,"Yes","No")</f>
        <v>No</v>
      </c>
      <c r="L293" s="119">
        <v>1</v>
      </c>
      <c r="M293" s="120" t="str">
        <f>IF(L293&gt;=1,"Yes","No")</f>
        <v>Yes</v>
      </c>
      <c r="N293" s="121">
        <v>0</v>
      </c>
      <c r="O293" s="122" t="str">
        <f>IF(N293&gt;=1,"Yes","No")</f>
        <v>No</v>
      </c>
      <c r="P293" s="117">
        <v>0</v>
      </c>
      <c r="Q293" s="123" t="str">
        <f>IF(P293&gt;=1,"Yes","No")</f>
        <v>No</v>
      </c>
      <c r="R293" s="32">
        <v>1</v>
      </c>
      <c r="S293" s="32">
        <v>1</v>
      </c>
      <c r="T293" s="32">
        <v>0</v>
      </c>
      <c r="U293" s="32"/>
      <c r="V293" s="32"/>
    </row>
    <row r="294" spans="1:22" x14ac:dyDescent="0.3">
      <c r="A294" s="89">
        <v>41</v>
      </c>
      <c r="B294" s="115">
        <v>4</v>
      </c>
      <c r="C294" s="32">
        <v>1</v>
      </c>
      <c r="D294" s="32" t="s">
        <v>22</v>
      </c>
      <c r="E294" s="32">
        <v>0</v>
      </c>
      <c r="F294" s="32">
        <v>1</v>
      </c>
      <c r="G294" s="90" t="s">
        <v>27</v>
      </c>
      <c r="H294" s="34"/>
      <c r="I294" s="35" t="s">
        <v>314</v>
      </c>
      <c r="J294" s="133">
        <v>0</v>
      </c>
      <c r="K294" s="118" t="str">
        <f>IF(J294&gt;=1,"Yes","No")</f>
        <v>No</v>
      </c>
      <c r="L294" s="119">
        <v>1</v>
      </c>
      <c r="M294" s="120" t="str">
        <f>IF(L294&gt;=1,"Yes","No")</f>
        <v>Yes</v>
      </c>
      <c r="N294" s="121">
        <v>0</v>
      </c>
      <c r="O294" s="122" t="str">
        <f>IF(N294&gt;=1,"Yes","No")</f>
        <v>No</v>
      </c>
      <c r="P294" s="117">
        <v>0</v>
      </c>
      <c r="Q294" s="123" t="str">
        <f>IF(P294&gt;=1,"Yes","No")</f>
        <v>No</v>
      </c>
      <c r="R294" s="32">
        <v>1</v>
      </c>
      <c r="S294" s="32">
        <v>1</v>
      </c>
      <c r="T294" s="32">
        <v>0</v>
      </c>
      <c r="U294" s="32"/>
      <c r="V294" s="32"/>
    </row>
    <row r="295" spans="1:22" x14ac:dyDescent="0.3">
      <c r="A295" s="89">
        <v>41</v>
      </c>
      <c r="B295" s="115">
        <v>5</v>
      </c>
      <c r="C295" s="32">
        <v>1</v>
      </c>
      <c r="D295" s="32" t="s">
        <v>22</v>
      </c>
      <c r="E295" s="32">
        <v>0</v>
      </c>
      <c r="F295" s="32">
        <v>1</v>
      </c>
      <c r="G295" s="90" t="s">
        <v>27</v>
      </c>
      <c r="H295" s="34"/>
      <c r="I295" s="35" t="s">
        <v>314</v>
      </c>
      <c r="J295" s="133">
        <v>0</v>
      </c>
      <c r="K295" s="118" t="str">
        <f>IF(J295&gt;=1,"Yes","No")</f>
        <v>No</v>
      </c>
      <c r="L295" s="119">
        <v>1</v>
      </c>
      <c r="M295" s="120" t="str">
        <f>IF(L295&gt;=1,"Yes","No")</f>
        <v>Yes</v>
      </c>
      <c r="N295" s="121">
        <v>0</v>
      </c>
      <c r="O295" s="122" t="str">
        <f>IF(N295&gt;=1,"Yes","No")</f>
        <v>No</v>
      </c>
      <c r="P295" s="117">
        <v>0</v>
      </c>
      <c r="Q295" s="123" t="str">
        <f>IF(P295&gt;=1,"Yes","No")</f>
        <v>No</v>
      </c>
      <c r="R295" s="32">
        <v>1</v>
      </c>
      <c r="S295" s="32">
        <v>1</v>
      </c>
      <c r="T295" s="32">
        <v>0</v>
      </c>
      <c r="U295" s="32"/>
      <c r="V295" s="32"/>
    </row>
    <row r="296" spans="1:22" ht="15" thickBot="1" x14ac:dyDescent="0.35">
      <c r="A296" s="89">
        <v>41</v>
      </c>
      <c r="B296" s="124">
        <v>6</v>
      </c>
      <c r="C296" s="19">
        <v>1</v>
      </c>
      <c r="D296" s="19" t="s">
        <v>22</v>
      </c>
      <c r="E296" s="19">
        <v>0</v>
      </c>
      <c r="F296" s="19">
        <v>1</v>
      </c>
      <c r="G296" s="43" t="s">
        <v>315</v>
      </c>
      <c r="H296" s="43"/>
      <c r="I296" s="161" t="s">
        <v>314</v>
      </c>
      <c r="J296" s="126">
        <v>0</v>
      </c>
      <c r="K296" s="127" t="str">
        <f>IF(J296&gt;=1,"Yes","No")</f>
        <v>No</v>
      </c>
      <c r="L296" s="128">
        <v>1</v>
      </c>
      <c r="M296" s="129" t="str">
        <f>IF(L296&gt;=1,"Yes","No")</f>
        <v>Yes</v>
      </c>
      <c r="N296" s="130">
        <v>0</v>
      </c>
      <c r="O296" s="131" t="str">
        <f>IF(N296&gt;=1,"Yes","No")</f>
        <v>No</v>
      </c>
      <c r="P296" s="126">
        <v>0</v>
      </c>
      <c r="Q296" s="132" t="str">
        <f>IF(P296&gt;=1,"Yes","No")</f>
        <v>No</v>
      </c>
      <c r="R296" s="19">
        <v>1</v>
      </c>
      <c r="S296" s="19">
        <v>1</v>
      </c>
      <c r="T296" s="19">
        <v>0</v>
      </c>
      <c r="U296" s="19"/>
      <c r="V296" s="19"/>
    </row>
    <row r="297" spans="1:22" ht="15" thickTop="1" x14ac:dyDescent="0.3"/>
  </sheetData>
  <conditionalFormatting sqref="U164:U171">
    <cfRule type="duplicateValues" dxfId="3" priority="5"/>
  </conditionalFormatting>
  <conditionalFormatting sqref="V164:V171">
    <cfRule type="duplicateValues" dxfId="2" priority="4"/>
  </conditionalFormatting>
  <conditionalFormatting sqref="U156:U163">
    <cfRule type="duplicateValues" dxfId="1" priority="3"/>
  </conditionalFormatting>
  <conditionalFormatting sqref="V156:V16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Hanon Systems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Thang Nguyen</dc:creator>
  <cp:lastModifiedBy>Quang Thang Nguyen</cp:lastModifiedBy>
  <dcterms:created xsi:type="dcterms:W3CDTF">2024-05-02T18:33:16Z</dcterms:created>
  <dcterms:modified xsi:type="dcterms:W3CDTF">2024-05-02T18:47:43Z</dcterms:modified>
</cp:coreProperties>
</file>