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1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hanonsystems.sharepoint.com/sites/GVVConcordTestControls/Shared Documents/General/"/>
    </mc:Choice>
  </mc:AlternateContent>
  <xr:revisionPtr revIDLastSave="3" documentId="11_F75E8494376EBBCE8EFDF5A61DF9ABDFC8660967" xr6:coauthVersionLast="47" xr6:coauthVersionMax="47" xr10:uidLastSave="{F314559E-2703-48A5-A13D-4B2F32A10258}"/>
  <bookViews>
    <workbookView xWindow="240" yWindow="108" windowWidth="14808" windowHeight="8016" firstSheet="7" activeTab="7" xr2:uid="{00000000-000D-0000-FFFF-FFFF00000000}"/>
  </bookViews>
  <sheets>
    <sheet name="Instructions" sheetId="8" r:id="rId1"/>
    <sheet name="OP Barcode Template" sheetId="3" r:id="rId2"/>
    <sheet name="eCL" sheetId="2" r:id="rId3"/>
    <sheet name="PHEV PWM" sheetId="4" r:id="rId4"/>
    <sheet name="PHEV LIN" sheetId="5" r:id="rId5"/>
    <sheet name="10R PWM" sheetId="6" r:id="rId6"/>
    <sheet name="10R LIN" sheetId="7" r:id="rId7"/>
    <sheet name="Ford 1T50 LIN" sheetId="9" r:id="rId8"/>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2" i="9" l="1"/>
  <c r="C74" i="9"/>
  <c r="C76" i="9"/>
  <c r="C70" i="9"/>
  <c r="B73" i="9"/>
  <c r="B71" i="9"/>
  <c r="B75" i="9"/>
  <c r="B69" i="9"/>
  <c r="C75" i="9" l="1"/>
  <c r="C71" i="9"/>
  <c r="C73" i="9"/>
  <c r="C69" i="9"/>
  <c r="C68" i="9"/>
  <c r="B67" i="9"/>
  <c r="C67" i="9" l="1"/>
  <c r="C66" i="9"/>
  <c r="B65" i="9"/>
  <c r="C65" i="9" l="1"/>
  <c r="C64" i="9"/>
  <c r="B63" i="9"/>
  <c r="C63" i="9" l="1"/>
  <c r="C62" i="9"/>
  <c r="B61" i="9"/>
  <c r="C61" i="9" l="1"/>
  <c r="C60" i="9"/>
  <c r="B59" i="9"/>
  <c r="C59" i="9" l="1"/>
  <c r="C58" i="9"/>
  <c r="B57" i="9"/>
  <c r="C57" i="9" l="1"/>
  <c r="C56" i="9"/>
  <c r="B55" i="9"/>
  <c r="C55" i="9" l="1"/>
  <c r="C54" i="9"/>
  <c r="B53" i="9"/>
  <c r="C53" i="9" l="1"/>
  <c r="C52" i="9"/>
  <c r="B51" i="9"/>
  <c r="C51" i="9" l="1"/>
  <c r="C50" i="9"/>
  <c r="B49" i="9"/>
  <c r="C49" i="9" l="1"/>
  <c r="C48" i="9"/>
  <c r="B47" i="9"/>
  <c r="C47" i="9" l="1"/>
  <c r="C46" i="9"/>
  <c r="B45" i="9"/>
  <c r="C45" i="9" l="1"/>
  <c r="C44" i="9"/>
  <c r="B43" i="9"/>
  <c r="C43" i="9" l="1"/>
  <c r="C42" i="9"/>
  <c r="B41" i="9"/>
  <c r="C41" i="9" l="1"/>
  <c r="C40" i="9"/>
  <c r="B39" i="9"/>
  <c r="C39" i="9" l="1"/>
  <c r="C38" i="9"/>
  <c r="B37" i="9"/>
  <c r="C37" i="9" l="1"/>
  <c r="C36" i="9"/>
  <c r="B35" i="9"/>
  <c r="C35" i="9" l="1"/>
  <c r="C34" i="9"/>
  <c r="B33" i="9"/>
  <c r="C33" i="9" l="1"/>
  <c r="C32" i="9"/>
  <c r="B31" i="9"/>
  <c r="C31" i="9" l="1"/>
  <c r="C30" i="9"/>
  <c r="B29" i="9"/>
  <c r="C29" i="9" l="1"/>
  <c r="C28" i="9"/>
  <c r="B27" i="9"/>
  <c r="C27" i="9" l="1"/>
  <c r="C8" i="9"/>
  <c r="C10" i="9"/>
  <c r="C12" i="9"/>
  <c r="C14" i="9"/>
  <c r="C16" i="9"/>
  <c r="C18" i="9"/>
  <c r="C20" i="9"/>
  <c r="C22" i="9"/>
  <c r="C24" i="9"/>
  <c r="C26" i="9"/>
  <c r="C6" i="9"/>
  <c r="B15" i="9"/>
  <c r="B21" i="9"/>
  <c r="B17" i="9"/>
  <c r="B7" i="9"/>
  <c r="B13" i="9"/>
  <c r="B11" i="9"/>
  <c r="B23" i="9"/>
  <c r="B19" i="9"/>
  <c r="B9" i="9"/>
  <c r="B25" i="9"/>
  <c r="B5" i="9"/>
  <c r="C25" i="9" l="1"/>
  <c r="C9" i="9"/>
  <c r="C19" i="9"/>
  <c r="C23" i="9"/>
  <c r="C11" i="9"/>
  <c r="C13" i="9"/>
  <c r="C7" i="9"/>
  <c r="C17" i="9"/>
  <c r="C21" i="9"/>
  <c r="C15" i="9"/>
  <c r="C5" i="9"/>
  <c r="C8" i="7"/>
  <c r="C10" i="7"/>
  <c r="C12" i="7"/>
  <c r="C14" i="7"/>
  <c r="C16" i="7"/>
  <c r="C6" i="7"/>
  <c r="C166" i="6"/>
  <c r="C168" i="6"/>
  <c r="C170" i="6"/>
  <c r="C172" i="6"/>
  <c r="C174" i="6"/>
  <c r="C176" i="6"/>
  <c r="C178" i="6"/>
  <c r="C180" i="6"/>
  <c r="C182" i="6"/>
  <c r="C184" i="6"/>
  <c r="C186" i="6"/>
  <c r="C188" i="6"/>
  <c r="C190" i="6"/>
  <c r="C192" i="6"/>
  <c r="C194" i="6"/>
  <c r="C196" i="6"/>
  <c r="C198" i="6"/>
  <c r="C200" i="6"/>
  <c r="C202" i="6"/>
  <c r="C204" i="6"/>
  <c r="C206" i="6"/>
  <c r="C208" i="6"/>
  <c r="C210" i="6"/>
  <c r="C212" i="6"/>
  <c r="C214" i="6"/>
  <c r="C8" i="6"/>
  <c r="C10" i="6"/>
  <c r="C12" i="6"/>
  <c r="C14" i="6"/>
  <c r="C16" i="6"/>
  <c r="C18" i="6"/>
  <c r="C20" i="6"/>
  <c r="C22" i="6"/>
  <c r="C24" i="6"/>
  <c r="C26" i="6"/>
  <c r="C28" i="6"/>
  <c r="C30" i="6"/>
  <c r="C32" i="6"/>
  <c r="C34" i="6"/>
  <c r="C36" i="6"/>
  <c r="C38" i="6"/>
  <c r="C40" i="6"/>
  <c r="C42" i="6"/>
  <c r="C44" i="6"/>
  <c r="C46" i="6"/>
  <c r="C48" i="6"/>
  <c r="C50" i="6"/>
  <c r="C52" i="6"/>
  <c r="C54" i="6"/>
  <c r="C56" i="6"/>
  <c r="C58" i="6"/>
  <c r="C60" i="6"/>
  <c r="C62" i="6"/>
  <c r="C64" i="6"/>
  <c r="C66" i="6"/>
  <c r="C68" i="6"/>
  <c r="C70" i="6"/>
  <c r="C72" i="6"/>
  <c r="C74" i="6"/>
  <c r="C76" i="6"/>
  <c r="C78" i="6"/>
  <c r="C80" i="6"/>
  <c r="C82" i="6"/>
  <c r="C84" i="6"/>
  <c r="C86" i="6"/>
  <c r="C88" i="6"/>
  <c r="C90" i="6"/>
  <c r="C92" i="6"/>
  <c r="C94" i="6"/>
  <c r="C96" i="6"/>
  <c r="C98" i="6"/>
  <c r="C100" i="6"/>
  <c r="C102" i="6"/>
  <c r="C104" i="6"/>
  <c r="C106" i="6"/>
  <c r="C108" i="6"/>
  <c r="C110" i="6"/>
  <c r="C112" i="6"/>
  <c r="C114" i="6"/>
  <c r="C116" i="6"/>
  <c r="C118" i="6"/>
  <c r="C120" i="6"/>
  <c r="C122" i="6"/>
  <c r="C124" i="6"/>
  <c r="C126" i="6"/>
  <c r="C128" i="6"/>
  <c r="C130" i="6"/>
  <c r="C132" i="6"/>
  <c r="C134" i="6"/>
  <c r="C136" i="6"/>
  <c r="C138" i="6"/>
  <c r="C140" i="6"/>
  <c r="C142" i="6"/>
  <c r="C144" i="6"/>
  <c r="C146" i="6"/>
  <c r="C148" i="6"/>
  <c r="C150" i="6"/>
  <c r="C152" i="6"/>
  <c r="C154" i="6"/>
  <c r="C156" i="6"/>
  <c r="C158" i="6"/>
  <c r="C160" i="6"/>
  <c r="C162" i="6"/>
  <c r="C164" i="6"/>
  <c r="C6" i="6"/>
  <c r="C30" i="5"/>
  <c r="C32" i="5"/>
  <c r="C34" i="5"/>
  <c r="C36" i="5"/>
  <c r="C38" i="5"/>
  <c r="C40" i="5"/>
  <c r="C42" i="5"/>
  <c r="C44" i="5"/>
  <c r="C46" i="5"/>
  <c r="C48" i="5"/>
  <c r="C50" i="5"/>
  <c r="C8" i="5"/>
  <c r="C10" i="5"/>
  <c r="C12" i="5"/>
  <c r="C14" i="5"/>
  <c r="C16" i="5"/>
  <c r="C18" i="5"/>
  <c r="C20" i="5"/>
  <c r="C22" i="5"/>
  <c r="C24" i="5"/>
  <c r="C26" i="5"/>
  <c r="C28" i="5"/>
  <c r="C6" i="5"/>
  <c r="C8" i="4"/>
  <c r="C10" i="4"/>
  <c r="C12" i="4"/>
  <c r="C14" i="4"/>
  <c r="C16" i="4"/>
  <c r="C18" i="4"/>
  <c r="C20" i="4"/>
  <c r="C22" i="4"/>
  <c r="C24" i="4"/>
  <c r="C26" i="4"/>
  <c r="C28" i="4"/>
  <c r="C30" i="4"/>
  <c r="C32" i="4"/>
  <c r="C6" i="4"/>
  <c r="C6" i="3"/>
  <c r="C62" i="2"/>
  <c r="C64" i="2"/>
  <c r="C34" i="2"/>
  <c r="C36" i="2"/>
  <c r="C38" i="2"/>
  <c r="C40" i="2"/>
  <c r="C42" i="2"/>
  <c r="C44" i="2"/>
  <c r="C46" i="2"/>
  <c r="C48" i="2"/>
  <c r="C50" i="2"/>
  <c r="C52" i="2"/>
  <c r="C54" i="2"/>
  <c r="C56" i="2"/>
  <c r="C58" i="2"/>
  <c r="C60" i="2"/>
  <c r="C8" i="2"/>
  <c r="C10" i="2"/>
  <c r="C12" i="2"/>
  <c r="C14" i="2"/>
  <c r="C16" i="2"/>
  <c r="C18" i="2"/>
  <c r="C20" i="2"/>
  <c r="C22" i="2"/>
  <c r="C24" i="2"/>
  <c r="C26" i="2"/>
  <c r="C28" i="2"/>
  <c r="C30" i="2"/>
  <c r="C32" i="2"/>
  <c r="C6" i="2"/>
  <c r="B9" i="6"/>
  <c r="B193" i="6"/>
  <c r="B21" i="5"/>
  <c r="B95" i="6"/>
  <c r="B57" i="6"/>
  <c r="B15" i="4"/>
  <c r="B29" i="2"/>
  <c r="B83" i="6"/>
  <c r="B61" i="6"/>
  <c r="B121" i="6"/>
  <c r="B5" i="6"/>
  <c r="B39" i="2"/>
  <c r="B67" i="6"/>
  <c r="B13" i="5"/>
  <c r="B27" i="4"/>
  <c r="B133" i="6"/>
  <c r="B197" i="6"/>
  <c r="B93" i="6"/>
  <c r="B153" i="6"/>
  <c r="B25" i="6"/>
  <c r="B37" i="5"/>
  <c r="B79" i="6"/>
  <c r="B167" i="6"/>
  <c r="B97" i="6"/>
  <c r="B15" i="5"/>
  <c r="B139" i="6"/>
  <c r="B205" i="6"/>
  <c r="B33" i="6"/>
  <c r="B35" i="2"/>
  <c r="B21" i="6"/>
  <c r="B137" i="6"/>
  <c r="B19" i="4"/>
  <c r="B47" i="5"/>
  <c r="B55" i="2"/>
  <c r="B47" i="6"/>
  <c r="B123" i="6"/>
  <c r="B15" i="6"/>
  <c r="B9" i="7"/>
  <c r="B37" i="6"/>
  <c r="B53" i="6"/>
  <c r="B43" i="6"/>
  <c r="B11" i="5"/>
  <c r="B23" i="2"/>
  <c r="B41" i="2"/>
  <c r="B45" i="2"/>
  <c r="B63" i="2"/>
  <c r="B49" i="6"/>
  <c r="B213" i="6"/>
  <c r="B27" i="6"/>
  <c r="B203" i="6"/>
  <c r="B7" i="2"/>
  <c r="B59" i="6"/>
  <c r="B21" i="2"/>
  <c r="B27" i="5"/>
  <c r="B201" i="6"/>
  <c r="B107" i="6"/>
  <c r="B179" i="6"/>
  <c r="B15" i="2"/>
  <c r="B41" i="5"/>
  <c r="B77" i="6"/>
  <c r="B13" i="4"/>
  <c r="B11" i="2"/>
  <c r="B5" i="3"/>
  <c r="B157" i="6"/>
  <c r="B29" i="5"/>
  <c r="B163" i="6"/>
  <c r="B75" i="6"/>
  <c r="B117" i="6"/>
  <c r="B147" i="6"/>
  <c r="B23" i="5"/>
  <c r="B49" i="2"/>
  <c r="B31" i="2"/>
  <c r="B185" i="6"/>
  <c r="B109" i="6"/>
  <c r="B87" i="6"/>
  <c r="B115" i="6"/>
  <c r="B73" i="6"/>
  <c r="B9" i="4"/>
  <c r="B63" i="6"/>
  <c r="B17" i="4"/>
  <c r="B69" i="6"/>
  <c r="B81" i="6"/>
  <c r="B33" i="2"/>
  <c r="B65" i="6"/>
  <c r="B29" i="4"/>
  <c r="B55" i="6"/>
  <c r="B7" i="6"/>
  <c r="B189" i="6"/>
  <c r="B13" i="6"/>
  <c r="B101" i="6"/>
  <c r="B45" i="5"/>
  <c r="B181" i="6"/>
  <c r="B37" i="2"/>
  <c r="B85" i="6"/>
  <c r="B125" i="6"/>
  <c r="B207" i="6"/>
  <c r="B103" i="6"/>
  <c r="B151" i="6"/>
  <c r="B45" i="6"/>
  <c r="B131" i="6"/>
  <c r="B17" i="5"/>
  <c r="B17" i="6"/>
  <c r="B5" i="4"/>
  <c r="B43" i="2"/>
  <c r="B111" i="6"/>
  <c r="B145" i="6"/>
  <c r="B183" i="6"/>
  <c r="B7" i="5"/>
  <c r="B17" i="2"/>
  <c r="B129" i="6"/>
  <c r="B13" i="7"/>
  <c r="B49" i="5"/>
  <c r="B29" i="6"/>
  <c r="B89" i="6"/>
  <c r="B35" i="6"/>
  <c r="B43" i="5"/>
  <c r="B9" i="5"/>
  <c r="B25" i="2"/>
  <c r="B165" i="6"/>
  <c r="B113" i="6"/>
  <c r="B175" i="6"/>
  <c r="B211" i="6"/>
  <c r="B5" i="7"/>
  <c r="B99" i="6"/>
  <c r="B9" i="2"/>
  <c r="B61" i="2"/>
  <c r="B191" i="6"/>
  <c r="B13" i="2"/>
  <c r="B155" i="6"/>
  <c r="B173" i="6"/>
  <c r="B159" i="6"/>
  <c r="B5" i="2"/>
  <c r="B21" i="4"/>
  <c r="B91" i="6"/>
  <c r="B25" i="5"/>
  <c r="B23" i="6"/>
  <c r="B19" i="5"/>
  <c r="B195" i="6"/>
  <c r="B33" i="5"/>
  <c r="B51" i="2"/>
  <c r="B31" i="4"/>
  <c r="B7" i="7"/>
  <c r="B41" i="6"/>
  <c r="B11" i="7"/>
  <c r="B11" i="6"/>
  <c r="B53" i="2"/>
  <c r="B57" i="2"/>
  <c r="B25" i="4"/>
  <c r="B31" i="6"/>
  <c r="B119" i="6"/>
  <c r="B149" i="6"/>
  <c r="B19" i="2"/>
  <c r="B143" i="6"/>
  <c r="B23" i="4"/>
  <c r="B39" i="5"/>
  <c r="B199" i="6"/>
  <c r="B19" i="6"/>
  <c r="B161" i="6"/>
  <c r="B187" i="6"/>
  <c r="B59" i="2"/>
  <c r="B39" i="6"/>
  <c r="B127" i="6"/>
  <c r="B105" i="6"/>
  <c r="B171" i="6"/>
  <c r="B15" i="7"/>
  <c r="B47" i="2"/>
  <c r="B31" i="5"/>
  <c r="B209" i="6"/>
  <c r="B27" i="2"/>
  <c r="B71" i="6"/>
  <c r="B35" i="5"/>
  <c r="B7" i="4"/>
  <c r="B51" i="6"/>
  <c r="B141" i="6"/>
  <c r="B177" i="6"/>
  <c r="B135" i="6"/>
  <c r="B169" i="6"/>
  <c r="B11" i="4"/>
  <c r="B5" i="5"/>
  <c r="C9" i="7" l="1"/>
  <c r="C13" i="7"/>
  <c r="C11" i="7"/>
  <c r="C15" i="7"/>
  <c r="C7" i="7"/>
  <c r="C5" i="7"/>
  <c r="C207" i="6"/>
  <c r="C199" i="6"/>
  <c r="C191" i="6"/>
  <c r="C183" i="6"/>
  <c r="C175" i="6"/>
  <c r="C167" i="6"/>
  <c r="C209" i="6"/>
  <c r="C201" i="6"/>
  <c r="C193" i="6"/>
  <c r="C185" i="6"/>
  <c r="C177" i="6"/>
  <c r="C169" i="6"/>
  <c r="C211" i="6"/>
  <c r="C203" i="6"/>
  <c r="C195" i="6"/>
  <c r="C187" i="6"/>
  <c r="C179" i="6"/>
  <c r="C171" i="6"/>
  <c r="C213" i="6"/>
  <c r="C205" i="6"/>
  <c r="C197" i="6"/>
  <c r="C189" i="6"/>
  <c r="C181" i="6"/>
  <c r="C173" i="6"/>
  <c r="C165" i="6"/>
  <c r="C81" i="6"/>
  <c r="C65" i="6"/>
  <c r="C49" i="6"/>
  <c r="C33" i="6"/>
  <c r="C17" i="6"/>
  <c r="C161" i="6"/>
  <c r="C153" i="6"/>
  <c r="C145" i="6"/>
  <c r="C137" i="6"/>
  <c r="C129" i="6"/>
  <c r="C121" i="6"/>
  <c r="C113" i="6"/>
  <c r="C105" i="6"/>
  <c r="C97" i="6"/>
  <c r="C89" i="6"/>
  <c r="C73" i="6"/>
  <c r="C57" i="6"/>
  <c r="C41" i="6"/>
  <c r="C25" i="6"/>
  <c r="C9" i="6"/>
  <c r="C163" i="6"/>
  <c r="C155" i="6"/>
  <c r="C147" i="6"/>
  <c r="C139" i="6"/>
  <c r="C131" i="6"/>
  <c r="C123" i="6"/>
  <c r="C115" i="6"/>
  <c r="C107" i="6"/>
  <c r="C99" i="6"/>
  <c r="C91" i="6"/>
  <c r="C83" i="6"/>
  <c r="C75" i="6"/>
  <c r="C67" i="6"/>
  <c r="C59" i="6"/>
  <c r="C51" i="6"/>
  <c r="C43" i="6"/>
  <c r="C35" i="6"/>
  <c r="C27" i="6"/>
  <c r="C19" i="6"/>
  <c r="C11" i="6"/>
  <c r="C157" i="6"/>
  <c r="C149" i="6"/>
  <c r="C141" i="6"/>
  <c r="C133" i="6"/>
  <c r="C125" i="6"/>
  <c r="C117" i="6"/>
  <c r="C109" i="6"/>
  <c r="C101" i="6"/>
  <c r="C93" i="6"/>
  <c r="C85" i="6"/>
  <c r="C77" i="6"/>
  <c r="C69" i="6"/>
  <c r="C61" i="6"/>
  <c r="C53" i="6"/>
  <c r="C45" i="6"/>
  <c r="C37" i="6"/>
  <c r="C29" i="6"/>
  <c r="C21" i="6"/>
  <c r="C13" i="6"/>
  <c r="C159" i="6"/>
  <c r="C151" i="6"/>
  <c r="C143" i="6"/>
  <c r="C135" i="6"/>
  <c r="C127" i="6"/>
  <c r="C119" i="6"/>
  <c r="C111" i="6"/>
  <c r="C103" i="6"/>
  <c r="C95" i="6"/>
  <c r="C87" i="6"/>
  <c r="C79" i="6"/>
  <c r="C71" i="6"/>
  <c r="C63" i="6"/>
  <c r="C55" i="6"/>
  <c r="C47" i="6"/>
  <c r="C39" i="6"/>
  <c r="C31" i="6"/>
  <c r="C23" i="6"/>
  <c r="C15" i="6"/>
  <c r="C7" i="6"/>
  <c r="C5" i="6"/>
  <c r="C47" i="5"/>
  <c r="C31" i="5"/>
  <c r="C49" i="5"/>
  <c r="C41" i="5"/>
  <c r="C33" i="5"/>
  <c r="C39" i="5"/>
  <c r="C43" i="5"/>
  <c r="C35" i="5"/>
  <c r="C45" i="5"/>
  <c r="C37" i="5"/>
  <c r="C29" i="5"/>
  <c r="C27" i="5"/>
  <c r="C19" i="5"/>
  <c r="C21" i="5"/>
  <c r="C13" i="5"/>
  <c r="C25" i="5"/>
  <c r="C17" i="5"/>
  <c r="C9" i="5"/>
  <c r="C11" i="5"/>
  <c r="C23" i="5"/>
  <c r="C15" i="5"/>
  <c r="C7" i="5"/>
  <c r="C5" i="5"/>
  <c r="C17" i="4"/>
  <c r="C9" i="4"/>
  <c r="C27" i="4"/>
  <c r="C19" i="4"/>
  <c r="C11" i="4"/>
  <c r="C25" i="4"/>
  <c r="C29" i="4"/>
  <c r="C21" i="4"/>
  <c r="C13" i="4"/>
  <c r="C31" i="4"/>
  <c r="C23" i="4"/>
  <c r="C15" i="4"/>
  <c r="C7" i="4"/>
  <c r="C5" i="4"/>
  <c r="C5" i="3"/>
  <c r="C63" i="2"/>
  <c r="C61" i="2"/>
  <c r="C37" i="2"/>
  <c r="C55" i="2"/>
  <c r="C47" i="2"/>
  <c r="C39" i="2"/>
  <c r="C59" i="2"/>
  <c r="C51" i="2"/>
  <c r="C43" i="2"/>
  <c r="C35" i="2"/>
  <c r="C53" i="2"/>
  <c r="C45" i="2"/>
  <c r="C57" i="2"/>
  <c r="C49" i="2"/>
  <c r="C41" i="2"/>
  <c r="C33" i="2"/>
  <c r="C25" i="2"/>
  <c r="C27" i="2"/>
  <c r="C19" i="2"/>
  <c r="C11" i="2"/>
  <c r="C17" i="2"/>
  <c r="C9" i="2"/>
  <c r="C29" i="2"/>
  <c r="C21" i="2"/>
  <c r="C13" i="2"/>
  <c r="C31" i="2"/>
  <c r="C23" i="2"/>
  <c r="C15" i="2"/>
  <c r="C7" i="2"/>
  <c r="C5" i="2"/>
</calcChain>
</file>

<file path=xl/sharedStrings.xml><?xml version="1.0" encoding="utf-8"?>
<sst xmlns="http://schemas.openxmlformats.org/spreadsheetml/2006/main" count="551" uniqueCount="246">
  <si>
    <t>Pump Type</t>
  </si>
  <si>
    <t>Program</t>
  </si>
  <si>
    <t>Power Class/Communication Type</t>
  </si>
  <si>
    <t>Remote Sensing</t>
  </si>
  <si>
    <t>Temperature Rating</t>
  </si>
  <si>
    <t>Test Hour Limit</t>
  </si>
  <si>
    <t>Oil Pump</t>
  </si>
  <si>
    <t>-50° to 150° C</t>
  </si>
  <si>
    <t>Harness ID</t>
  </si>
  <si>
    <t>Harness ID String (for barcode)</t>
  </si>
  <si>
    <t>Barcode</t>
  </si>
  <si>
    <t>Manufacturer</t>
  </si>
  <si>
    <t>Connector Type</t>
  </si>
  <si>
    <t>Date Created</t>
  </si>
  <si>
    <r>
      <t xml:space="preserve">Comments/Notes
</t>
    </r>
    <r>
      <rPr>
        <b/>
        <sz val="11"/>
        <color theme="9"/>
        <rFont val="Calibri"/>
        <family val="2"/>
      </rPr>
      <t>A = Assigned to Harness</t>
    </r>
  </si>
  <si>
    <t>eCL</t>
  </si>
  <si>
    <t>12V</t>
  </si>
  <si>
    <t>Yes</t>
  </si>
  <si>
    <t>OP-eCL-12V(S)-01</t>
  </si>
  <si>
    <t>A</t>
  </si>
  <si>
    <t>OP-eCL-12V(S)-02</t>
  </si>
  <si>
    <t>OP-eCL-12V(S)-03</t>
  </si>
  <si>
    <t>OP-eCL-12V(S)-04</t>
  </si>
  <si>
    <t>OP-eCL-12V(S)-05</t>
  </si>
  <si>
    <t>OP-eCL-12V(S)-06</t>
  </si>
  <si>
    <t>OP-eCL-12V(S)-07</t>
  </si>
  <si>
    <t>OP-eCL-12V(S)-08</t>
  </si>
  <si>
    <t>OP-eCL-12V(S)-09</t>
  </si>
  <si>
    <t>OP-eCL-12V(S)-10</t>
  </si>
  <si>
    <t>OP-eCL-12V(S)-11</t>
  </si>
  <si>
    <t>OP-eCL-12V(S)-12</t>
  </si>
  <si>
    <t>OP-eCL-12V(S)-13</t>
  </si>
  <si>
    <t>OP-eCL-12V(S)-14</t>
  </si>
  <si>
    <t>OP-eCL-12V(S)-15</t>
  </si>
  <si>
    <t>OP-eCL-12V(S)-16</t>
  </si>
  <si>
    <t>OP-eCL-12V(S)-17</t>
  </si>
  <si>
    <t>OP-eCL-12V(S)-18</t>
  </si>
  <si>
    <t>OP-eCL-12V(S)-19</t>
  </si>
  <si>
    <t>OP-eCL-12V(S)-20</t>
  </si>
  <si>
    <t>OP-eCL-12V(S)-21</t>
  </si>
  <si>
    <t>OP-eCL-12V(S)-22</t>
  </si>
  <si>
    <t>OP-eCL-12V(S)-23</t>
  </si>
  <si>
    <t>OP-eCL-12V(S)-24</t>
  </si>
  <si>
    <t>OP-eCL-12V(S)-25</t>
  </si>
  <si>
    <t>OP-eCL-12V(S)-26</t>
  </si>
  <si>
    <t>OP-eCL-12V(S)-27</t>
  </si>
  <si>
    <t>OP-eCL-12V(S)-28</t>
  </si>
  <si>
    <t>OP-eCL-12V(S)-29</t>
  </si>
  <si>
    <t>OP-eCL-12V(S)-30</t>
  </si>
  <si>
    <t>PHEV</t>
  </si>
  <si>
    <t>PWM</t>
  </si>
  <si>
    <t>OP-PHEV-PWM-01</t>
  </si>
  <si>
    <t>10 Pin</t>
  </si>
  <si>
    <t>OP-PHEV-PWM-02</t>
  </si>
  <si>
    <t>OP-PHEV-PWM-03</t>
  </si>
  <si>
    <t>OP-PHEV-PWM-04</t>
  </si>
  <si>
    <t>OP-PHEV-PWM-05</t>
  </si>
  <si>
    <t>10 Pin to 3 Pin</t>
  </si>
  <si>
    <t>OP-PHEV-PWM-06</t>
  </si>
  <si>
    <t>OP-PHEV-PWM-07</t>
  </si>
  <si>
    <t>OP-PHEV-PWM-08</t>
  </si>
  <si>
    <t>OP-PHEV-PWM-09</t>
  </si>
  <si>
    <t>OP-PHEV-PWM-10</t>
  </si>
  <si>
    <t>OP-PHEV-PWM-11</t>
  </si>
  <si>
    <t>OP-PHEV-PWM-12</t>
  </si>
  <si>
    <t>10 Pin to 7 Pin</t>
  </si>
  <si>
    <t>OP-PHEV-PWM-13</t>
  </si>
  <si>
    <t>OP-PHEV-PWM-14</t>
  </si>
  <si>
    <t>LIN</t>
  </si>
  <si>
    <t>OP-PHEV-LIN-01</t>
  </si>
  <si>
    <t>OP-PHEV-LIN-02</t>
  </si>
  <si>
    <t>OP-PHEV-LIN-03</t>
  </si>
  <si>
    <t>OP-PHEV-LIN-04</t>
  </si>
  <si>
    <t>OP-PHEV-LIN-05</t>
  </si>
  <si>
    <t>OP-PHEV-LIN-06</t>
  </si>
  <si>
    <t>OP-PHEV-LIN-07</t>
  </si>
  <si>
    <t>OP-PHEV-LIN-08</t>
  </si>
  <si>
    <t>OP-PHEV-LIN-09</t>
  </si>
  <si>
    <t>OP-PHEV-LIN-10</t>
  </si>
  <si>
    <t>OP-PHEV-LIN-11</t>
  </si>
  <si>
    <t>OP-PHEV-LIN-12</t>
  </si>
  <si>
    <t>OP-PHEV-LIN-13</t>
  </si>
  <si>
    <t>OP-PHEV-LIN-14</t>
  </si>
  <si>
    <t>OP-PHEV-LIN-15</t>
  </si>
  <si>
    <t>OP-PHEV-LIN-16</t>
  </si>
  <si>
    <t>3 Pin</t>
  </si>
  <si>
    <t>OP-PHEV-LIN-17</t>
  </si>
  <si>
    <t>OP-PHEV-LIN-18</t>
  </si>
  <si>
    <t>OP-PHEV-LIN-19</t>
  </si>
  <si>
    <t>OP-PHEV-LIN-20</t>
  </si>
  <si>
    <t>OP-PHEV-LIN-21</t>
  </si>
  <si>
    <t>OP-PHEV-LIN-22</t>
  </si>
  <si>
    <t>OP-PHEV-LIN-23</t>
  </si>
  <si>
    <t>10R</t>
  </si>
  <si>
    <t>OP-10R-PWM-01</t>
  </si>
  <si>
    <t>OP-10R-PWM-02</t>
  </si>
  <si>
    <t>OP-10R-PWM-03</t>
  </si>
  <si>
    <t>OP-10R-PWM-04</t>
  </si>
  <si>
    <t>OP-10R-PWM-05</t>
  </si>
  <si>
    <t>OP-10R-PWM-06</t>
  </si>
  <si>
    <t>OP-10R-PWM-07</t>
  </si>
  <si>
    <t>10 Pin to 6 Pin</t>
  </si>
  <si>
    <t>OP-10R-PWM-08</t>
  </si>
  <si>
    <t>OP-10R-PWM-09</t>
  </si>
  <si>
    <t>OP-10R-PWM-10</t>
  </si>
  <si>
    <t>OP-10R-PWM-11</t>
  </si>
  <si>
    <t>OP-10R-PWM-12</t>
  </si>
  <si>
    <t>OP-10R-PWM-13</t>
  </si>
  <si>
    <t>OP-10R-PWM-14</t>
  </si>
  <si>
    <t>OP-10R-PWM-15</t>
  </si>
  <si>
    <t>OP-10R-PWM-16</t>
  </si>
  <si>
    <t>OP-10R-PWM-17</t>
  </si>
  <si>
    <t>OP-10R-PWM-18</t>
  </si>
  <si>
    <t>OP-10R-PWM-19</t>
  </si>
  <si>
    <t>OP-10R-PWM-20</t>
  </si>
  <si>
    <t>OP-10R-PWM-21</t>
  </si>
  <si>
    <t>10 Pin (3 rows) to 6 Pin</t>
  </si>
  <si>
    <t>OP-10R-PWM-22</t>
  </si>
  <si>
    <t>OP-10R-PWM-23</t>
  </si>
  <si>
    <t>OP-10R-PWM-24</t>
  </si>
  <si>
    <t>OP-10R-PWM-25</t>
  </si>
  <si>
    <t>OP-10R-PWM-26</t>
  </si>
  <si>
    <t>OP-10R-PWM-27</t>
  </si>
  <si>
    <t>OP-10R-PWM-28</t>
  </si>
  <si>
    <t>OP-10R-PWM-29</t>
  </si>
  <si>
    <t>OP-10R-PWM-30</t>
  </si>
  <si>
    <t>OP-10R-PWM-31</t>
  </si>
  <si>
    <t>OP-10R-PWM-32</t>
  </si>
  <si>
    <t>OP-10R-PWM-33</t>
  </si>
  <si>
    <t>OP-10R-PWM-34</t>
  </si>
  <si>
    <t>OP-10R-PWM-35</t>
  </si>
  <si>
    <t>OP-10R-PWM-36</t>
  </si>
  <si>
    <t>OP-10R-PWM-37</t>
  </si>
  <si>
    <t>OP-10R-PWM-38</t>
  </si>
  <si>
    <t>OP-10R-PWM-39</t>
  </si>
  <si>
    <t>OP-10R-PWM-40</t>
  </si>
  <si>
    <t>OP-10R-PWM-41</t>
  </si>
  <si>
    <t>OP-10R-PWM-42</t>
  </si>
  <si>
    <t>10 Pin to 7 Pin (tank cover)</t>
  </si>
  <si>
    <t>OP-10R-PWM-43</t>
  </si>
  <si>
    <t>OP-10R-PWM-44</t>
  </si>
  <si>
    <t>OP-10R-PWM-45</t>
  </si>
  <si>
    <t>OP-10R-PWM-46</t>
  </si>
  <si>
    <t>OP-10R-PWM-47</t>
  </si>
  <si>
    <t>OP-10R-PWM-48</t>
  </si>
  <si>
    <t>OP-10R-PWM-49</t>
  </si>
  <si>
    <t>OP-10R-PWM-50</t>
  </si>
  <si>
    <t>OP-10R-PWM-51</t>
  </si>
  <si>
    <t>OP-10R-PWM-52</t>
  </si>
  <si>
    <t>OP-10R-PWM-53</t>
  </si>
  <si>
    <t>OP-10R-PWM-54</t>
  </si>
  <si>
    <t>OP-10R-PWM-55</t>
  </si>
  <si>
    <t>OP-10R-PWM-56</t>
  </si>
  <si>
    <t>OP-10R-PWM-57</t>
  </si>
  <si>
    <t>OP-10R-PWM-58</t>
  </si>
  <si>
    <t>OP-10R-PWM-59</t>
  </si>
  <si>
    <t>OP-10R-PWM-60</t>
  </si>
  <si>
    <t>OP-10R-PWM-61</t>
  </si>
  <si>
    <t>OP-10R-PWM-62</t>
  </si>
  <si>
    <t>OP-10R-PWM-63</t>
  </si>
  <si>
    <t>OP-10R-PWM-64</t>
  </si>
  <si>
    <t>OP-10R-PWM-65</t>
  </si>
  <si>
    <t>OP-10R-PWM-66</t>
  </si>
  <si>
    <t>OP-10R-PWM-67</t>
  </si>
  <si>
    <t>OP-10R-PWM-68</t>
  </si>
  <si>
    <t>OP-10R-PWM-69</t>
  </si>
  <si>
    <t>OP-10R-PWM-70</t>
  </si>
  <si>
    <t>OP-10R-PWM-71</t>
  </si>
  <si>
    <t>OP-10R-PWM-72</t>
  </si>
  <si>
    <t>OP-10R-PWM-73</t>
  </si>
  <si>
    <t>OP-10R-PWM-74</t>
  </si>
  <si>
    <t>OP-10R-PWM-75</t>
  </si>
  <si>
    <t>OP-10R-PWM-76</t>
  </si>
  <si>
    <t>OP-10R-PWM-77</t>
  </si>
  <si>
    <t>OP-10R-PWM-78</t>
  </si>
  <si>
    <t>OP-10R-PWM-79</t>
  </si>
  <si>
    <t>OP-10R-PWM-80</t>
  </si>
  <si>
    <t>OP-10R-PWM-81</t>
  </si>
  <si>
    <t>OP-10R-PWM-82</t>
  </si>
  <si>
    <t>OP-10R-PWM-83</t>
  </si>
  <si>
    <t>OP-10R-PWM-84</t>
  </si>
  <si>
    <t>OP-10R-PWM-85</t>
  </si>
  <si>
    <t>OP-10R-PWM-86</t>
  </si>
  <si>
    <t>OP-10R-PWM-87</t>
  </si>
  <si>
    <t>OP-10R-PWM-88</t>
  </si>
  <si>
    <t>OP-10R-PWM-89</t>
  </si>
  <si>
    <t>OP-10R-PWM-90</t>
  </si>
  <si>
    <t>OP-10R-PWM-91</t>
  </si>
  <si>
    <t>OP-10R-PWM-92</t>
  </si>
  <si>
    <t>OP-10R-PWM-93</t>
  </si>
  <si>
    <t>OP-10R-PWM-94</t>
  </si>
  <si>
    <t>OP-10R-PWM-95</t>
  </si>
  <si>
    <t>OP-10R-PWM-96</t>
  </si>
  <si>
    <t>OP-10R-PWM-97</t>
  </si>
  <si>
    <t>OP-10R-PWM-98</t>
  </si>
  <si>
    <t>OP-10R-PWM-99</t>
  </si>
  <si>
    <t>6 Pin</t>
  </si>
  <si>
    <t>OP-10R-PWM-100</t>
  </si>
  <si>
    <t>OP-10R-PWM-101</t>
  </si>
  <si>
    <t>OP-10R-PWM-102</t>
  </si>
  <si>
    <t>OP-10R-PWM-103</t>
  </si>
  <si>
    <t>OP-10R-PWM-104</t>
  </si>
  <si>
    <t>OP-10R-PWM-105</t>
  </si>
  <si>
    <t>OP-10R-LIN-01</t>
  </si>
  <si>
    <t>OP-10R-LIN-02</t>
  </si>
  <si>
    <t>OP-10R-LIN-03</t>
  </si>
  <si>
    <t>OP-10R-LIN-04</t>
  </si>
  <si>
    <t>OP-10R-LIN-05</t>
  </si>
  <si>
    <t>OP-10R-LIN-06</t>
  </si>
  <si>
    <t>FORD 1T50</t>
  </si>
  <si>
    <t>OP-1T50-LIN-12V(S)-01</t>
  </si>
  <si>
    <t>OP-1T50-LIN-12V(S)-02</t>
  </si>
  <si>
    <t>OP-1T50-LIN-12V(S)-03</t>
  </si>
  <si>
    <t>OP-1T50-LIN-12V(S)-04</t>
  </si>
  <si>
    <t>OP-1T50-LIN-12V(S)-05</t>
  </si>
  <si>
    <t>OP-1T50-LIN-12V(S)-06</t>
  </si>
  <si>
    <t>OP-1T50-LIN-12V(S)-07</t>
  </si>
  <si>
    <t>OP-1T50-LIN-12V(S)-08</t>
  </si>
  <si>
    <t>OP-1T50-LIN-12V(S)-09</t>
  </si>
  <si>
    <t>OP-1T50-LIN-12V(S)-10</t>
  </si>
  <si>
    <t>OP-1T50-LIN-12V(S)-11</t>
  </si>
  <si>
    <t>OP-1T50-LIN-12V(S)-12</t>
  </si>
  <si>
    <t>OP-1T50-LIN-12V(S)-13</t>
  </si>
  <si>
    <t>OP-1T50-LIN-12V(S)-14</t>
  </si>
  <si>
    <t>OP-1T50-LIN-12V(S)-15</t>
  </si>
  <si>
    <t>OP-1T50-LIN-12V(S)-16</t>
  </si>
  <si>
    <t>OP-1T50-LIN-12V(S)-17</t>
  </si>
  <si>
    <t>OP-1T50-LIN-12V(S)-18</t>
  </si>
  <si>
    <t>OP-1T50-LIN-12V(S)-19</t>
  </si>
  <si>
    <t>OP-1T50-LIN-12V(S)-20</t>
  </si>
  <si>
    <t>OP-1T50-LIN-12V(S)-21</t>
  </si>
  <si>
    <t>OP-1T50-LIN-12V(S)-22</t>
  </si>
  <si>
    <t>OP-1T50-LIN-12V(S)-23</t>
  </si>
  <si>
    <t>OP-1T50-LIN-12V(S)-24</t>
  </si>
  <si>
    <t>OP-1T50-LIN-12V(S)-25</t>
  </si>
  <si>
    <t>OP-1T50-LIN-12V(S)-26</t>
  </si>
  <si>
    <t>OP-1T50-LIN-12V(S)-27</t>
  </si>
  <si>
    <t>OP-1T50-LIN-12V(S)-28</t>
  </si>
  <si>
    <t>OP-1T50-LIN-12V(S)-29</t>
  </si>
  <si>
    <t>OP-1T50-LIN-12V(S)-30</t>
  </si>
  <si>
    <t>OP-1T50-LIN-12V(S)-31</t>
  </si>
  <si>
    <t>OP-1T50-LIN-12V(S)-32</t>
  </si>
  <si>
    <t>OP-1T50-LIN-12V(S)-33</t>
  </si>
  <si>
    <t>OP-1T50-LIN-12V(S)-34</t>
  </si>
  <si>
    <t>OP-1T50-LIN-12V(S)-35</t>
  </si>
  <si>
    <t>OP-1T50-LIN-12V(S)-36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</si>
</sst>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b/>
      <i/>
      <sz val="11"/>
      <color rgb="FF000000"/>
      <name val="Calibri"/>
      <family val="2"/>
    </font>
    <font>
      <i/>
      <sz val="11"/>
      <color theme="1"/>
      <name val="Calibri"/>
      <family val="2"/>
      <scheme val="minor"/>
    </font>
    <font>
      <b/>
      <sz val="11"/>
      <color rgb="FF000000"/>
      <name val="Calibri"/>
      <family val="2"/>
    </font>
    <font>
      <b/>
      <sz val="10"/>
      <color rgb="FF000000"/>
      <name val="Arial"/>
      <family val="2"/>
    </font>
    <font>
      <b/>
      <sz val="11"/>
      <color theme="9"/>
      <name val="Calibri"/>
      <family val="2"/>
    </font>
    <font>
      <sz val="18"/>
      <color theme="1"/>
      <name val="Code 128"/>
    </font>
    <font>
      <sz val="8"/>
      <color theme="1"/>
      <name val="Consolas"/>
      <family val="3"/>
    </font>
  </fonts>
  <fills count="4">
    <fill>
      <patternFill patternType="none"/>
    </fill>
    <fill>
      <patternFill patternType="gray125"/>
    </fill>
    <fill>
      <patternFill patternType="solid">
        <fgColor rgb="FFD0CECE"/>
        <bgColor indexed="64"/>
      </patternFill>
    </fill>
    <fill>
      <patternFill patternType="solid">
        <fgColor rgb="FFD0CECE"/>
        <bgColor rgb="FF000000"/>
      </patternFill>
    </fill>
  </fills>
  <borders count="1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readingOrder="1"/>
    </xf>
    <xf numFmtId="0" fontId="1" fillId="2" borderId="4" xfId="0" applyFont="1" applyFill="1" applyBorder="1" applyAlignment="1">
      <alignment horizontal="center" vertical="center" wrapText="1" readingOrder="1"/>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vertical="center" wrapText="1"/>
    </xf>
    <xf numFmtId="0" fontId="3" fillId="3" borderId="5" xfId="0" applyFont="1" applyFill="1" applyBorder="1" applyAlignment="1">
      <alignment horizontal="center" wrapText="1" readingOrder="1"/>
    </xf>
    <xf numFmtId="0" fontId="4" fillId="3" borderId="5" xfId="0" applyFont="1" applyFill="1" applyBorder="1" applyAlignment="1">
      <alignment horizontal="center" wrapText="1" readingOrder="1"/>
    </xf>
    <xf numFmtId="0" fontId="4" fillId="3" borderId="6" xfId="0" applyFont="1" applyFill="1" applyBorder="1" applyAlignment="1">
      <alignment horizontal="center" wrapText="1" readingOrder="1"/>
    </xf>
    <xf numFmtId="0" fontId="3" fillId="3" borderId="3" xfId="0" applyFont="1" applyFill="1" applyBorder="1" applyAlignment="1">
      <alignment horizontal="center" wrapText="1" readingOrder="1"/>
    </xf>
    <xf numFmtId="0" fontId="3" fillId="3" borderId="5" xfId="0" applyFont="1" applyFill="1" applyBorder="1" applyAlignment="1">
      <alignment horizontal="center" wrapText="1"/>
    </xf>
    <xf numFmtId="0" fontId="6" fillId="0" borderId="7" xfId="0" applyFont="1" applyBorder="1" applyAlignment="1">
      <alignment horizontal="center" vertical="center"/>
    </xf>
    <xf numFmtId="0" fontId="7" fillId="0" borderId="11" xfId="0" applyFont="1" applyBorder="1" applyAlignment="1">
      <alignment horizontal="center" vertical="center"/>
    </xf>
    <xf numFmtId="0" fontId="4" fillId="3" borderId="3" xfId="0" applyFont="1" applyFill="1" applyBorder="1" applyAlignment="1">
      <alignment horizontal="center" wrapText="1" readingOrder="1"/>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8" xfId="0" applyBorder="1" applyAlignment="1">
      <alignment horizontal="center" vertical="center"/>
    </xf>
    <xf numFmtId="0" fontId="0" fillId="0" borderId="12" xfId="0" applyBorder="1" applyAlignment="1">
      <alignment horizontal="center" vertical="center"/>
    </xf>
    <xf numFmtId="0" fontId="0" fillId="0" borderId="3" xfId="0" applyBorder="1" applyAlignment="1">
      <alignment horizontal="center" vertical="center"/>
    </xf>
    <xf numFmtId="14" fontId="0" fillId="0" borderId="3" xfId="0" applyNumberFormat="1"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cellXfs>
  <cellStyles count="1">
    <cellStyle name="Normal" xfId="0" builtinId="0"/>
  </cellStyles>
  <dxfs count="51">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17</xdr:col>
      <xdr:colOff>485776</xdr:colOff>
      <xdr:row>20</xdr:row>
      <xdr:rowOff>1</xdr:rowOff>
    </xdr:to>
    <xdr:sp macro="" textlink="">
      <xdr:nvSpPr>
        <xdr:cNvPr id="13" name="TextBox 12">
          <a:extLst>
            <a:ext uri="{FF2B5EF4-FFF2-40B4-BE49-F238E27FC236}">
              <a16:creationId xmlns:a16="http://schemas.microsoft.com/office/drawing/2014/main" id="{00000000-0008-0000-0000-000006000000}"/>
            </a:ext>
          </a:extLst>
        </xdr:cNvPr>
        <xdr:cNvSpPr txBox="1"/>
      </xdr:nvSpPr>
      <xdr:spPr>
        <a:xfrm>
          <a:off x="609600" y="190500"/>
          <a:ext cx="10239376" cy="3619501"/>
        </a:xfrm>
        <a:prstGeom prst="rect">
          <a:avLst/>
        </a:prstGeom>
        <a:solidFill>
          <a:srgbClr val="E7E6E6"/>
        </a:solidFill>
        <a:ln>
          <a:solidFill>
            <a:sysClr val="windowText" lastClr="000000"/>
          </a:solidFill>
        </a:ln>
        <a:effectLst/>
      </xdr:spPr>
      <xdr:txBody>
        <a:bodyPr wrap="square" rtlCol="0" anchor="t">
          <a:no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r>
            <a:rPr kumimoji="1" lang="en-US" sz="1100" b="1" kern="1200">
              <a:solidFill>
                <a:sysClr val="windowText" lastClr="000000"/>
              </a:solidFill>
              <a:effectLst/>
              <a:latin typeface="+mn-lt"/>
              <a:ea typeface="굴림" charset="0"/>
              <a:cs typeface="굴림" charset="0"/>
            </a:rPr>
            <a:t>New harness</a:t>
          </a:r>
          <a:r>
            <a:rPr kumimoji="1" lang="en-US" sz="1100" b="1" kern="1200" baseline="0">
              <a:solidFill>
                <a:sysClr val="windowText" lastClr="000000"/>
              </a:solidFill>
              <a:effectLst/>
              <a:latin typeface="+mn-lt"/>
              <a:ea typeface="굴림" charset="0"/>
              <a:cs typeface="굴림" charset="0"/>
            </a:rPr>
            <a:t> barcodes may be generated using the corresponding existing sheets in this Excel workbook. For new harness types, copy the "OP Barcode Template" sheet and enter the new serial number format in the "Harness ID" column.</a:t>
          </a:r>
          <a:endParaRPr kumimoji="1" lang="en-US" sz="1100" b="1" kern="1200">
            <a:solidFill>
              <a:sysClr val="windowText" lastClr="000000"/>
            </a:solidFill>
            <a:effectLst/>
            <a:latin typeface="+mn-lt"/>
            <a:ea typeface="굴림" charset="0"/>
            <a:cs typeface="굴림" charset="0"/>
          </a:endParaRPr>
        </a:p>
        <a:p>
          <a:pPr rtl="0" eaLnBrk="1" fontAlgn="base" latinLnBrk="0" hangingPunct="1"/>
          <a:endParaRPr kumimoji="0" lang="en-US" sz="1100" b="0" i="0" u="none" strike="noStrike" kern="0" cap="none" spc="0" normalizeH="0" baseline="0">
            <a:ln>
              <a:noFill/>
            </a:ln>
            <a:solidFill>
              <a:sysClr val="windowText" lastClr="000000"/>
            </a:solidFill>
            <a:effectLst/>
            <a:uLnTx/>
            <a:uFillTx/>
            <a:latin typeface="+mn-lt"/>
            <a:ea typeface="+mn-ea"/>
            <a:cs typeface="+mn-cs"/>
          </a:endParaRPr>
        </a:p>
        <a:p>
          <a:pPr rtl="0" eaLnBrk="1" fontAlgn="base" latinLnBrk="0" hangingPunct="1"/>
          <a:r>
            <a:rPr kumimoji="0" lang="en-US" sz="1100" b="0" i="0" u="sng" strike="noStrike" kern="0" cap="none" spc="0" normalizeH="0" baseline="0">
              <a:ln>
                <a:noFill/>
              </a:ln>
              <a:solidFill>
                <a:sysClr val="windowText" lastClr="000000"/>
              </a:solidFill>
              <a:effectLst/>
              <a:uLnTx/>
              <a:uFillTx/>
              <a:latin typeface="+mn-lt"/>
              <a:ea typeface="+mn-ea"/>
              <a:cs typeface="+mn-cs"/>
            </a:rPr>
            <a:t>Barcodes should follow the Harness ID convention: </a:t>
          </a:r>
        </a:p>
        <a:p>
          <a:pPr rtl="0" eaLnBrk="1" fontAlgn="base" latinLnBrk="0" hangingPunct="1"/>
          <a:r>
            <a:rPr kumimoji="0" lang="en-US" sz="1100" b="0" i="0" u="none" strike="noStrike" kern="0" cap="none" spc="0" normalizeH="0" baseline="0">
              <a:ln>
                <a:noFill/>
              </a:ln>
              <a:solidFill>
                <a:sysClr val="windowText" lastClr="000000"/>
              </a:solidFill>
              <a:effectLst/>
              <a:uLnTx/>
              <a:uFillTx/>
              <a:latin typeface="+mn-lt"/>
              <a:ea typeface="+mn-ea"/>
              <a:cs typeface="+mn-cs"/>
            </a:rPr>
            <a:t>Harnesses without sense wires: </a:t>
          </a:r>
          <a:r>
            <a:rPr kumimoji="0" lang="en-US" sz="1100" b="1" i="0" u="none" strike="noStrike" kern="0" cap="none" spc="0" normalizeH="0" baseline="0">
              <a:ln>
                <a:noFill/>
              </a:ln>
              <a:solidFill>
                <a:sysClr val="windowText" lastClr="000000"/>
              </a:solidFill>
              <a:effectLst/>
              <a:uLnTx/>
              <a:uFillTx/>
              <a:latin typeface="+mn-lt"/>
              <a:ea typeface="+mn-ea"/>
              <a:cs typeface="+mn-cs"/>
            </a:rPr>
            <a:t>WP/OP-Program-Power Class-## </a:t>
          </a:r>
          <a:r>
            <a:rPr kumimoji="0" lang="en-US" sz="1100" b="0" i="1" u="none" strike="noStrike" kern="0" cap="none" spc="0" normalizeH="0" baseline="0">
              <a:ln>
                <a:noFill/>
              </a:ln>
              <a:solidFill>
                <a:sysClr val="windowText" lastClr="000000"/>
              </a:solidFill>
              <a:effectLst/>
              <a:uLnTx/>
              <a:uFillTx/>
              <a:latin typeface="+mn-lt"/>
              <a:ea typeface="+mn-ea"/>
              <a:cs typeface="+mn-cs"/>
            </a:rPr>
            <a:t>(e.g. WP-VW-100W-01)</a:t>
          </a:r>
        </a:p>
        <a:p>
          <a:pPr rtl="0" eaLnBrk="1" fontAlgn="base" latinLnBrk="0" hangingPunct="1"/>
          <a:r>
            <a:rPr kumimoji="0" lang="en-US" sz="1100" b="0" i="0" u="none" strike="noStrike" kern="0" cap="none" spc="0" normalizeH="0" baseline="0">
              <a:ln>
                <a:noFill/>
              </a:ln>
              <a:solidFill>
                <a:sysClr val="windowText" lastClr="000000"/>
              </a:solidFill>
              <a:effectLst/>
              <a:uLnTx/>
              <a:uFillTx/>
              <a:latin typeface="+mn-lt"/>
              <a:ea typeface="+mn-ea"/>
              <a:cs typeface="+mn-cs"/>
            </a:rPr>
            <a:t>Harnesses with sense wires: </a:t>
          </a:r>
          <a:r>
            <a:rPr kumimoji="0" lang="en-US" sz="1100" b="1" i="0" u="none" strike="noStrike" kern="0" cap="none" spc="0" normalizeH="0" baseline="0">
              <a:ln>
                <a:noFill/>
              </a:ln>
              <a:solidFill>
                <a:sysClr val="windowText" lastClr="000000"/>
              </a:solidFill>
              <a:effectLst/>
              <a:uLnTx/>
              <a:uFillTx/>
              <a:latin typeface="+mn-lt"/>
              <a:ea typeface="+mn-ea"/>
              <a:cs typeface="+mn-cs"/>
            </a:rPr>
            <a:t>WP/OP-Program-Power Class(S)-## </a:t>
          </a:r>
          <a:r>
            <a:rPr kumimoji="0" lang="en-US" sz="1100" b="0" i="1" u="none" strike="noStrike" kern="0" cap="none" spc="0" normalizeH="0" baseline="0">
              <a:ln>
                <a:noFill/>
              </a:ln>
              <a:solidFill>
                <a:sysClr val="windowText" lastClr="000000"/>
              </a:solidFill>
              <a:effectLst/>
              <a:uLnTx/>
              <a:uFillTx/>
              <a:latin typeface="+mn-lt"/>
              <a:ea typeface="+mn-ea"/>
              <a:cs typeface="+mn-cs"/>
            </a:rPr>
            <a:t>(e.g. WP-VW-100W(S)-01)</a:t>
          </a:r>
        </a:p>
        <a:p>
          <a:pPr rtl="0" eaLnBrk="1" fontAlgn="base" latinLnBrk="0" hangingPunct="1"/>
          <a:endParaRPr kumimoji="0" lang="en-US" sz="1100" b="1" i="0" u="none" strike="noStrike" kern="0" cap="none" spc="0" normalizeH="0" baseline="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ysClr val="windowText" lastClr="000000"/>
              </a:solidFill>
              <a:effectLst/>
              <a:uLnTx/>
              <a:uFillTx/>
              <a:latin typeface="+mn-lt"/>
              <a:ea typeface="+mn-ea"/>
              <a:cs typeface="+mn-cs"/>
            </a:rPr>
            <a:t>Text and Cell Settings for Printing:</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a:ln>
                <a:noFill/>
              </a:ln>
              <a:solidFill>
                <a:sysClr val="windowText" lastClr="000000"/>
              </a:solidFill>
              <a:effectLst/>
              <a:uLnTx/>
              <a:uFillTx/>
              <a:latin typeface="+mn-lt"/>
              <a:ea typeface="+mn-ea"/>
              <a:cs typeface="+mn-cs"/>
            </a:rPr>
            <a:t>To generate new barcodes, highlight the last row, and drag the bottom right corner down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a:ln>
                <a:noFill/>
              </a:ln>
              <a:solidFill>
                <a:sysClr val="windowText" lastClr="000000"/>
              </a:solidFill>
              <a:effectLst/>
              <a:uLnTx/>
              <a:uFillTx/>
              <a:latin typeface="+mn-lt"/>
              <a:ea typeface="+mn-ea"/>
              <a:cs typeface="+mn-cs"/>
            </a:rPr>
            <a:t>To set the same row height for all cells below, select the </a:t>
          </a:r>
          <a:r>
            <a:rPr kumimoji="0" lang="en-US" sz="1100" b="0" i="0" u="sng" strike="noStrike" kern="0" cap="none" spc="0" normalizeH="0" baseline="0">
              <a:ln>
                <a:noFill/>
              </a:ln>
              <a:solidFill>
                <a:sysClr val="windowText" lastClr="000000"/>
              </a:solidFill>
              <a:effectLst/>
              <a:uLnTx/>
              <a:uFillTx/>
              <a:latin typeface="+mn-lt"/>
              <a:ea typeface="+mn-ea"/>
              <a:cs typeface="+mn-cs"/>
            </a:rPr>
            <a:t>entire row</a:t>
          </a:r>
          <a:r>
            <a:rPr kumimoji="0" lang="en-US" sz="1100" b="0" i="0" u="none" strike="noStrike" kern="0" cap="none" spc="0" normalizeH="0" baseline="0">
              <a:ln>
                <a:noFill/>
              </a:ln>
              <a:solidFill>
                <a:sysClr val="windowText" lastClr="000000"/>
              </a:solidFill>
              <a:effectLst/>
              <a:uLnTx/>
              <a:uFillTx/>
              <a:latin typeface="+mn-lt"/>
              <a:ea typeface="+mn-ea"/>
              <a:cs typeface="+mn-cs"/>
            </a:rPr>
            <a:t> for both the barcode &amp; harness serial number with the correct row heights, click format painter, then select the </a:t>
          </a:r>
          <a:r>
            <a:rPr kumimoji="0" lang="en-US" sz="1100" b="0" i="0" u="sng" strike="noStrike" kern="0" cap="none" spc="0" normalizeH="0" baseline="0">
              <a:ln>
                <a:noFill/>
              </a:ln>
              <a:solidFill>
                <a:sysClr val="windowText" lastClr="000000"/>
              </a:solidFill>
              <a:effectLst/>
              <a:uLnTx/>
              <a:uFillTx/>
              <a:latin typeface="+mn-lt"/>
              <a:ea typeface="+mn-ea"/>
              <a:cs typeface="+mn-cs"/>
            </a:rPr>
            <a:t>entire row</a:t>
          </a:r>
          <a:r>
            <a:rPr kumimoji="0" lang="en-US" sz="1100" b="0" i="0" u="none" strike="noStrike" kern="0" cap="none" spc="0" normalizeH="0" baseline="0">
              <a:ln>
                <a:noFill/>
              </a:ln>
              <a:solidFill>
                <a:sysClr val="windowText" lastClr="000000"/>
              </a:solidFill>
              <a:effectLst/>
              <a:uLnTx/>
              <a:uFillTx/>
              <a:latin typeface="+mn-lt"/>
              <a:ea typeface="+mn-ea"/>
              <a:cs typeface="+mn-cs"/>
            </a:rPr>
            <a:t> for the desired cells</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Barcode row height should be 20</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Text row height should be 10</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The barcode font should be at least size 16 (ideally size 18)</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The serial number text below the barcode should be font "Consolas" size 8</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To print the barcodes, highlight the desired barcode cells, go to File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sym typeface="Wingdings 3" panose="05040102010807070707" pitchFamily="18" charset="2"/>
            </a:rPr>
            <a:t></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Print </a:t>
          </a:r>
          <a:r>
            <a:rPr kumimoji="1" lang="en-US" sz="1100" b="0" i="0" kern="1200" baseline="0">
              <a:solidFill>
                <a:schemeClr val="tx1"/>
              </a:solidFill>
              <a:effectLst/>
              <a:latin typeface="Arial" charset="0"/>
              <a:ea typeface="굴림" charset="0"/>
              <a:cs typeface="굴림" charset="0"/>
              <a:sym typeface="Wingdings 3" panose="05040102010807070707" pitchFamily="18" charset="2"/>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Print Selection</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sz="1100" b="1" i="0" u="none" strike="noStrike" kern="1200" cap="none" spc="0" normalizeH="0" baseline="0" noProof="0">
              <a:ln>
                <a:noFill/>
              </a:ln>
              <a:solidFill>
                <a:prstClr val="black"/>
              </a:solidFill>
              <a:effectLst/>
              <a:uLnTx/>
              <a:uFillTx/>
              <a:latin typeface="Calibri" panose="020F0502020204030204"/>
              <a:ea typeface="굴림" charset="0"/>
              <a:cs typeface="굴림" charset="0"/>
            </a:rPr>
            <a:t>For reference, the instructions on this page were used to generate barcodes:</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1" lang="en-US" sz="1100" b="0" i="0" u="none" strike="noStrike" kern="1200" cap="none" spc="0" normalizeH="0" baseline="0" noProof="0">
              <a:ln>
                <a:noFill/>
              </a:ln>
              <a:solidFill>
                <a:srgbClr val="5B9BD5">
                  <a:lumMod val="75000"/>
                </a:srgbClr>
              </a:solidFill>
              <a:effectLst/>
              <a:uLnTx/>
              <a:uFillTx/>
              <a:latin typeface="Calibri" panose="020F0502020204030204"/>
              <a:ea typeface="굴림" charset="0"/>
              <a:cs typeface="굴림" charset="0"/>
            </a:rPr>
            <a:t>https://code.adonline.id.au/easily-generate-code-128-barcodes-in-excel/ </a:t>
          </a:r>
          <a:endParaRPr kumimoji="0" lang="en-US" sz="1100" b="0" i="0" u="none" strike="noStrike" kern="0" cap="none" spc="0" normalizeH="0" baseline="0" noProof="0">
            <a:ln>
              <a:noFill/>
            </a:ln>
            <a:solidFill>
              <a:srgbClr val="5B9BD5">
                <a:lumMod val="75000"/>
              </a:srgbClr>
            </a:solidFill>
            <a:effectLst/>
            <a:uLnTx/>
            <a:uFillTx/>
            <a:latin typeface="Calibri" panose="020F0502020204030204"/>
            <a:ea typeface="+mn-ea"/>
            <a:cs typeface="+mn-cs"/>
          </a:endParaRPr>
        </a:p>
        <a:p>
          <a:pPr marL="0" marR="0" lvl="0" indent="0" defTabSz="914400" rtl="0" eaLnBrk="1" fontAlgn="base" latinLnBrk="0" hangingPunct="1">
            <a:lnSpc>
              <a:spcPct val="100000"/>
            </a:lnSpc>
            <a:spcBef>
              <a:spcPts val="0"/>
            </a:spcBef>
            <a:spcAft>
              <a:spcPts val="0"/>
            </a:spcAft>
            <a:buClrTx/>
            <a:buSzTx/>
            <a:buFontTx/>
            <a:buNone/>
            <a:tabLst/>
            <a:defRPr/>
          </a:pPr>
          <a:r>
            <a:rPr kumimoji="1" lang="en-US" sz="1100" b="0" i="0" u="none" strike="noStrike" kern="1200" cap="none" spc="0" normalizeH="0" baseline="0" noProof="0">
              <a:ln>
                <a:noFill/>
              </a:ln>
              <a:solidFill>
                <a:prstClr val="black"/>
              </a:solidFill>
              <a:effectLst/>
              <a:uLnTx/>
              <a:uFillTx/>
              <a:latin typeface="Calibri" panose="020F0502020204030204"/>
              <a:ea typeface="굴림" charset="0"/>
              <a:cs typeface="굴림" charset="0"/>
            </a:rPr>
            <a:t>*Note: If the barcodes are not showing properly, the Code 128 font linked on the site may need to be downloaded</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a:ln>
              <a:noFill/>
            </a:ln>
            <a:solidFill>
              <a:sysClr val="windowText" lastClr="000000"/>
            </a:solidFill>
            <a:effectLst/>
            <a:uLnTx/>
            <a:uFillTx/>
            <a:latin typeface="+mn-lt"/>
            <a:ea typeface="+mn-ea"/>
            <a:cs typeface="+mn-cs"/>
          </a:endParaRPr>
        </a:p>
      </xdr:txBody>
    </xdr:sp>
    <xdr:clientData/>
  </xdr:twoCellAnchor>
  <xdr:twoCellAnchor>
    <xdr:from>
      <xdr:col>10</xdr:col>
      <xdr:colOff>257175</xdr:colOff>
      <xdr:row>10</xdr:row>
      <xdr:rowOff>171450</xdr:rowOff>
    </xdr:from>
    <xdr:to>
      <xdr:col>17</xdr:col>
      <xdr:colOff>240975</xdr:colOff>
      <xdr:row>15</xdr:row>
      <xdr:rowOff>128792</xdr:rowOff>
    </xdr:to>
    <xdr:grpSp>
      <xdr:nvGrpSpPr>
        <xdr:cNvPr id="14" name="Group 13">
          <a:extLst>
            <a:ext uri="{FF2B5EF4-FFF2-40B4-BE49-F238E27FC236}">
              <a16:creationId xmlns:a16="http://schemas.microsoft.com/office/drawing/2014/main" id="{00000000-0008-0000-0000-000003000000}"/>
            </a:ext>
          </a:extLst>
        </xdr:cNvPr>
        <xdr:cNvGrpSpPr/>
      </xdr:nvGrpSpPr>
      <xdr:grpSpPr>
        <a:xfrm>
          <a:off x="6353175" y="1981200"/>
          <a:ext cx="4251000" cy="862217"/>
          <a:chOff x="4671748" y="3546325"/>
          <a:chExt cx="4251000" cy="909842"/>
        </a:xfrm>
      </xdr:grpSpPr>
      <xdr:pic>
        <xdr:nvPicPr>
          <xdr:cNvPr id="15" name="Picture 14">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671748" y="3593579"/>
            <a:ext cx="2833440" cy="862588"/>
          </a:xfrm>
          <a:prstGeom prst="rect">
            <a:avLst/>
          </a:prstGeom>
        </xdr:spPr>
      </xdr:pic>
      <xdr:cxnSp macro="">
        <xdr:nvCxnSpPr>
          <xdr:cNvPr id="16" name="Straight Arrow Connector 15">
            <a:extLst>
              <a:ext uri="{FF2B5EF4-FFF2-40B4-BE49-F238E27FC236}">
                <a16:creationId xmlns:a16="http://schemas.microsoft.com/office/drawing/2014/main" id="{00000000-0008-0000-0000-000005000000}"/>
              </a:ext>
            </a:extLst>
          </xdr:cNvPr>
          <xdr:cNvCxnSpPr/>
        </xdr:nvCxnSpPr>
        <xdr:spPr>
          <a:xfrm flipH="1">
            <a:off x="7505188" y="4011299"/>
            <a:ext cx="300632" cy="0"/>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000-000007000000}"/>
              </a:ext>
            </a:extLst>
          </xdr:cNvPr>
          <xdr:cNvCxnSpPr/>
        </xdr:nvCxnSpPr>
        <xdr:spPr>
          <a:xfrm flipH="1">
            <a:off x="7506385" y="4140183"/>
            <a:ext cx="300632" cy="0"/>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000-000008000000}"/>
              </a:ext>
            </a:extLst>
          </xdr:cNvPr>
          <xdr:cNvSpPr txBox="1"/>
        </xdr:nvSpPr>
        <xdr:spPr>
          <a:xfrm>
            <a:off x="7787594" y="3877288"/>
            <a:ext cx="1125629" cy="261610"/>
          </a:xfrm>
          <a:prstGeom prst="rect">
            <a:avLst/>
          </a:prstGeom>
          <a:noFill/>
        </xdr:spPr>
        <xdr:txBody>
          <a:bodyPr wrap="square" rtlCol="0">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Row height: 20</a:t>
            </a:r>
          </a:p>
        </xdr:txBody>
      </xdr:sp>
      <xdr:sp macro="" textlink="">
        <xdr:nvSpPr>
          <xdr:cNvPr id="19" name="Rectangle 18">
            <a:extLst>
              <a:ext uri="{FF2B5EF4-FFF2-40B4-BE49-F238E27FC236}">
                <a16:creationId xmlns:a16="http://schemas.microsoft.com/office/drawing/2014/main" id="{00000000-0008-0000-0000-000009000000}"/>
              </a:ext>
            </a:extLst>
          </xdr:cNvPr>
          <xdr:cNvSpPr/>
        </xdr:nvSpPr>
        <xdr:spPr>
          <a:xfrm>
            <a:off x="7797119" y="4030758"/>
            <a:ext cx="1125629" cy="261610"/>
          </a:xfrm>
          <a:prstGeom prst="rect">
            <a:avLst/>
          </a:prstGeom>
        </xdr:spPr>
        <xdr:txBody>
          <a:bodyPr wrap="square">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Row height: 10</a:t>
            </a:r>
          </a:p>
        </xdr:txBody>
      </xdr:sp>
      <xdr:cxnSp macro="">
        <xdr:nvCxnSpPr>
          <xdr:cNvPr id="20" name="Straight Arrow Connector 19">
            <a:extLst>
              <a:ext uri="{FF2B5EF4-FFF2-40B4-BE49-F238E27FC236}">
                <a16:creationId xmlns:a16="http://schemas.microsoft.com/office/drawing/2014/main" id="{00000000-0008-0000-0000-00000A000000}"/>
              </a:ext>
            </a:extLst>
          </xdr:cNvPr>
          <xdr:cNvCxnSpPr>
            <a:stCxn id="21" idx="1"/>
          </xdr:cNvCxnSpPr>
        </xdr:nvCxnSpPr>
        <xdr:spPr>
          <a:xfrm flipH="1">
            <a:off x="7417607" y="3677130"/>
            <a:ext cx="272582" cy="133109"/>
          </a:xfrm>
          <a:prstGeom prst="straightConnector1">
            <a:avLst/>
          </a:prstGeom>
          <a:ln w="12700" cmpd="sng">
            <a:solidFill>
              <a:schemeClr val="accent1"/>
            </a:solidFill>
            <a:tailEnd type="triangle"/>
          </a:ln>
          <a:effectLst/>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000-00000B000000}"/>
              </a:ext>
            </a:extLst>
          </xdr:cNvPr>
          <xdr:cNvSpPr txBox="1"/>
        </xdr:nvSpPr>
        <xdr:spPr>
          <a:xfrm>
            <a:off x="7690189" y="3546325"/>
            <a:ext cx="1069524" cy="261610"/>
          </a:xfrm>
          <a:prstGeom prst="rect">
            <a:avLst/>
          </a:prstGeom>
          <a:noFill/>
        </xdr:spPr>
        <xdr:txBody>
          <a:bodyPr wrap="square" rtlCol="0">
            <a:spAutoFit/>
          </a:bodyPr>
          <a:lstStyle>
            <a:defPPr>
              <a:defRPr lang="ko-KR"/>
            </a:defPPr>
            <a:lvl1pPr algn="l" rtl="0" fontAlgn="base" latinLnBrk="1">
              <a:spcBef>
                <a:spcPct val="0"/>
              </a:spcBef>
              <a:spcAft>
                <a:spcPct val="0"/>
              </a:spcAft>
              <a:defRPr kumimoji="1" kern="1200">
                <a:solidFill>
                  <a:schemeClr val="tx1"/>
                </a:solidFill>
                <a:latin typeface="Arial" charset="0"/>
                <a:ea typeface="굴림" charset="0"/>
                <a:cs typeface="굴림" charset="0"/>
              </a:defRPr>
            </a:lvl1pPr>
            <a:lvl2pPr marL="457200" algn="l" rtl="0" fontAlgn="base" latinLnBrk="1">
              <a:spcBef>
                <a:spcPct val="0"/>
              </a:spcBef>
              <a:spcAft>
                <a:spcPct val="0"/>
              </a:spcAft>
              <a:defRPr kumimoji="1" kern="1200">
                <a:solidFill>
                  <a:schemeClr val="tx1"/>
                </a:solidFill>
                <a:latin typeface="Arial" charset="0"/>
                <a:ea typeface="굴림" charset="0"/>
                <a:cs typeface="굴림" charset="0"/>
              </a:defRPr>
            </a:lvl2pPr>
            <a:lvl3pPr marL="914400" algn="l" rtl="0" fontAlgn="base" latinLnBrk="1">
              <a:spcBef>
                <a:spcPct val="0"/>
              </a:spcBef>
              <a:spcAft>
                <a:spcPct val="0"/>
              </a:spcAft>
              <a:defRPr kumimoji="1" kern="1200">
                <a:solidFill>
                  <a:schemeClr val="tx1"/>
                </a:solidFill>
                <a:latin typeface="Arial" charset="0"/>
                <a:ea typeface="굴림" charset="0"/>
                <a:cs typeface="굴림" charset="0"/>
              </a:defRPr>
            </a:lvl3pPr>
            <a:lvl4pPr marL="1371600" algn="l" rtl="0" fontAlgn="base" latinLnBrk="1">
              <a:spcBef>
                <a:spcPct val="0"/>
              </a:spcBef>
              <a:spcAft>
                <a:spcPct val="0"/>
              </a:spcAft>
              <a:defRPr kumimoji="1" kern="1200">
                <a:solidFill>
                  <a:schemeClr val="tx1"/>
                </a:solidFill>
                <a:latin typeface="Arial" charset="0"/>
                <a:ea typeface="굴림" charset="0"/>
                <a:cs typeface="굴림" charset="0"/>
              </a:defRPr>
            </a:lvl4pPr>
            <a:lvl5pPr marL="1828800" algn="l" rtl="0" fontAlgn="base" latinLnBrk="1">
              <a:spcBef>
                <a:spcPct val="0"/>
              </a:spcBef>
              <a:spcAft>
                <a:spcPct val="0"/>
              </a:spcAft>
              <a:defRPr kumimoji="1" kern="1200">
                <a:solidFill>
                  <a:schemeClr val="tx1"/>
                </a:solidFill>
                <a:latin typeface="Arial" charset="0"/>
                <a:ea typeface="굴림" charset="0"/>
                <a:cs typeface="굴림" charset="0"/>
              </a:defRPr>
            </a:lvl5pPr>
            <a:lvl6pPr marL="2286000" algn="l" defTabSz="457200" rtl="0" eaLnBrk="1" latinLnBrk="0" hangingPunct="1">
              <a:defRPr kumimoji="1" kern="1200">
                <a:solidFill>
                  <a:schemeClr val="tx1"/>
                </a:solidFill>
                <a:latin typeface="Arial" charset="0"/>
                <a:ea typeface="굴림" charset="0"/>
                <a:cs typeface="굴림" charset="0"/>
              </a:defRPr>
            </a:lvl6pPr>
            <a:lvl7pPr marL="2743200" algn="l" defTabSz="457200" rtl="0" eaLnBrk="1" latinLnBrk="0" hangingPunct="1">
              <a:defRPr kumimoji="1" kern="1200">
                <a:solidFill>
                  <a:schemeClr val="tx1"/>
                </a:solidFill>
                <a:latin typeface="Arial" charset="0"/>
                <a:ea typeface="굴림" charset="0"/>
                <a:cs typeface="굴림" charset="0"/>
              </a:defRPr>
            </a:lvl7pPr>
            <a:lvl8pPr marL="3200400" algn="l" defTabSz="457200" rtl="0" eaLnBrk="1" latinLnBrk="0" hangingPunct="1">
              <a:defRPr kumimoji="1" kern="1200">
                <a:solidFill>
                  <a:schemeClr val="tx1"/>
                </a:solidFill>
                <a:latin typeface="Arial" charset="0"/>
                <a:ea typeface="굴림" charset="0"/>
                <a:cs typeface="굴림" charset="0"/>
              </a:defRPr>
            </a:lvl8pPr>
            <a:lvl9pPr marL="3657600" algn="l" defTabSz="457200" rtl="0" eaLnBrk="1" latinLnBrk="0" hangingPunct="1">
              <a:defRPr kumimoji="1" kern="1200">
                <a:solidFill>
                  <a:schemeClr val="tx1"/>
                </a:solidFill>
                <a:latin typeface="Arial" charset="0"/>
                <a:ea typeface="굴림" charset="0"/>
                <a:cs typeface="굴림" charset="0"/>
              </a:defRPr>
            </a:lvl9pPr>
          </a:lstStyle>
          <a:p>
            <a:pPr latinLnBrk="0"/>
            <a:r>
              <a:rPr lang="en-US" sz="1100">
                <a:solidFill>
                  <a:schemeClr val="accent1"/>
                </a:solidFill>
              </a:rPr>
              <a:t>Code 128 font</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F25" sqref="F25"/>
    </sheetView>
  </sheetViews>
  <sheetFormatPr defaultRowHeight="14.45"/>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G6"/>
  <sheetViews>
    <sheetView zoomScaleNormal="100" workbookViewId="0">
      <selection activeCell="A31" sqref="A31"/>
    </sheetView>
  </sheetViews>
  <sheetFormatPr defaultRowHeight="14.45"/>
  <cols>
    <col min="1" max="1" width="25.140625" bestFit="1" customWidth="1"/>
    <col min="2" max="2" width="27.5703125" bestFit="1" customWidth="1"/>
    <col min="3" max="3" width="25.7109375" bestFit="1" customWidth="1"/>
    <col min="4" max="5" width="15.28515625" customWidth="1"/>
    <col min="6" max="6" width="19.42578125" customWidth="1"/>
    <col min="7" max="7" width="17.5703125" customWidth="1"/>
    <col min="8" max="8" width="14.85546875" customWidth="1"/>
    <col min="10" max="10" width="16.85546875" customWidth="1"/>
  </cols>
  <sheetData>
    <row r="1" spans="1:7" ht="35.25" customHeight="1">
      <c r="A1" s="1" t="s">
        <v>0</v>
      </c>
      <c r="B1" s="1" t="s">
        <v>1</v>
      </c>
      <c r="C1" s="2" t="s">
        <v>2</v>
      </c>
      <c r="D1" s="3" t="s">
        <v>3</v>
      </c>
      <c r="E1" s="4" t="s">
        <v>4</v>
      </c>
      <c r="F1" s="1" t="s">
        <v>5</v>
      </c>
    </row>
    <row r="2" spans="1:7">
      <c r="A2" s="5" t="s">
        <v>6</v>
      </c>
      <c r="B2" s="5"/>
      <c r="C2" s="6"/>
      <c r="D2" s="7"/>
      <c r="E2" s="8" t="s">
        <v>7</v>
      </c>
      <c r="F2" s="5"/>
    </row>
    <row r="4" spans="1:7" ht="43.15">
      <c r="A4" s="9" t="s">
        <v>8</v>
      </c>
      <c r="B4" s="9" t="s">
        <v>9</v>
      </c>
      <c r="C4" s="10" t="s">
        <v>10</v>
      </c>
      <c r="D4" s="11" t="s">
        <v>11</v>
      </c>
      <c r="E4" s="16" t="s">
        <v>12</v>
      </c>
      <c r="F4" s="12" t="s">
        <v>13</v>
      </c>
      <c r="G4" s="13" t="s">
        <v>14</v>
      </c>
    </row>
    <row r="5" spans="1:7" ht="20.100000000000001" customHeight="1">
      <c r="A5" s="17"/>
      <c r="B5" s="19" t="e">
        <f ca="1">Code128(A5)</f>
        <v>#NAME?</v>
      </c>
      <c r="C5" s="14" t="e">
        <f ca="1">B5</f>
        <v>#NAME?</v>
      </c>
      <c r="D5" s="21"/>
      <c r="E5" s="21"/>
      <c r="F5" s="22"/>
      <c r="G5" s="23"/>
    </row>
    <row r="6" spans="1:7" ht="9.9499999999999993" customHeight="1">
      <c r="A6" s="18"/>
      <c r="B6" s="20"/>
      <c r="C6" s="15">
        <f>A5</f>
        <v>0</v>
      </c>
      <c r="D6" s="21"/>
      <c r="E6" s="21"/>
      <c r="F6" s="22"/>
      <c r="G6" s="24"/>
    </row>
  </sheetData>
  <mergeCells count="6">
    <mergeCell ref="A5:A6"/>
    <mergeCell ref="B5:B6"/>
    <mergeCell ref="D5:D6"/>
    <mergeCell ref="F5:F6"/>
    <mergeCell ref="G5:G6"/>
    <mergeCell ref="E5:E6"/>
  </mergeCells>
  <conditionalFormatting sqref="A5:G5 A6:D6 F6:G6">
    <cfRule type="expression" dxfId="50" priority="1">
      <formula>$G5="A"</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C00000"/>
  </sheetPr>
  <dimension ref="A1:G64"/>
  <sheetViews>
    <sheetView zoomScaleNormal="100" workbookViewId="0">
      <selection activeCell="G17" sqref="G17:G18"/>
    </sheetView>
  </sheetViews>
  <sheetFormatPr defaultRowHeight="14.45"/>
  <cols>
    <col min="1" max="1" width="25.140625" bestFit="1" customWidth="1"/>
    <col min="2" max="2" width="27.5703125" bestFit="1" customWidth="1"/>
    <col min="3" max="3" width="25.7109375" bestFit="1" customWidth="1"/>
    <col min="4" max="5" width="15.28515625" customWidth="1"/>
    <col min="6" max="6" width="19.42578125" customWidth="1"/>
    <col min="7" max="7" width="17.5703125" customWidth="1"/>
    <col min="8" max="8" width="14.85546875" customWidth="1"/>
    <col min="10" max="10" width="16.85546875" customWidth="1"/>
  </cols>
  <sheetData>
    <row r="1" spans="1:7" ht="25.5" customHeight="1">
      <c r="A1" s="1" t="s">
        <v>0</v>
      </c>
      <c r="B1" s="1" t="s">
        <v>1</v>
      </c>
      <c r="C1" s="2" t="s">
        <v>2</v>
      </c>
      <c r="D1" s="3" t="s">
        <v>3</v>
      </c>
      <c r="E1" s="4" t="s">
        <v>4</v>
      </c>
      <c r="F1" s="1" t="s">
        <v>5</v>
      </c>
    </row>
    <row r="2" spans="1:7">
      <c r="A2" s="5" t="s">
        <v>6</v>
      </c>
      <c r="B2" s="5" t="s">
        <v>15</v>
      </c>
      <c r="C2" s="6" t="s">
        <v>16</v>
      </c>
      <c r="D2" s="7" t="s">
        <v>17</v>
      </c>
      <c r="E2" s="8"/>
      <c r="F2" s="5"/>
    </row>
    <row r="4" spans="1:7" ht="43.15">
      <c r="A4" s="9" t="s">
        <v>8</v>
      </c>
      <c r="B4" s="9" t="s">
        <v>9</v>
      </c>
      <c r="C4" s="10" t="s">
        <v>10</v>
      </c>
      <c r="D4" s="11" t="s">
        <v>11</v>
      </c>
      <c r="E4" s="16" t="s">
        <v>12</v>
      </c>
      <c r="F4" s="12" t="s">
        <v>13</v>
      </c>
      <c r="G4" s="13" t="s">
        <v>14</v>
      </c>
    </row>
    <row r="5" spans="1:7" ht="20.100000000000001" customHeight="1">
      <c r="A5" s="17" t="s">
        <v>18</v>
      </c>
      <c r="B5" s="19" t="e">
        <f ca="1">Code128(A5)</f>
        <v>#NAME?</v>
      </c>
      <c r="C5" s="14" t="e">
        <f ca="1">B5</f>
        <v>#NAME?</v>
      </c>
      <c r="D5" s="21"/>
      <c r="E5" s="21"/>
      <c r="F5" s="22">
        <v>44399</v>
      </c>
      <c r="G5" s="23" t="s">
        <v>19</v>
      </c>
    </row>
    <row r="6" spans="1:7" ht="9.9499999999999993" customHeight="1">
      <c r="A6" s="18"/>
      <c r="B6" s="20"/>
      <c r="C6" s="15" t="str">
        <f>A5</f>
        <v>OP-eCL-12V(S)-01</v>
      </c>
      <c r="D6" s="21"/>
      <c r="E6" s="21"/>
      <c r="F6" s="22"/>
      <c r="G6" s="24"/>
    </row>
    <row r="7" spans="1:7" ht="20.100000000000001" customHeight="1">
      <c r="A7" s="17" t="s">
        <v>20</v>
      </c>
      <c r="B7" s="19" t="e">
        <f t="shared" ref="B7" ca="1" si="0">Code128(A7)</f>
        <v>#NAME?</v>
      </c>
      <c r="C7" s="14" t="e">
        <f t="shared" ref="C7" ca="1" si="1">B7</f>
        <v>#NAME?</v>
      </c>
      <c r="D7" s="21"/>
      <c r="E7" s="21"/>
      <c r="F7" s="22">
        <v>44399</v>
      </c>
      <c r="G7" s="23" t="s">
        <v>19</v>
      </c>
    </row>
    <row r="8" spans="1:7" ht="9.9499999999999993" customHeight="1">
      <c r="A8" s="18"/>
      <c r="B8" s="20"/>
      <c r="C8" s="15" t="str">
        <f t="shared" ref="C8" si="2">A7</f>
        <v>OP-eCL-12V(S)-02</v>
      </c>
      <c r="D8" s="21"/>
      <c r="E8" s="21"/>
      <c r="F8" s="22"/>
      <c r="G8" s="24"/>
    </row>
    <row r="9" spans="1:7" ht="20.100000000000001" customHeight="1">
      <c r="A9" s="17" t="s">
        <v>21</v>
      </c>
      <c r="B9" s="19" t="e">
        <f t="shared" ref="B9" ca="1" si="3">Code128(A9)</f>
        <v>#NAME?</v>
      </c>
      <c r="C9" s="14" t="e">
        <f t="shared" ref="C9" ca="1" si="4">B9</f>
        <v>#NAME?</v>
      </c>
      <c r="D9" s="21"/>
      <c r="E9" s="21"/>
      <c r="F9" s="22">
        <v>44399</v>
      </c>
      <c r="G9" s="23" t="s">
        <v>19</v>
      </c>
    </row>
    <row r="10" spans="1:7" ht="9.9499999999999993" customHeight="1">
      <c r="A10" s="18"/>
      <c r="B10" s="20"/>
      <c r="C10" s="15" t="str">
        <f t="shared" ref="C10" si="5">A9</f>
        <v>OP-eCL-12V(S)-03</v>
      </c>
      <c r="D10" s="21"/>
      <c r="E10" s="21"/>
      <c r="F10" s="22"/>
      <c r="G10" s="24"/>
    </row>
    <row r="11" spans="1:7" ht="20.100000000000001" customHeight="1">
      <c r="A11" s="17" t="s">
        <v>22</v>
      </c>
      <c r="B11" s="19" t="e">
        <f t="shared" ref="B11" ca="1" si="6">Code128(A11)</f>
        <v>#NAME?</v>
      </c>
      <c r="C11" s="14" t="e">
        <f t="shared" ref="C11" ca="1" si="7">B11</f>
        <v>#NAME?</v>
      </c>
      <c r="D11" s="21"/>
      <c r="E11" s="21"/>
      <c r="F11" s="22">
        <v>44399</v>
      </c>
      <c r="G11" s="23" t="s">
        <v>19</v>
      </c>
    </row>
    <row r="12" spans="1:7" ht="9.9499999999999993" customHeight="1">
      <c r="A12" s="18"/>
      <c r="B12" s="20"/>
      <c r="C12" s="15" t="str">
        <f t="shared" ref="C12" si="8">A11</f>
        <v>OP-eCL-12V(S)-04</v>
      </c>
      <c r="D12" s="21"/>
      <c r="E12" s="21"/>
      <c r="F12" s="22"/>
      <c r="G12" s="24"/>
    </row>
    <row r="13" spans="1:7" ht="20.100000000000001" customHeight="1">
      <c r="A13" s="17" t="s">
        <v>23</v>
      </c>
      <c r="B13" s="19" t="e">
        <f t="shared" ref="B13" ca="1" si="9">Code128(A13)</f>
        <v>#NAME?</v>
      </c>
      <c r="C13" s="14" t="e">
        <f t="shared" ref="C13" ca="1" si="10">B13</f>
        <v>#NAME?</v>
      </c>
      <c r="D13" s="21"/>
      <c r="E13" s="21"/>
      <c r="F13" s="22">
        <v>44399</v>
      </c>
      <c r="G13" s="23" t="s">
        <v>19</v>
      </c>
    </row>
    <row r="14" spans="1:7" ht="9.9499999999999993" customHeight="1">
      <c r="A14" s="18"/>
      <c r="B14" s="20"/>
      <c r="C14" s="15" t="str">
        <f t="shared" ref="C14" si="11">A13</f>
        <v>OP-eCL-12V(S)-05</v>
      </c>
      <c r="D14" s="21"/>
      <c r="E14" s="21"/>
      <c r="F14" s="22"/>
      <c r="G14" s="24"/>
    </row>
    <row r="15" spans="1:7" ht="20.100000000000001" customHeight="1">
      <c r="A15" s="17" t="s">
        <v>24</v>
      </c>
      <c r="B15" s="19" t="e">
        <f t="shared" ref="B15" ca="1" si="12">Code128(A15)</f>
        <v>#NAME?</v>
      </c>
      <c r="C15" s="14" t="e">
        <f t="shared" ref="C15" ca="1" si="13">B15</f>
        <v>#NAME?</v>
      </c>
      <c r="D15" s="21"/>
      <c r="E15" s="21"/>
      <c r="F15" s="22">
        <v>44399</v>
      </c>
      <c r="G15" s="23" t="s">
        <v>19</v>
      </c>
    </row>
    <row r="16" spans="1:7" ht="9.9499999999999993" customHeight="1">
      <c r="A16" s="18"/>
      <c r="B16" s="20"/>
      <c r="C16" s="15" t="str">
        <f t="shared" ref="C16" si="14">A15</f>
        <v>OP-eCL-12V(S)-06</v>
      </c>
      <c r="D16" s="21"/>
      <c r="E16" s="21"/>
      <c r="F16" s="22"/>
      <c r="G16" s="24"/>
    </row>
    <row r="17" spans="1:7" ht="20.100000000000001" customHeight="1">
      <c r="A17" s="17" t="s">
        <v>25</v>
      </c>
      <c r="B17" s="19" t="e">
        <f t="shared" ref="B17" ca="1" si="15">Code128(A17)</f>
        <v>#NAME?</v>
      </c>
      <c r="C17" s="14" t="e">
        <f t="shared" ref="C17" ca="1" si="16">B17</f>
        <v>#NAME?</v>
      </c>
      <c r="D17" s="21"/>
      <c r="E17" s="21"/>
      <c r="F17" s="22">
        <v>44399</v>
      </c>
      <c r="G17" s="23" t="s">
        <v>19</v>
      </c>
    </row>
    <row r="18" spans="1:7" ht="9.9499999999999993" customHeight="1">
      <c r="A18" s="18"/>
      <c r="B18" s="20"/>
      <c r="C18" s="15" t="str">
        <f t="shared" ref="C18" si="17">A17</f>
        <v>OP-eCL-12V(S)-07</v>
      </c>
      <c r="D18" s="21"/>
      <c r="E18" s="21"/>
      <c r="F18" s="22"/>
      <c r="G18" s="24"/>
    </row>
    <row r="19" spans="1:7" ht="20.100000000000001" customHeight="1">
      <c r="A19" s="17" t="s">
        <v>26</v>
      </c>
      <c r="B19" s="19" t="e">
        <f t="shared" ref="B19" ca="1" si="18">Code128(A19)</f>
        <v>#NAME?</v>
      </c>
      <c r="C19" s="14" t="e">
        <f t="shared" ref="C19" ca="1" si="19">B19</f>
        <v>#NAME?</v>
      </c>
      <c r="D19" s="21"/>
      <c r="E19" s="21"/>
      <c r="F19" s="22">
        <v>44399</v>
      </c>
      <c r="G19" s="23" t="s">
        <v>19</v>
      </c>
    </row>
    <row r="20" spans="1:7" ht="9.9499999999999993" customHeight="1">
      <c r="A20" s="18"/>
      <c r="B20" s="20"/>
      <c r="C20" s="15" t="str">
        <f t="shared" ref="C20" si="20">A19</f>
        <v>OP-eCL-12V(S)-08</v>
      </c>
      <c r="D20" s="21"/>
      <c r="E20" s="21"/>
      <c r="F20" s="22"/>
      <c r="G20" s="24"/>
    </row>
    <row r="21" spans="1:7" ht="20.100000000000001" customHeight="1">
      <c r="A21" s="17" t="s">
        <v>27</v>
      </c>
      <c r="B21" s="19" t="e">
        <f t="shared" ref="B21" ca="1" si="21">Code128(A21)</f>
        <v>#NAME?</v>
      </c>
      <c r="C21" s="14" t="e">
        <f t="shared" ref="C21" ca="1" si="22">B21</f>
        <v>#NAME?</v>
      </c>
      <c r="D21" s="21"/>
      <c r="E21" s="21"/>
      <c r="F21" s="22">
        <v>44399</v>
      </c>
      <c r="G21" s="23" t="s">
        <v>19</v>
      </c>
    </row>
    <row r="22" spans="1:7" ht="9.9499999999999993" customHeight="1">
      <c r="A22" s="18"/>
      <c r="B22" s="20"/>
      <c r="C22" s="15" t="str">
        <f t="shared" ref="C22" si="23">A21</f>
        <v>OP-eCL-12V(S)-09</v>
      </c>
      <c r="D22" s="21"/>
      <c r="E22" s="21"/>
      <c r="F22" s="22"/>
      <c r="G22" s="24"/>
    </row>
    <row r="23" spans="1:7" ht="20.100000000000001" customHeight="1">
      <c r="A23" s="17" t="s">
        <v>28</v>
      </c>
      <c r="B23" s="19" t="e">
        <f t="shared" ref="B23" ca="1" si="24">Code128(A23)</f>
        <v>#NAME?</v>
      </c>
      <c r="C23" s="14" t="e">
        <f t="shared" ref="C23" ca="1" si="25">B23</f>
        <v>#NAME?</v>
      </c>
      <c r="D23" s="21"/>
      <c r="E23" s="21"/>
      <c r="F23" s="22">
        <v>44399</v>
      </c>
      <c r="G23" s="23" t="s">
        <v>19</v>
      </c>
    </row>
    <row r="24" spans="1:7" ht="9.9499999999999993" customHeight="1">
      <c r="A24" s="18"/>
      <c r="B24" s="20"/>
      <c r="C24" s="15" t="str">
        <f t="shared" ref="C24" si="26">A23</f>
        <v>OP-eCL-12V(S)-10</v>
      </c>
      <c r="D24" s="21"/>
      <c r="E24" s="21"/>
      <c r="F24" s="22"/>
      <c r="G24" s="24"/>
    </row>
    <row r="25" spans="1:7" ht="20.100000000000001" customHeight="1">
      <c r="A25" s="17" t="s">
        <v>29</v>
      </c>
      <c r="B25" s="19" t="e">
        <f t="shared" ref="B25" ca="1" si="27">Code128(A25)</f>
        <v>#NAME?</v>
      </c>
      <c r="C25" s="14" t="e">
        <f t="shared" ref="C25" ca="1" si="28">B25</f>
        <v>#NAME?</v>
      </c>
      <c r="D25" s="21"/>
      <c r="E25" s="21"/>
      <c r="F25" s="22">
        <v>44399</v>
      </c>
      <c r="G25" s="23" t="s">
        <v>19</v>
      </c>
    </row>
    <row r="26" spans="1:7" ht="9.9499999999999993" customHeight="1">
      <c r="A26" s="18"/>
      <c r="B26" s="20"/>
      <c r="C26" s="15" t="str">
        <f t="shared" ref="C26" si="29">A25</f>
        <v>OP-eCL-12V(S)-11</v>
      </c>
      <c r="D26" s="21"/>
      <c r="E26" s="21"/>
      <c r="F26" s="22"/>
      <c r="G26" s="24"/>
    </row>
    <row r="27" spans="1:7" ht="20.100000000000001" customHeight="1">
      <c r="A27" s="17" t="s">
        <v>30</v>
      </c>
      <c r="B27" s="19" t="e">
        <f t="shared" ref="B27" ca="1" si="30">Code128(A27)</f>
        <v>#NAME?</v>
      </c>
      <c r="C27" s="14" t="e">
        <f t="shared" ref="C27" ca="1" si="31">B27</f>
        <v>#NAME?</v>
      </c>
      <c r="D27" s="21"/>
      <c r="E27" s="21"/>
      <c r="F27" s="22">
        <v>44399</v>
      </c>
      <c r="G27" s="23" t="s">
        <v>19</v>
      </c>
    </row>
    <row r="28" spans="1:7" ht="9.9499999999999993" customHeight="1">
      <c r="A28" s="18"/>
      <c r="B28" s="20"/>
      <c r="C28" s="15" t="str">
        <f t="shared" ref="C28" si="32">A27</f>
        <v>OP-eCL-12V(S)-12</v>
      </c>
      <c r="D28" s="21"/>
      <c r="E28" s="21"/>
      <c r="F28" s="22"/>
      <c r="G28" s="24"/>
    </row>
    <row r="29" spans="1:7" ht="20.100000000000001" customHeight="1">
      <c r="A29" s="17" t="s">
        <v>31</v>
      </c>
      <c r="B29" s="19" t="e">
        <f t="shared" ref="B29" ca="1" si="33">Code128(A29)</f>
        <v>#NAME?</v>
      </c>
      <c r="C29" s="14" t="e">
        <f t="shared" ref="C29" ca="1" si="34">B29</f>
        <v>#NAME?</v>
      </c>
      <c r="D29" s="21"/>
      <c r="E29" s="21"/>
      <c r="F29" s="22">
        <v>44399</v>
      </c>
      <c r="G29" s="23" t="s">
        <v>19</v>
      </c>
    </row>
    <row r="30" spans="1:7" ht="9.9499999999999993" customHeight="1">
      <c r="A30" s="18"/>
      <c r="B30" s="20"/>
      <c r="C30" s="15" t="str">
        <f t="shared" ref="C30" si="35">A29</f>
        <v>OP-eCL-12V(S)-13</v>
      </c>
      <c r="D30" s="21"/>
      <c r="E30" s="21"/>
      <c r="F30" s="22"/>
      <c r="G30" s="24"/>
    </row>
    <row r="31" spans="1:7" ht="20.100000000000001" customHeight="1">
      <c r="A31" s="17" t="s">
        <v>32</v>
      </c>
      <c r="B31" s="19" t="e">
        <f t="shared" ref="B31" ca="1" si="36">Code128(A31)</f>
        <v>#NAME?</v>
      </c>
      <c r="C31" s="14" t="e">
        <f t="shared" ref="C31" ca="1" si="37">B31</f>
        <v>#NAME?</v>
      </c>
      <c r="D31" s="21"/>
      <c r="E31" s="21"/>
      <c r="F31" s="22">
        <v>44399</v>
      </c>
      <c r="G31" s="23" t="s">
        <v>19</v>
      </c>
    </row>
    <row r="32" spans="1:7" ht="9.9499999999999993" customHeight="1">
      <c r="A32" s="18"/>
      <c r="B32" s="20"/>
      <c r="C32" s="15" t="str">
        <f t="shared" ref="C32" si="38">A31</f>
        <v>OP-eCL-12V(S)-14</v>
      </c>
      <c r="D32" s="21"/>
      <c r="E32" s="21"/>
      <c r="F32" s="22"/>
      <c r="G32" s="24"/>
    </row>
    <row r="33" spans="1:7" ht="20.100000000000001" customHeight="1">
      <c r="A33" s="17" t="s">
        <v>33</v>
      </c>
      <c r="B33" s="19" t="e">
        <f ca="1">Code128(A33)</f>
        <v>#NAME?</v>
      </c>
      <c r="C33" s="14" t="e">
        <f ca="1">B33</f>
        <v>#NAME?</v>
      </c>
      <c r="D33" s="21"/>
      <c r="E33" s="21"/>
      <c r="F33" s="22">
        <v>44399</v>
      </c>
      <c r="G33" s="23" t="s">
        <v>19</v>
      </c>
    </row>
    <row r="34" spans="1:7" ht="9.9499999999999993" customHeight="1">
      <c r="A34" s="18"/>
      <c r="B34" s="20"/>
      <c r="C34" s="15" t="str">
        <f>A33</f>
        <v>OP-eCL-12V(S)-15</v>
      </c>
      <c r="D34" s="21"/>
      <c r="E34" s="21"/>
      <c r="F34" s="22"/>
      <c r="G34" s="24"/>
    </row>
    <row r="35" spans="1:7" ht="20.100000000000001" customHeight="1">
      <c r="A35" s="17" t="s">
        <v>34</v>
      </c>
      <c r="B35" s="19" t="e">
        <f t="shared" ref="B35" ca="1" si="39">Code128(A35)</f>
        <v>#NAME?</v>
      </c>
      <c r="C35" s="14" t="e">
        <f t="shared" ref="C35" ca="1" si="40">B35</f>
        <v>#NAME?</v>
      </c>
      <c r="D35" s="21"/>
      <c r="E35" s="21"/>
      <c r="F35" s="22">
        <v>44399</v>
      </c>
      <c r="G35" s="23" t="s">
        <v>19</v>
      </c>
    </row>
    <row r="36" spans="1:7" ht="9.9499999999999993" customHeight="1">
      <c r="A36" s="18"/>
      <c r="B36" s="20"/>
      <c r="C36" s="15" t="str">
        <f t="shared" ref="C36" si="41">A35</f>
        <v>OP-eCL-12V(S)-16</v>
      </c>
      <c r="D36" s="21"/>
      <c r="E36" s="21"/>
      <c r="F36" s="22"/>
      <c r="G36" s="24"/>
    </row>
    <row r="37" spans="1:7" ht="20.100000000000001" customHeight="1">
      <c r="A37" s="17" t="s">
        <v>35</v>
      </c>
      <c r="B37" s="19" t="e">
        <f t="shared" ref="B37" ca="1" si="42">Code128(A37)</f>
        <v>#NAME?</v>
      </c>
      <c r="C37" s="14" t="e">
        <f t="shared" ref="C37" ca="1" si="43">B37</f>
        <v>#NAME?</v>
      </c>
      <c r="D37" s="21"/>
      <c r="E37" s="21"/>
      <c r="F37" s="22">
        <v>44399</v>
      </c>
      <c r="G37" s="23" t="s">
        <v>19</v>
      </c>
    </row>
    <row r="38" spans="1:7" ht="9.9499999999999993" customHeight="1">
      <c r="A38" s="18"/>
      <c r="B38" s="20"/>
      <c r="C38" s="15" t="str">
        <f t="shared" ref="C38" si="44">A37</f>
        <v>OP-eCL-12V(S)-17</v>
      </c>
      <c r="D38" s="21"/>
      <c r="E38" s="21"/>
      <c r="F38" s="22"/>
      <c r="G38" s="24"/>
    </row>
    <row r="39" spans="1:7" ht="20.100000000000001" customHeight="1">
      <c r="A39" s="17" t="s">
        <v>36</v>
      </c>
      <c r="B39" s="19" t="e">
        <f t="shared" ref="B39" ca="1" si="45">Code128(A39)</f>
        <v>#NAME?</v>
      </c>
      <c r="C39" s="14" t="e">
        <f t="shared" ref="C39" ca="1" si="46">B39</f>
        <v>#NAME?</v>
      </c>
      <c r="D39" s="21"/>
      <c r="E39" s="21"/>
      <c r="F39" s="22">
        <v>44399</v>
      </c>
      <c r="G39" s="23" t="s">
        <v>19</v>
      </c>
    </row>
    <row r="40" spans="1:7" ht="9.9499999999999993" customHeight="1">
      <c r="A40" s="18"/>
      <c r="B40" s="20"/>
      <c r="C40" s="15" t="str">
        <f t="shared" ref="C40" si="47">A39</f>
        <v>OP-eCL-12V(S)-18</v>
      </c>
      <c r="D40" s="21"/>
      <c r="E40" s="21"/>
      <c r="F40" s="22"/>
      <c r="G40" s="24"/>
    </row>
    <row r="41" spans="1:7" ht="20.100000000000001" customHeight="1">
      <c r="A41" s="17" t="s">
        <v>37</v>
      </c>
      <c r="B41" s="19" t="e">
        <f t="shared" ref="B41" ca="1" si="48">Code128(A41)</f>
        <v>#NAME?</v>
      </c>
      <c r="C41" s="14" t="e">
        <f t="shared" ref="C41" ca="1" si="49">B41</f>
        <v>#NAME?</v>
      </c>
      <c r="D41" s="21"/>
      <c r="E41" s="21"/>
      <c r="F41" s="22">
        <v>44399</v>
      </c>
      <c r="G41" s="23" t="s">
        <v>19</v>
      </c>
    </row>
    <row r="42" spans="1:7" ht="9.9499999999999993" customHeight="1">
      <c r="A42" s="18"/>
      <c r="B42" s="20"/>
      <c r="C42" s="15" t="str">
        <f t="shared" ref="C42" si="50">A41</f>
        <v>OP-eCL-12V(S)-19</v>
      </c>
      <c r="D42" s="21"/>
      <c r="E42" s="21"/>
      <c r="F42" s="22"/>
      <c r="G42" s="24"/>
    </row>
    <row r="43" spans="1:7" ht="20.100000000000001" customHeight="1">
      <c r="A43" s="17" t="s">
        <v>38</v>
      </c>
      <c r="B43" s="19" t="e">
        <f t="shared" ref="B43" ca="1" si="51">Code128(A43)</f>
        <v>#NAME?</v>
      </c>
      <c r="C43" s="14" t="e">
        <f t="shared" ref="C43" ca="1" si="52">B43</f>
        <v>#NAME?</v>
      </c>
      <c r="D43" s="21"/>
      <c r="E43" s="21"/>
      <c r="F43" s="22">
        <v>44399</v>
      </c>
      <c r="G43" s="23" t="s">
        <v>19</v>
      </c>
    </row>
    <row r="44" spans="1:7" ht="9.9499999999999993" customHeight="1">
      <c r="A44" s="18"/>
      <c r="B44" s="20"/>
      <c r="C44" s="15" t="str">
        <f t="shared" ref="C44" si="53">A43</f>
        <v>OP-eCL-12V(S)-20</v>
      </c>
      <c r="D44" s="21"/>
      <c r="E44" s="21"/>
      <c r="F44" s="22"/>
      <c r="G44" s="24"/>
    </row>
    <row r="45" spans="1:7" ht="20.100000000000001" customHeight="1">
      <c r="A45" s="17" t="s">
        <v>39</v>
      </c>
      <c r="B45" s="19" t="e">
        <f t="shared" ref="B45" ca="1" si="54">Code128(A45)</f>
        <v>#NAME?</v>
      </c>
      <c r="C45" s="14" t="e">
        <f t="shared" ref="C45" ca="1" si="55">B45</f>
        <v>#NAME?</v>
      </c>
      <c r="D45" s="21"/>
      <c r="E45" s="21"/>
      <c r="F45" s="22">
        <v>44399</v>
      </c>
      <c r="G45" s="23" t="s">
        <v>19</v>
      </c>
    </row>
    <row r="46" spans="1:7" ht="9.9499999999999993" customHeight="1">
      <c r="A46" s="18"/>
      <c r="B46" s="20"/>
      <c r="C46" s="15" t="str">
        <f t="shared" ref="C46" si="56">A45</f>
        <v>OP-eCL-12V(S)-21</v>
      </c>
      <c r="D46" s="21"/>
      <c r="E46" s="21"/>
      <c r="F46" s="22"/>
      <c r="G46" s="24"/>
    </row>
    <row r="47" spans="1:7" ht="20.100000000000001" customHeight="1">
      <c r="A47" s="17" t="s">
        <v>40</v>
      </c>
      <c r="B47" s="19" t="e">
        <f t="shared" ref="B47" ca="1" si="57">Code128(A47)</f>
        <v>#NAME?</v>
      </c>
      <c r="C47" s="14" t="e">
        <f t="shared" ref="C47" ca="1" si="58">B47</f>
        <v>#NAME?</v>
      </c>
      <c r="D47" s="21"/>
      <c r="E47" s="21"/>
      <c r="F47" s="22">
        <v>44399</v>
      </c>
      <c r="G47" s="23" t="s">
        <v>19</v>
      </c>
    </row>
    <row r="48" spans="1:7" ht="9.9499999999999993" customHeight="1">
      <c r="A48" s="18"/>
      <c r="B48" s="20"/>
      <c r="C48" s="15" t="str">
        <f t="shared" ref="C48" si="59">A47</f>
        <v>OP-eCL-12V(S)-22</v>
      </c>
      <c r="D48" s="21"/>
      <c r="E48" s="21"/>
      <c r="F48" s="22"/>
      <c r="G48" s="24"/>
    </row>
    <row r="49" spans="1:7" ht="20.100000000000001" customHeight="1">
      <c r="A49" s="17" t="s">
        <v>41</v>
      </c>
      <c r="B49" s="19" t="e">
        <f t="shared" ref="B49" ca="1" si="60">Code128(A49)</f>
        <v>#NAME?</v>
      </c>
      <c r="C49" s="14" t="e">
        <f t="shared" ref="C49" ca="1" si="61">B49</f>
        <v>#NAME?</v>
      </c>
      <c r="D49" s="21"/>
      <c r="E49" s="21"/>
      <c r="F49" s="22">
        <v>44399</v>
      </c>
      <c r="G49" s="23" t="s">
        <v>19</v>
      </c>
    </row>
    <row r="50" spans="1:7" ht="9.9499999999999993" customHeight="1">
      <c r="A50" s="18"/>
      <c r="B50" s="20"/>
      <c r="C50" s="15" t="str">
        <f t="shared" ref="C50" si="62">A49</f>
        <v>OP-eCL-12V(S)-23</v>
      </c>
      <c r="D50" s="21"/>
      <c r="E50" s="21"/>
      <c r="F50" s="22"/>
      <c r="G50" s="24"/>
    </row>
    <row r="51" spans="1:7" ht="20.100000000000001" customHeight="1">
      <c r="A51" s="17" t="s">
        <v>42</v>
      </c>
      <c r="B51" s="19" t="e">
        <f t="shared" ref="B51" ca="1" si="63">Code128(A51)</f>
        <v>#NAME?</v>
      </c>
      <c r="C51" s="14" t="e">
        <f t="shared" ref="C51" ca="1" si="64">B51</f>
        <v>#NAME?</v>
      </c>
      <c r="D51" s="21"/>
      <c r="E51" s="21"/>
      <c r="F51" s="22">
        <v>44399</v>
      </c>
      <c r="G51" s="23" t="s">
        <v>19</v>
      </c>
    </row>
    <row r="52" spans="1:7" ht="9.9499999999999993" customHeight="1">
      <c r="A52" s="18"/>
      <c r="B52" s="20"/>
      <c r="C52" s="15" t="str">
        <f t="shared" ref="C52" si="65">A51</f>
        <v>OP-eCL-12V(S)-24</v>
      </c>
      <c r="D52" s="21"/>
      <c r="E52" s="21"/>
      <c r="F52" s="22"/>
      <c r="G52" s="24"/>
    </row>
    <row r="53" spans="1:7" ht="20.100000000000001" customHeight="1">
      <c r="A53" s="17" t="s">
        <v>43</v>
      </c>
      <c r="B53" s="19" t="e">
        <f t="shared" ref="B53" ca="1" si="66">Code128(A53)</f>
        <v>#NAME?</v>
      </c>
      <c r="C53" s="14" t="e">
        <f t="shared" ref="C53" ca="1" si="67">B53</f>
        <v>#NAME?</v>
      </c>
      <c r="D53" s="21"/>
      <c r="E53" s="21"/>
      <c r="F53" s="22">
        <v>44438</v>
      </c>
      <c r="G53" s="23" t="s">
        <v>19</v>
      </c>
    </row>
    <row r="54" spans="1:7" ht="9.9499999999999993" customHeight="1">
      <c r="A54" s="18"/>
      <c r="B54" s="20"/>
      <c r="C54" s="15" t="str">
        <f t="shared" ref="C54" si="68">A53</f>
        <v>OP-eCL-12V(S)-25</v>
      </c>
      <c r="D54" s="21"/>
      <c r="E54" s="21"/>
      <c r="F54" s="22"/>
      <c r="G54" s="24"/>
    </row>
    <row r="55" spans="1:7" ht="20.100000000000001" customHeight="1">
      <c r="A55" s="17" t="s">
        <v>44</v>
      </c>
      <c r="B55" s="19" t="e">
        <f t="shared" ref="B55" ca="1" si="69">Code128(A55)</f>
        <v>#NAME?</v>
      </c>
      <c r="C55" s="14" t="e">
        <f t="shared" ref="C55" ca="1" si="70">B55</f>
        <v>#NAME?</v>
      </c>
      <c r="D55" s="21"/>
      <c r="E55" s="21"/>
      <c r="F55" s="22">
        <v>44438</v>
      </c>
      <c r="G55" s="23" t="s">
        <v>19</v>
      </c>
    </row>
    <row r="56" spans="1:7" ht="9.9499999999999993" customHeight="1">
      <c r="A56" s="18"/>
      <c r="B56" s="20"/>
      <c r="C56" s="15" t="str">
        <f t="shared" ref="C56" si="71">A55</f>
        <v>OP-eCL-12V(S)-26</v>
      </c>
      <c r="D56" s="21"/>
      <c r="E56" s="21"/>
      <c r="F56" s="22"/>
      <c r="G56" s="24"/>
    </row>
    <row r="57" spans="1:7" ht="20.100000000000001" customHeight="1">
      <c r="A57" s="17" t="s">
        <v>45</v>
      </c>
      <c r="B57" s="19" t="e">
        <f t="shared" ref="B57" ca="1" si="72">Code128(A57)</f>
        <v>#NAME?</v>
      </c>
      <c r="C57" s="14" t="e">
        <f t="shared" ref="C57" ca="1" si="73">B57</f>
        <v>#NAME?</v>
      </c>
      <c r="D57" s="21"/>
      <c r="E57" s="21"/>
      <c r="F57" s="22">
        <v>44438</v>
      </c>
      <c r="G57" s="23" t="s">
        <v>19</v>
      </c>
    </row>
    <row r="58" spans="1:7" ht="9.9499999999999993" customHeight="1">
      <c r="A58" s="18"/>
      <c r="B58" s="20"/>
      <c r="C58" s="15" t="str">
        <f t="shared" ref="C58" si="74">A57</f>
        <v>OP-eCL-12V(S)-27</v>
      </c>
      <c r="D58" s="21"/>
      <c r="E58" s="21"/>
      <c r="F58" s="22"/>
      <c r="G58" s="24"/>
    </row>
    <row r="59" spans="1:7" ht="20.100000000000001" customHeight="1">
      <c r="A59" s="17" t="s">
        <v>46</v>
      </c>
      <c r="B59" s="19" t="e">
        <f t="shared" ref="B59:B63" ca="1" si="75">Code128(A59)</f>
        <v>#NAME?</v>
      </c>
      <c r="C59" s="14" t="e">
        <f t="shared" ref="C59:C63" ca="1" si="76">B59</f>
        <v>#NAME?</v>
      </c>
      <c r="D59" s="21"/>
      <c r="E59" s="21"/>
      <c r="F59" s="22">
        <v>44438</v>
      </c>
      <c r="G59" s="23" t="s">
        <v>19</v>
      </c>
    </row>
    <row r="60" spans="1:7" ht="9.9499999999999993" customHeight="1">
      <c r="A60" s="18"/>
      <c r="B60" s="20"/>
      <c r="C60" s="15" t="str">
        <f t="shared" ref="C60" si="77">A59</f>
        <v>OP-eCL-12V(S)-28</v>
      </c>
      <c r="D60" s="21"/>
      <c r="E60" s="21"/>
      <c r="F60" s="22"/>
      <c r="G60" s="24"/>
    </row>
    <row r="61" spans="1:7" ht="20.100000000000001" customHeight="1">
      <c r="A61" s="17" t="s">
        <v>47</v>
      </c>
      <c r="B61" s="19" t="e">
        <f t="shared" ca="1" si="75"/>
        <v>#NAME?</v>
      </c>
      <c r="C61" s="14" t="e">
        <f t="shared" ca="1" si="76"/>
        <v>#NAME?</v>
      </c>
      <c r="D61" s="21"/>
      <c r="E61" s="21"/>
      <c r="F61" s="22">
        <v>44438</v>
      </c>
      <c r="G61" s="23" t="s">
        <v>19</v>
      </c>
    </row>
    <row r="62" spans="1:7" ht="9.9499999999999993" customHeight="1">
      <c r="A62" s="18"/>
      <c r="B62" s="20"/>
      <c r="C62" s="15" t="str">
        <f t="shared" ref="C62" si="78">A61</f>
        <v>OP-eCL-12V(S)-29</v>
      </c>
      <c r="D62" s="21"/>
      <c r="E62" s="21"/>
      <c r="F62" s="22"/>
      <c r="G62" s="24"/>
    </row>
    <row r="63" spans="1:7" ht="20.100000000000001" customHeight="1">
      <c r="A63" s="17" t="s">
        <v>48</v>
      </c>
      <c r="B63" s="19" t="e">
        <f t="shared" ca="1" si="75"/>
        <v>#NAME?</v>
      </c>
      <c r="C63" s="14" t="e">
        <f t="shared" ca="1" si="76"/>
        <v>#NAME?</v>
      </c>
      <c r="D63" s="21"/>
      <c r="E63" s="21"/>
      <c r="F63" s="22">
        <v>44438</v>
      </c>
      <c r="G63" s="23" t="s">
        <v>19</v>
      </c>
    </row>
    <row r="64" spans="1:7" ht="9.9499999999999993" customHeight="1">
      <c r="A64" s="18"/>
      <c r="B64" s="20"/>
      <c r="C64" s="15" t="str">
        <f t="shared" ref="C64" si="79">A63</f>
        <v>OP-eCL-12V(S)-30</v>
      </c>
      <c r="D64" s="21"/>
      <c r="E64" s="21"/>
      <c r="F64" s="22"/>
      <c r="G64" s="24"/>
    </row>
  </sheetData>
  <mergeCells count="180">
    <mergeCell ref="F61:F62"/>
    <mergeCell ref="G61:G62"/>
    <mergeCell ref="A63:A64"/>
    <mergeCell ref="B63:B64"/>
    <mergeCell ref="D63:D64"/>
    <mergeCell ref="F63:F64"/>
    <mergeCell ref="G63:G64"/>
    <mergeCell ref="A57:A58"/>
    <mergeCell ref="B57:B58"/>
    <mergeCell ref="D57:D58"/>
    <mergeCell ref="F57:F58"/>
    <mergeCell ref="G57:G58"/>
    <mergeCell ref="A59:A60"/>
    <mergeCell ref="B59:B60"/>
    <mergeCell ref="D59:D60"/>
    <mergeCell ref="F59:F60"/>
    <mergeCell ref="G59:G60"/>
    <mergeCell ref="A61:A62"/>
    <mergeCell ref="B61:B62"/>
    <mergeCell ref="D61:D62"/>
    <mergeCell ref="E57:E58"/>
    <mergeCell ref="E59:E60"/>
    <mergeCell ref="E61:E62"/>
    <mergeCell ref="E63:E64"/>
    <mergeCell ref="F53:F54"/>
    <mergeCell ref="G53:G54"/>
    <mergeCell ref="A55:A56"/>
    <mergeCell ref="B55:B56"/>
    <mergeCell ref="D55:D56"/>
    <mergeCell ref="F55:F56"/>
    <mergeCell ref="G55:G56"/>
    <mergeCell ref="A49:A50"/>
    <mergeCell ref="B49:B50"/>
    <mergeCell ref="D49:D50"/>
    <mergeCell ref="F49:F50"/>
    <mergeCell ref="G49:G50"/>
    <mergeCell ref="A51:A52"/>
    <mergeCell ref="B51:B52"/>
    <mergeCell ref="D51:D52"/>
    <mergeCell ref="F51:F52"/>
    <mergeCell ref="G51:G52"/>
    <mergeCell ref="A53:A54"/>
    <mergeCell ref="B53:B54"/>
    <mergeCell ref="D53:D54"/>
    <mergeCell ref="E53:E54"/>
    <mergeCell ref="E55:E56"/>
    <mergeCell ref="E49:E50"/>
    <mergeCell ref="E51:E52"/>
    <mergeCell ref="F45:F46"/>
    <mergeCell ref="G45:G46"/>
    <mergeCell ref="A47:A48"/>
    <mergeCell ref="B47:B48"/>
    <mergeCell ref="D47:D48"/>
    <mergeCell ref="F47:F48"/>
    <mergeCell ref="G47:G48"/>
    <mergeCell ref="A41:A42"/>
    <mergeCell ref="B41:B42"/>
    <mergeCell ref="D41:D42"/>
    <mergeCell ref="F41:F42"/>
    <mergeCell ref="G41:G42"/>
    <mergeCell ref="A43:A44"/>
    <mergeCell ref="B43:B44"/>
    <mergeCell ref="D43:D44"/>
    <mergeCell ref="F43:F44"/>
    <mergeCell ref="G43:G44"/>
    <mergeCell ref="A45:A46"/>
    <mergeCell ref="B45:B46"/>
    <mergeCell ref="D45:D46"/>
    <mergeCell ref="E41:E42"/>
    <mergeCell ref="E43:E44"/>
    <mergeCell ref="E45:E46"/>
    <mergeCell ref="E47:E48"/>
    <mergeCell ref="F37:F38"/>
    <mergeCell ref="G37:G38"/>
    <mergeCell ref="A39:A40"/>
    <mergeCell ref="B39:B40"/>
    <mergeCell ref="D39:D40"/>
    <mergeCell ref="F39:F40"/>
    <mergeCell ref="G39:G40"/>
    <mergeCell ref="A33:A34"/>
    <mergeCell ref="B33:B34"/>
    <mergeCell ref="D33:D34"/>
    <mergeCell ref="F33:F34"/>
    <mergeCell ref="G33:G34"/>
    <mergeCell ref="A35:A36"/>
    <mergeCell ref="B35:B36"/>
    <mergeCell ref="D35:D36"/>
    <mergeCell ref="F35:F36"/>
    <mergeCell ref="G35:G36"/>
    <mergeCell ref="A37:A38"/>
    <mergeCell ref="B37:B38"/>
    <mergeCell ref="D37:D38"/>
    <mergeCell ref="E33:E34"/>
    <mergeCell ref="E35:E36"/>
    <mergeCell ref="E37:E38"/>
    <mergeCell ref="E39:E40"/>
    <mergeCell ref="F29:F30"/>
    <mergeCell ref="G29:G30"/>
    <mergeCell ref="A31:A32"/>
    <mergeCell ref="B31:B32"/>
    <mergeCell ref="D31:D32"/>
    <mergeCell ref="F31:F32"/>
    <mergeCell ref="G31:G32"/>
    <mergeCell ref="A25:A26"/>
    <mergeCell ref="B25:B26"/>
    <mergeCell ref="D25:D26"/>
    <mergeCell ref="F25:F26"/>
    <mergeCell ref="G25:G26"/>
    <mergeCell ref="A27:A28"/>
    <mergeCell ref="B27:B28"/>
    <mergeCell ref="D27:D28"/>
    <mergeCell ref="F27:F28"/>
    <mergeCell ref="G27:G28"/>
    <mergeCell ref="A29:A30"/>
    <mergeCell ref="B29:B30"/>
    <mergeCell ref="D29:D30"/>
    <mergeCell ref="E29:E30"/>
    <mergeCell ref="E31:E32"/>
    <mergeCell ref="E25:E26"/>
    <mergeCell ref="E27:E28"/>
    <mergeCell ref="F21:F22"/>
    <mergeCell ref="G21:G22"/>
    <mergeCell ref="A23:A24"/>
    <mergeCell ref="B23:B24"/>
    <mergeCell ref="D23:D24"/>
    <mergeCell ref="F23:F24"/>
    <mergeCell ref="G23:G24"/>
    <mergeCell ref="A17:A18"/>
    <mergeCell ref="B17:B18"/>
    <mergeCell ref="D17:D18"/>
    <mergeCell ref="F17:F18"/>
    <mergeCell ref="G17:G18"/>
    <mergeCell ref="A19:A20"/>
    <mergeCell ref="B19:B20"/>
    <mergeCell ref="D19:D20"/>
    <mergeCell ref="F19:F20"/>
    <mergeCell ref="G19:G20"/>
    <mergeCell ref="A21:A22"/>
    <mergeCell ref="B21:B22"/>
    <mergeCell ref="D21:D22"/>
    <mergeCell ref="E17:E18"/>
    <mergeCell ref="E19:E20"/>
    <mergeCell ref="E21:E22"/>
    <mergeCell ref="E23:E24"/>
    <mergeCell ref="A13:A14"/>
    <mergeCell ref="B13:B14"/>
    <mergeCell ref="D13:D14"/>
    <mergeCell ref="F13:F14"/>
    <mergeCell ref="G13:G14"/>
    <mergeCell ref="A15:A16"/>
    <mergeCell ref="B15:B16"/>
    <mergeCell ref="D15:D16"/>
    <mergeCell ref="F15:F16"/>
    <mergeCell ref="G15:G16"/>
    <mergeCell ref="E13:E14"/>
    <mergeCell ref="E15:E16"/>
    <mergeCell ref="A9:A10"/>
    <mergeCell ref="B9:B10"/>
    <mergeCell ref="D9:D10"/>
    <mergeCell ref="F9:F10"/>
    <mergeCell ref="G9:G10"/>
    <mergeCell ref="A11:A12"/>
    <mergeCell ref="B11:B12"/>
    <mergeCell ref="D11:D12"/>
    <mergeCell ref="F11:F12"/>
    <mergeCell ref="G11:G12"/>
    <mergeCell ref="E9:E10"/>
    <mergeCell ref="E11:E12"/>
    <mergeCell ref="A5:A6"/>
    <mergeCell ref="B5:B6"/>
    <mergeCell ref="D5:D6"/>
    <mergeCell ref="F5:F6"/>
    <mergeCell ref="G5:G6"/>
    <mergeCell ref="A7:A8"/>
    <mergeCell ref="B7:B8"/>
    <mergeCell ref="D7:D8"/>
    <mergeCell ref="F7:F8"/>
    <mergeCell ref="G7:G8"/>
    <mergeCell ref="E5:E6"/>
    <mergeCell ref="E7:E8"/>
  </mergeCells>
  <conditionalFormatting sqref="A5:G5 A6:D6 A53:D64 F6:G64">
    <cfRule type="expression" dxfId="49" priority="4">
      <formula>$G5="A"</formula>
    </cfRule>
  </conditionalFormatting>
  <conditionalFormatting sqref="A7:D52">
    <cfRule type="expression" dxfId="48" priority="3">
      <formula>$G7="A"</formula>
    </cfRule>
  </conditionalFormatting>
  <conditionalFormatting sqref="E7 E9 E11 E13 E15 E17 E19 E21 E23 E25 E27 E29 E31 E33 E35 E37 E39 E41 E43 E45 E47 E49 E51 E53 E55 E57 E59 E61">
    <cfRule type="expression" dxfId="47" priority="2">
      <formula>$G7="A"</formula>
    </cfRule>
  </conditionalFormatting>
  <conditionalFormatting sqref="E63">
    <cfRule type="expression" dxfId="46" priority="1">
      <formula>$G63="A"</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sheetPr>
  <dimension ref="A1:G32"/>
  <sheetViews>
    <sheetView zoomScaleNormal="100" workbookViewId="0">
      <selection activeCell="A2" sqref="A2"/>
    </sheetView>
  </sheetViews>
  <sheetFormatPr defaultRowHeight="14.45"/>
  <cols>
    <col min="1" max="1" width="25.140625" bestFit="1" customWidth="1"/>
    <col min="2" max="2" width="27.5703125" bestFit="1" customWidth="1"/>
    <col min="3" max="3" width="25.7109375" bestFit="1" customWidth="1"/>
    <col min="4" max="5" width="15.28515625" customWidth="1"/>
    <col min="6" max="6" width="19.42578125" customWidth="1"/>
    <col min="7" max="7" width="17.5703125" customWidth="1"/>
    <col min="8" max="8" width="14.85546875" customWidth="1"/>
    <col min="10" max="10" width="16.85546875" customWidth="1"/>
  </cols>
  <sheetData>
    <row r="1" spans="1:7" ht="31.5" customHeight="1">
      <c r="A1" s="1" t="s">
        <v>0</v>
      </c>
      <c r="B1" s="1" t="s">
        <v>1</v>
      </c>
      <c r="C1" s="2" t="s">
        <v>2</v>
      </c>
      <c r="D1" s="3" t="s">
        <v>3</v>
      </c>
      <c r="E1" s="4" t="s">
        <v>4</v>
      </c>
      <c r="F1" s="1" t="s">
        <v>5</v>
      </c>
    </row>
    <row r="2" spans="1:7">
      <c r="A2" s="5" t="s">
        <v>6</v>
      </c>
      <c r="B2" s="5" t="s">
        <v>49</v>
      </c>
      <c r="C2" s="6" t="s">
        <v>50</v>
      </c>
      <c r="D2" s="7"/>
      <c r="E2" s="8" t="s">
        <v>7</v>
      </c>
      <c r="F2" s="5"/>
    </row>
    <row r="4" spans="1:7" ht="43.15">
      <c r="A4" s="9" t="s">
        <v>8</v>
      </c>
      <c r="B4" s="9" t="s">
        <v>9</v>
      </c>
      <c r="C4" s="10" t="s">
        <v>10</v>
      </c>
      <c r="D4" s="11" t="s">
        <v>11</v>
      </c>
      <c r="E4" s="16" t="s">
        <v>12</v>
      </c>
      <c r="F4" s="12" t="s">
        <v>13</v>
      </c>
      <c r="G4" s="13" t="s">
        <v>14</v>
      </c>
    </row>
    <row r="5" spans="1:7" ht="20.100000000000001" customHeight="1">
      <c r="A5" s="17" t="s">
        <v>51</v>
      </c>
      <c r="B5" s="19" t="e">
        <f ca="1">Code128(A5)</f>
        <v>#NAME?</v>
      </c>
      <c r="C5" s="14" t="e">
        <f ca="1">B5</f>
        <v>#NAME?</v>
      </c>
      <c r="D5" s="21"/>
      <c r="E5" s="21" t="s">
        <v>52</v>
      </c>
      <c r="F5" s="22">
        <v>44400</v>
      </c>
      <c r="G5" s="23" t="s">
        <v>19</v>
      </c>
    </row>
    <row r="6" spans="1:7" ht="9.9499999999999993" customHeight="1">
      <c r="A6" s="18"/>
      <c r="B6" s="20"/>
      <c r="C6" s="15" t="str">
        <f>A5</f>
        <v>OP-PHEV-PWM-01</v>
      </c>
      <c r="D6" s="21"/>
      <c r="E6" s="21"/>
      <c r="F6" s="22"/>
      <c r="G6" s="24"/>
    </row>
    <row r="7" spans="1:7" ht="20.100000000000001" customHeight="1">
      <c r="A7" s="17" t="s">
        <v>53</v>
      </c>
      <c r="B7" s="19" t="e">
        <f t="shared" ref="B7" ca="1" si="0">Code128(A7)</f>
        <v>#NAME?</v>
      </c>
      <c r="C7" s="14" t="e">
        <f t="shared" ref="C7" ca="1" si="1">B7</f>
        <v>#NAME?</v>
      </c>
      <c r="D7" s="21"/>
      <c r="E7" s="21" t="s">
        <v>52</v>
      </c>
      <c r="F7" s="22">
        <v>44401</v>
      </c>
      <c r="G7" s="23" t="s">
        <v>19</v>
      </c>
    </row>
    <row r="8" spans="1:7" ht="9.9499999999999993" customHeight="1">
      <c r="A8" s="18"/>
      <c r="B8" s="20"/>
      <c r="C8" s="15" t="str">
        <f t="shared" ref="C8" si="2">A7</f>
        <v>OP-PHEV-PWM-02</v>
      </c>
      <c r="D8" s="21"/>
      <c r="E8" s="21"/>
      <c r="F8" s="22"/>
      <c r="G8" s="24"/>
    </row>
    <row r="9" spans="1:7" ht="20.100000000000001" customHeight="1">
      <c r="A9" s="17" t="s">
        <v>54</v>
      </c>
      <c r="B9" s="19" t="e">
        <f t="shared" ref="B9" ca="1" si="3">Code128(A9)</f>
        <v>#NAME?</v>
      </c>
      <c r="C9" s="14" t="e">
        <f t="shared" ref="C9" ca="1" si="4">B9</f>
        <v>#NAME?</v>
      </c>
      <c r="D9" s="21"/>
      <c r="E9" s="21" t="s">
        <v>52</v>
      </c>
      <c r="F9" s="22">
        <v>44402</v>
      </c>
      <c r="G9" s="23" t="s">
        <v>19</v>
      </c>
    </row>
    <row r="10" spans="1:7" ht="9.9499999999999993" customHeight="1">
      <c r="A10" s="18"/>
      <c r="B10" s="20"/>
      <c r="C10" s="15" t="str">
        <f t="shared" ref="C10" si="5">A9</f>
        <v>OP-PHEV-PWM-03</v>
      </c>
      <c r="D10" s="21"/>
      <c r="E10" s="21"/>
      <c r="F10" s="22"/>
      <c r="G10" s="24"/>
    </row>
    <row r="11" spans="1:7" ht="20.100000000000001" customHeight="1">
      <c r="A11" s="17" t="s">
        <v>55</v>
      </c>
      <c r="B11" s="19" t="e">
        <f t="shared" ref="B11" ca="1" si="6">Code128(A11)</f>
        <v>#NAME?</v>
      </c>
      <c r="C11" s="14" t="e">
        <f t="shared" ref="C11" ca="1" si="7">B11</f>
        <v>#NAME?</v>
      </c>
      <c r="D11" s="21"/>
      <c r="E11" s="21" t="s">
        <v>52</v>
      </c>
      <c r="F11" s="22">
        <v>44403</v>
      </c>
      <c r="G11" s="23" t="s">
        <v>19</v>
      </c>
    </row>
    <row r="12" spans="1:7" ht="9.9499999999999993" customHeight="1">
      <c r="A12" s="18"/>
      <c r="B12" s="20"/>
      <c r="C12" s="15" t="str">
        <f t="shared" ref="C12" si="8">A11</f>
        <v>OP-PHEV-PWM-04</v>
      </c>
      <c r="D12" s="21"/>
      <c r="E12" s="21"/>
      <c r="F12" s="22"/>
      <c r="G12" s="24"/>
    </row>
    <row r="13" spans="1:7" ht="20.100000000000001" customHeight="1">
      <c r="A13" s="17" t="s">
        <v>56</v>
      </c>
      <c r="B13" s="19" t="e">
        <f t="shared" ref="B13" ca="1" si="9">Code128(A13)</f>
        <v>#NAME?</v>
      </c>
      <c r="C13" s="14" t="e">
        <f t="shared" ref="C13" ca="1" si="10">B13</f>
        <v>#NAME?</v>
      </c>
      <c r="D13" s="21"/>
      <c r="E13" s="21" t="s">
        <v>57</v>
      </c>
      <c r="F13" s="22">
        <v>44404</v>
      </c>
      <c r="G13" s="23" t="s">
        <v>19</v>
      </c>
    </row>
    <row r="14" spans="1:7" ht="9.9499999999999993" customHeight="1">
      <c r="A14" s="18"/>
      <c r="B14" s="20"/>
      <c r="C14" s="15" t="str">
        <f t="shared" ref="C14" si="11">A13</f>
        <v>OP-PHEV-PWM-05</v>
      </c>
      <c r="D14" s="21"/>
      <c r="E14" s="21"/>
      <c r="F14" s="22"/>
      <c r="G14" s="24"/>
    </row>
    <row r="15" spans="1:7" ht="20.100000000000001" customHeight="1">
      <c r="A15" s="17" t="s">
        <v>58</v>
      </c>
      <c r="B15" s="19" t="e">
        <f t="shared" ref="B15" ca="1" si="12">Code128(A15)</f>
        <v>#NAME?</v>
      </c>
      <c r="C15" s="14" t="e">
        <f t="shared" ref="C15" ca="1" si="13">B15</f>
        <v>#NAME?</v>
      </c>
      <c r="D15" s="21"/>
      <c r="E15" s="21"/>
      <c r="F15" s="22"/>
      <c r="G15" s="23"/>
    </row>
    <row r="16" spans="1:7" ht="9.9499999999999993" customHeight="1">
      <c r="A16" s="18"/>
      <c r="B16" s="20"/>
      <c r="C16" s="15" t="str">
        <f t="shared" ref="C16" si="14">A15</f>
        <v>OP-PHEV-PWM-06</v>
      </c>
      <c r="D16" s="21"/>
      <c r="E16" s="21"/>
      <c r="F16" s="22"/>
      <c r="G16" s="24"/>
    </row>
    <row r="17" spans="1:7" ht="20.100000000000001" customHeight="1">
      <c r="A17" s="17" t="s">
        <v>59</v>
      </c>
      <c r="B17" s="19" t="e">
        <f t="shared" ref="B17" ca="1" si="15">Code128(A17)</f>
        <v>#NAME?</v>
      </c>
      <c r="C17" s="14" t="e">
        <f t="shared" ref="C17" ca="1" si="16">B17</f>
        <v>#NAME?</v>
      </c>
      <c r="D17" s="21"/>
      <c r="E17" s="21"/>
      <c r="F17" s="22"/>
      <c r="G17" s="23"/>
    </row>
    <row r="18" spans="1:7" ht="9.9499999999999993" customHeight="1">
      <c r="A18" s="18"/>
      <c r="B18" s="20"/>
      <c r="C18" s="15" t="str">
        <f t="shared" ref="C18" si="17">A17</f>
        <v>OP-PHEV-PWM-07</v>
      </c>
      <c r="D18" s="21"/>
      <c r="E18" s="21"/>
      <c r="F18" s="22"/>
      <c r="G18" s="24"/>
    </row>
    <row r="19" spans="1:7" ht="20.100000000000001" customHeight="1">
      <c r="A19" s="17" t="s">
        <v>60</v>
      </c>
      <c r="B19" s="19" t="e">
        <f t="shared" ref="B19" ca="1" si="18">Code128(A19)</f>
        <v>#NAME?</v>
      </c>
      <c r="C19" s="14" t="e">
        <f t="shared" ref="C19" ca="1" si="19">B19</f>
        <v>#NAME?</v>
      </c>
      <c r="D19" s="21"/>
      <c r="E19" s="21"/>
      <c r="F19" s="22"/>
      <c r="G19" s="23"/>
    </row>
    <row r="20" spans="1:7" ht="9.9499999999999993" customHeight="1">
      <c r="A20" s="18"/>
      <c r="B20" s="20"/>
      <c r="C20" s="15" t="str">
        <f t="shared" ref="C20" si="20">A19</f>
        <v>OP-PHEV-PWM-08</v>
      </c>
      <c r="D20" s="21"/>
      <c r="E20" s="21"/>
      <c r="F20" s="22"/>
      <c r="G20" s="24"/>
    </row>
    <row r="21" spans="1:7" ht="20.100000000000001" customHeight="1">
      <c r="A21" s="17" t="s">
        <v>61</v>
      </c>
      <c r="B21" s="19" t="e">
        <f t="shared" ref="B21" ca="1" si="21">Code128(A21)</f>
        <v>#NAME?</v>
      </c>
      <c r="C21" s="14" t="e">
        <f t="shared" ref="C21" ca="1" si="22">B21</f>
        <v>#NAME?</v>
      </c>
      <c r="D21" s="21"/>
      <c r="E21" s="21"/>
      <c r="F21" s="22"/>
      <c r="G21" s="23"/>
    </row>
    <row r="22" spans="1:7" ht="9.9499999999999993" customHeight="1">
      <c r="A22" s="18"/>
      <c r="B22" s="20"/>
      <c r="C22" s="15" t="str">
        <f t="shared" ref="C22" si="23">A21</f>
        <v>OP-PHEV-PWM-09</v>
      </c>
      <c r="D22" s="21"/>
      <c r="E22" s="21"/>
      <c r="F22" s="22"/>
      <c r="G22" s="24"/>
    </row>
    <row r="23" spans="1:7" ht="20.100000000000001" customHeight="1">
      <c r="A23" s="17" t="s">
        <v>62</v>
      </c>
      <c r="B23" s="19" t="e">
        <f t="shared" ref="B23" ca="1" si="24">Code128(A23)</f>
        <v>#NAME?</v>
      </c>
      <c r="C23" s="14" t="e">
        <f t="shared" ref="C23" ca="1" si="25">B23</f>
        <v>#NAME?</v>
      </c>
      <c r="D23" s="21"/>
      <c r="E23" s="21"/>
      <c r="F23" s="22"/>
      <c r="G23" s="23"/>
    </row>
    <row r="24" spans="1:7" ht="9.9499999999999993" customHeight="1">
      <c r="A24" s="18"/>
      <c r="B24" s="20"/>
      <c r="C24" s="15" t="str">
        <f t="shared" ref="C24" si="26">A23</f>
        <v>OP-PHEV-PWM-10</v>
      </c>
      <c r="D24" s="21"/>
      <c r="E24" s="21"/>
      <c r="F24" s="22"/>
      <c r="G24" s="24"/>
    </row>
    <row r="25" spans="1:7" ht="20.100000000000001" customHeight="1">
      <c r="A25" s="17" t="s">
        <v>63</v>
      </c>
      <c r="B25" s="19" t="e">
        <f t="shared" ref="B25" ca="1" si="27">Code128(A25)</f>
        <v>#NAME?</v>
      </c>
      <c r="C25" s="14" t="e">
        <f t="shared" ref="C25" ca="1" si="28">B25</f>
        <v>#NAME?</v>
      </c>
      <c r="D25" s="21"/>
      <c r="E25" s="21"/>
      <c r="F25" s="22"/>
      <c r="G25" s="23"/>
    </row>
    <row r="26" spans="1:7" ht="9.9499999999999993" customHeight="1">
      <c r="A26" s="18"/>
      <c r="B26" s="20"/>
      <c r="C26" s="15" t="str">
        <f t="shared" ref="C26" si="29">A25</f>
        <v>OP-PHEV-PWM-11</v>
      </c>
      <c r="D26" s="21"/>
      <c r="E26" s="21"/>
      <c r="F26" s="22"/>
      <c r="G26" s="24"/>
    </row>
    <row r="27" spans="1:7" ht="20.100000000000001" customHeight="1">
      <c r="A27" s="17" t="s">
        <v>64</v>
      </c>
      <c r="B27" s="19" t="e">
        <f t="shared" ref="B27" ca="1" si="30">Code128(A27)</f>
        <v>#NAME?</v>
      </c>
      <c r="C27" s="14" t="e">
        <f t="shared" ref="C27" ca="1" si="31">B27</f>
        <v>#NAME?</v>
      </c>
      <c r="D27" s="21"/>
      <c r="E27" s="21" t="s">
        <v>65</v>
      </c>
      <c r="F27" s="22">
        <v>44435</v>
      </c>
      <c r="G27" s="23" t="s">
        <v>19</v>
      </c>
    </row>
    <row r="28" spans="1:7" ht="9.9499999999999993" customHeight="1">
      <c r="A28" s="18"/>
      <c r="B28" s="20"/>
      <c r="C28" s="15" t="str">
        <f t="shared" ref="C28" si="32">A27</f>
        <v>OP-PHEV-PWM-12</v>
      </c>
      <c r="D28" s="21"/>
      <c r="E28" s="21"/>
      <c r="F28" s="22"/>
      <c r="G28" s="24"/>
    </row>
    <row r="29" spans="1:7" ht="20.100000000000001" customHeight="1">
      <c r="A29" s="17" t="s">
        <v>66</v>
      </c>
      <c r="B29" s="19" t="e">
        <f t="shared" ref="B29" ca="1" si="33">Code128(A29)</f>
        <v>#NAME?</v>
      </c>
      <c r="C29" s="14" t="e">
        <f t="shared" ref="C29" ca="1" si="34">B29</f>
        <v>#NAME?</v>
      </c>
      <c r="D29" s="21"/>
      <c r="E29" s="21" t="s">
        <v>65</v>
      </c>
      <c r="F29" s="22">
        <v>44435</v>
      </c>
      <c r="G29" s="23" t="s">
        <v>19</v>
      </c>
    </row>
    <row r="30" spans="1:7" ht="9.9499999999999993" customHeight="1">
      <c r="A30" s="18"/>
      <c r="B30" s="20"/>
      <c r="C30" s="15" t="str">
        <f t="shared" ref="C30" si="35">A29</f>
        <v>OP-PHEV-PWM-13</v>
      </c>
      <c r="D30" s="21"/>
      <c r="E30" s="21"/>
      <c r="F30" s="22"/>
      <c r="G30" s="24"/>
    </row>
    <row r="31" spans="1:7" ht="20.100000000000001" customHeight="1">
      <c r="A31" s="17" t="s">
        <v>67</v>
      </c>
      <c r="B31" s="19" t="e">
        <f t="shared" ref="B31" ca="1" si="36">Code128(A31)</f>
        <v>#NAME?</v>
      </c>
      <c r="C31" s="14" t="e">
        <f t="shared" ref="C31" ca="1" si="37">B31</f>
        <v>#NAME?</v>
      </c>
      <c r="D31" s="21"/>
      <c r="E31" s="21" t="s">
        <v>65</v>
      </c>
      <c r="F31" s="22">
        <v>44435</v>
      </c>
      <c r="G31" s="23" t="s">
        <v>19</v>
      </c>
    </row>
    <row r="32" spans="1:7" ht="9.9499999999999993" customHeight="1">
      <c r="A32" s="18"/>
      <c r="B32" s="20"/>
      <c r="C32" s="15" t="str">
        <f t="shared" ref="C32" si="38">A31</f>
        <v>OP-PHEV-PWM-14</v>
      </c>
      <c r="D32" s="21"/>
      <c r="E32" s="21"/>
      <c r="F32" s="22"/>
      <c r="G32" s="24"/>
    </row>
  </sheetData>
  <mergeCells count="84">
    <mergeCell ref="A29:A30"/>
    <mergeCell ref="B29:B30"/>
    <mergeCell ref="D29:D30"/>
    <mergeCell ref="F29:F30"/>
    <mergeCell ref="G29:G30"/>
    <mergeCell ref="E29:E30"/>
    <mergeCell ref="A31:A32"/>
    <mergeCell ref="B31:B32"/>
    <mergeCell ref="D31:D32"/>
    <mergeCell ref="F31:F32"/>
    <mergeCell ref="G31:G32"/>
    <mergeCell ref="E31:E32"/>
    <mergeCell ref="A25:A26"/>
    <mergeCell ref="B25:B26"/>
    <mergeCell ref="D25:D26"/>
    <mergeCell ref="F25:F26"/>
    <mergeCell ref="G25:G26"/>
    <mergeCell ref="E25:E26"/>
    <mergeCell ref="A27:A28"/>
    <mergeCell ref="B27:B28"/>
    <mergeCell ref="D27:D28"/>
    <mergeCell ref="F27:F28"/>
    <mergeCell ref="G27:G28"/>
    <mergeCell ref="E27:E28"/>
    <mergeCell ref="A21:A22"/>
    <mergeCell ref="B21:B22"/>
    <mergeCell ref="D21:D22"/>
    <mergeCell ref="F21:F22"/>
    <mergeCell ref="G21:G22"/>
    <mergeCell ref="E21:E22"/>
    <mergeCell ref="A23:A24"/>
    <mergeCell ref="B23:B24"/>
    <mergeCell ref="D23:D24"/>
    <mergeCell ref="F23:F24"/>
    <mergeCell ref="G23:G24"/>
    <mergeCell ref="E23:E24"/>
    <mergeCell ref="A17:A18"/>
    <mergeCell ref="B17:B18"/>
    <mergeCell ref="D17:D18"/>
    <mergeCell ref="F17:F18"/>
    <mergeCell ref="G17:G18"/>
    <mergeCell ref="E17:E18"/>
    <mergeCell ref="A19:A20"/>
    <mergeCell ref="B19:B20"/>
    <mergeCell ref="D19:D20"/>
    <mergeCell ref="F19:F20"/>
    <mergeCell ref="G19:G20"/>
    <mergeCell ref="E19:E20"/>
    <mergeCell ref="A13:A14"/>
    <mergeCell ref="B13:B14"/>
    <mergeCell ref="D13:D14"/>
    <mergeCell ref="F13:F14"/>
    <mergeCell ref="G13:G14"/>
    <mergeCell ref="E13:E14"/>
    <mergeCell ref="A15:A16"/>
    <mergeCell ref="B15:B16"/>
    <mergeCell ref="D15:D16"/>
    <mergeCell ref="F15:F16"/>
    <mergeCell ref="G15:G16"/>
    <mergeCell ref="E15:E16"/>
    <mergeCell ref="A9:A10"/>
    <mergeCell ref="B9:B10"/>
    <mergeCell ref="D9:D10"/>
    <mergeCell ref="F9:F10"/>
    <mergeCell ref="G9:G10"/>
    <mergeCell ref="E9:E10"/>
    <mergeCell ref="A11:A12"/>
    <mergeCell ref="B11:B12"/>
    <mergeCell ref="D11:D12"/>
    <mergeCell ref="F11:F12"/>
    <mergeCell ref="G11:G12"/>
    <mergeCell ref="E11:E12"/>
    <mergeCell ref="A5:A6"/>
    <mergeCell ref="B5:B6"/>
    <mergeCell ref="D5:D6"/>
    <mergeCell ref="F5:F6"/>
    <mergeCell ref="G5:G6"/>
    <mergeCell ref="E5:E6"/>
    <mergeCell ref="A7:A8"/>
    <mergeCell ref="B7:B8"/>
    <mergeCell ref="D7:D8"/>
    <mergeCell ref="F7:F8"/>
    <mergeCell ref="G7:G8"/>
    <mergeCell ref="E7:E8"/>
  </mergeCells>
  <conditionalFormatting sqref="A5:G5 A6:D6 F6:G6 E7 E9 E11">
    <cfRule type="expression" dxfId="45" priority="2">
      <formula>$G5="A"</formula>
    </cfRule>
  </conditionalFormatting>
  <conditionalFormatting sqref="A13:G13 A7:D12 A15:G15 A14:D14 F14:G14 A17:G17 A16:D16 F16:G16 A19:G19 A18:D18 F18:G18 A21:G21 A20:D20 F20:G20 A23:G23 A22:D22 F22:G22 A25:G25 A24:D24 F24:G24 A27:G27 A26:D26 F26:G26 A28:D32 F7:G12 F28:G32 E29 E31">
    <cfRule type="expression" dxfId="44" priority="1">
      <formula>$G7="A"</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5"/>
  </sheetPr>
  <dimension ref="A1:G50"/>
  <sheetViews>
    <sheetView zoomScaleNormal="100" workbookViewId="0">
      <selection activeCell="A2" sqref="A2"/>
    </sheetView>
  </sheetViews>
  <sheetFormatPr defaultRowHeight="14.45"/>
  <cols>
    <col min="1" max="1" width="25.140625" bestFit="1" customWidth="1"/>
    <col min="2" max="2" width="27.5703125" bestFit="1" customWidth="1"/>
    <col min="3" max="3" width="26.42578125" bestFit="1" customWidth="1"/>
    <col min="4" max="5" width="15.28515625" customWidth="1"/>
    <col min="6" max="6" width="19.42578125" customWidth="1"/>
    <col min="7" max="7" width="17.5703125" customWidth="1"/>
    <col min="8" max="8" width="14.85546875" customWidth="1"/>
    <col min="10" max="10" width="16.85546875" customWidth="1"/>
  </cols>
  <sheetData>
    <row r="1" spans="1:7" ht="35.25" customHeight="1">
      <c r="A1" s="1" t="s">
        <v>0</v>
      </c>
      <c r="B1" s="1" t="s">
        <v>1</v>
      </c>
      <c r="C1" s="2" t="s">
        <v>2</v>
      </c>
      <c r="D1" s="3" t="s">
        <v>3</v>
      </c>
      <c r="E1" s="4" t="s">
        <v>4</v>
      </c>
      <c r="F1" s="1" t="s">
        <v>5</v>
      </c>
    </row>
    <row r="2" spans="1:7">
      <c r="A2" s="5" t="s">
        <v>6</v>
      </c>
      <c r="B2" s="5" t="s">
        <v>49</v>
      </c>
      <c r="C2" s="6" t="s">
        <v>68</v>
      </c>
      <c r="D2" s="7"/>
      <c r="E2" s="8" t="s">
        <v>7</v>
      </c>
      <c r="F2" s="5"/>
    </row>
    <row r="4" spans="1:7" ht="43.15">
      <c r="A4" s="9" t="s">
        <v>8</v>
      </c>
      <c r="B4" s="9" t="s">
        <v>9</v>
      </c>
      <c r="C4" s="10" t="s">
        <v>10</v>
      </c>
      <c r="D4" s="11" t="s">
        <v>11</v>
      </c>
      <c r="E4" s="16" t="s">
        <v>12</v>
      </c>
      <c r="F4" s="12" t="s">
        <v>13</v>
      </c>
      <c r="G4" s="13" t="s">
        <v>14</v>
      </c>
    </row>
    <row r="5" spans="1:7" ht="20.100000000000001" customHeight="1">
      <c r="A5" s="17" t="s">
        <v>69</v>
      </c>
      <c r="B5" s="19" t="e">
        <f ca="1">Code128(A5)</f>
        <v>#NAME?</v>
      </c>
      <c r="C5" s="14" t="e">
        <f ca="1">B5</f>
        <v>#NAME?</v>
      </c>
      <c r="D5" s="25"/>
      <c r="E5" s="21"/>
      <c r="F5" s="22">
        <v>44152</v>
      </c>
      <c r="G5" s="23"/>
    </row>
    <row r="6" spans="1:7" ht="9.9499999999999993" customHeight="1">
      <c r="A6" s="18"/>
      <c r="B6" s="20"/>
      <c r="C6" s="15" t="str">
        <f>A5</f>
        <v>OP-PHEV-LIN-01</v>
      </c>
      <c r="D6" s="26"/>
      <c r="E6" s="21"/>
      <c r="F6" s="22"/>
      <c r="G6" s="24"/>
    </row>
    <row r="7" spans="1:7" ht="20.100000000000001" customHeight="1">
      <c r="A7" s="17" t="s">
        <v>70</v>
      </c>
      <c r="B7" s="19" t="e">
        <f t="shared" ref="B7" ca="1" si="0">Code128(A7)</f>
        <v>#NAME?</v>
      </c>
      <c r="C7" s="14" t="e">
        <f t="shared" ref="C7" ca="1" si="1">B7</f>
        <v>#NAME?</v>
      </c>
      <c r="D7" s="25"/>
      <c r="E7" s="21"/>
      <c r="F7" s="22">
        <v>44152</v>
      </c>
      <c r="G7" s="23"/>
    </row>
    <row r="8" spans="1:7" ht="9.9499999999999993" customHeight="1">
      <c r="A8" s="18"/>
      <c r="B8" s="20"/>
      <c r="C8" s="15" t="str">
        <f t="shared" ref="C8" si="2">A7</f>
        <v>OP-PHEV-LIN-02</v>
      </c>
      <c r="D8" s="26"/>
      <c r="E8" s="21"/>
      <c r="F8" s="22"/>
      <c r="G8" s="24"/>
    </row>
    <row r="9" spans="1:7" ht="20.100000000000001" customHeight="1">
      <c r="A9" s="17" t="s">
        <v>71</v>
      </c>
      <c r="B9" s="19" t="e">
        <f t="shared" ref="B9" ca="1" si="3">Code128(A9)</f>
        <v>#NAME?</v>
      </c>
      <c r="C9" s="14" t="e">
        <f t="shared" ref="C9" ca="1" si="4">B9</f>
        <v>#NAME?</v>
      </c>
      <c r="D9" s="25"/>
      <c r="E9" s="21"/>
      <c r="F9" s="22">
        <v>44152</v>
      </c>
      <c r="G9" s="23"/>
    </row>
    <row r="10" spans="1:7" ht="9.9499999999999993" customHeight="1">
      <c r="A10" s="18"/>
      <c r="B10" s="20"/>
      <c r="C10" s="15" t="str">
        <f t="shared" ref="C10" si="5">A9</f>
        <v>OP-PHEV-LIN-03</v>
      </c>
      <c r="D10" s="26"/>
      <c r="E10" s="21"/>
      <c r="F10" s="22"/>
      <c r="G10" s="24"/>
    </row>
    <row r="11" spans="1:7" ht="20.100000000000001" customHeight="1">
      <c r="A11" s="17" t="s">
        <v>72</v>
      </c>
      <c r="B11" s="19" t="e">
        <f t="shared" ref="B11" ca="1" si="6">Code128(A11)</f>
        <v>#NAME?</v>
      </c>
      <c r="C11" s="14" t="e">
        <f t="shared" ref="C11" ca="1" si="7">B11</f>
        <v>#NAME?</v>
      </c>
      <c r="D11" s="25"/>
      <c r="E11" s="21"/>
      <c r="F11" s="22">
        <v>44152</v>
      </c>
      <c r="G11" s="23"/>
    </row>
    <row r="12" spans="1:7" ht="9.9499999999999993" customHeight="1">
      <c r="A12" s="18"/>
      <c r="B12" s="20"/>
      <c r="C12" s="15" t="str">
        <f t="shared" ref="C12" si="8">A11</f>
        <v>OP-PHEV-LIN-04</v>
      </c>
      <c r="D12" s="26"/>
      <c r="E12" s="21"/>
      <c r="F12" s="22"/>
      <c r="G12" s="24"/>
    </row>
    <row r="13" spans="1:7" ht="20.100000000000001" customHeight="1">
      <c r="A13" s="17" t="s">
        <v>73</v>
      </c>
      <c r="B13" s="19" t="e">
        <f t="shared" ref="B13" ca="1" si="9">Code128(A13)</f>
        <v>#NAME?</v>
      </c>
      <c r="C13" s="14" t="e">
        <f t="shared" ref="C13" ca="1" si="10">B13</f>
        <v>#NAME?</v>
      </c>
      <c r="D13" s="25"/>
      <c r="E13" s="21"/>
      <c r="F13" s="22">
        <v>44152</v>
      </c>
      <c r="G13" s="23"/>
    </row>
    <row r="14" spans="1:7" ht="9.9499999999999993" customHeight="1">
      <c r="A14" s="18"/>
      <c r="B14" s="20"/>
      <c r="C14" s="15" t="str">
        <f t="shared" ref="C14" si="11">A13</f>
        <v>OP-PHEV-LIN-05</v>
      </c>
      <c r="D14" s="26"/>
      <c r="E14" s="21"/>
      <c r="F14" s="22"/>
      <c r="G14" s="24"/>
    </row>
    <row r="15" spans="1:7" ht="20.100000000000001" customHeight="1">
      <c r="A15" s="17" t="s">
        <v>74</v>
      </c>
      <c r="B15" s="19" t="e">
        <f t="shared" ref="B15" ca="1" si="12">Code128(A15)</f>
        <v>#NAME?</v>
      </c>
      <c r="C15" s="14" t="e">
        <f t="shared" ref="C15" ca="1" si="13">B15</f>
        <v>#NAME?</v>
      </c>
      <c r="D15" s="25"/>
      <c r="E15" s="21"/>
      <c r="F15" s="22">
        <v>44152</v>
      </c>
      <c r="G15" s="23"/>
    </row>
    <row r="16" spans="1:7" ht="9.9499999999999993" customHeight="1">
      <c r="A16" s="18"/>
      <c r="B16" s="20"/>
      <c r="C16" s="15" t="str">
        <f t="shared" ref="C16" si="14">A15</f>
        <v>OP-PHEV-LIN-06</v>
      </c>
      <c r="D16" s="26"/>
      <c r="E16" s="21"/>
      <c r="F16" s="22"/>
      <c r="G16" s="24"/>
    </row>
    <row r="17" spans="1:7" ht="20.100000000000001" customHeight="1">
      <c r="A17" s="17" t="s">
        <v>75</v>
      </c>
      <c r="B17" s="19" t="e">
        <f t="shared" ref="B17" ca="1" si="15">Code128(A17)</f>
        <v>#NAME?</v>
      </c>
      <c r="C17" s="14" t="e">
        <f t="shared" ref="C17" ca="1" si="16">B17</f>
        <v>#NAME?</v>
      </c>
      <c r="D17" s="25"/>
      <c r="E17" s="21" t="s">
        <v>57</v>
      </c>
      <c r="F17" s="22">
        <v>44400</v>
      </c>
      <c r="G17" s="23" t="s">
        <v>19</v>
      </c>
    </row>
    <row r="18" spans="1:7" ht="9.9499999999999993" customHeight="1">
      <c r="A18" s="18"/>
      <c r="B18" s="20"/>
      <c r="C18" s="15" t="str">
        <f t="shared" ref="C18" si="17">A17</f>
        <v>OP-PHEV-LIN-07</v>
      </c>
      <c r="D18" s="26"/>
      <c r="E18" s="21"/>
      <c r="F18" s="22"/>
      <c r="G18" s="24"/>
    </row>
    <row r="19" spans="1:7" ht="20.100000000000001" customHeight="1">
      <c r="A19" s="17" t="s">
        <v>76</v>
      </c>
      <c r="B19" s="19" t="e">
        <f t="shared" ref="B19" ca="1" si="18">Code128(A19)</f>
        <v>#NAME?</v>
      </c>
      <c r="C19" s="14" t="e">
        <f t="shared" ref="C19" ca="1" si="19">B19</f>
        <v>#NAME?</v>
      </c>
      <c r="D19" s="25"/>
      <c r="E19" s="21" t="s">
        <v>57</v>
      </c>
      <c r="F19" s="22">
        <v>44400</v>
      </c>
      <c r="G19" s="23" t="s">
        <v>19</v>
      </c>
    </row>
    <row r="20" spans="1:7" ht="9.9499999999999993" customHeight="1">
      <c r="A20" s="18"/>
      <c r="B20" s="20"/>
      <c r="C20" s="15" t="str">
        <f t="shared" ref="C20" si="20">A19</f>
        <v>OP-PHEV-LIN-08</v>
      </c>
      <c r="D20" s="26"/>
      <c r="E20" s="21"/>
      <c r="F20" s="22"/>
      <c r="G20" s="24"/>
    </row>
    <row r="21" spans="1:7" ht="20.100000000000001" customHeight="1">
      <c r="A21" s="17" t="s">
        <v>77</v>
      </c>
      <c r="B21" s="19" t="e">
        <f t="shared" ref="B21" ca="1" si="21">Code128(A21)</f>
        <v>#NAME?</v>
      </c>
      <c r="C21" s="14" t="e">
        <f t="shared" ref="C21" ca="1" si="22">B21</f>
        <v>#NAME?</v>
      </c>
      <c r="D21" s="25"/>
      <c r="E21" s="21" t="s">
        <v>57</v>
      </c>
      <c r="F21" s="22">
        <v>44400</v>
      </c>
      <c r="G21" s="23" t="s">
        <v>19</v>
      </c>
    </row>
    <row r="22" spans="1:7" ht="9.9499999999999993" customHeight="1">
      <c r="A22" s="18"/>
      <c r="B22" s="20"/>
      <c r="C22" s="15" t="str">
        <f t="shared" ref="C22" si="23">A21</f>
        <v>OP-PHEV-LIN-09</v>
      </c>
      <c r="D22" s="26"/>
      <c r="E22" s="21"/>
      <c r="F22" s="22"/>
      <c r="G22" s="24"/>
    </row>
    <row r="23" spans="1:7" ht="20.100000000000001" customHeight="1">
      <c r="A23" s="17" t="s">
        <v>78</v>
      </c>
      <c r="B23" s="19" t="e">
        <f t="shared" ref="B23" ca="1" si="24">Code128(A23)</f>
        <v>#NAME?</v>
      </c>
      <c r="C23" s="14" t="e">
        <f t="shared" ref="C23" ca="1" si="25">B23</f>
        <v>#NAME?</v>
      </c>
      <c r="D23" s="25"/>
      <c r="E23" s="21" t="s">
        <v>57</v>
      </c>
      <c r="F23" s="22">
        <v>44400</v>
      </c>
      <c r="G23" s="23" t="s">
        <v>19</v>
      </c>
    </row>
    <row r="24" spans="1:7" ht="9.9499999999999993" customHeight="1">
      <c r="A24" s="18"/>
      <c r="B24" s="20"/>
      <c r="C24" s="15" t="str">
        <f t="shared" ref="C24" si="26">A23</f>
        <v>OP-PHEV-LIN-10</v>
      </c>
      <c r="D24" s="26"/>
      <c r="E24" s="21"/>
      <c r="F24" s="22"/>
      <c r="G24" s="24"/>
    </row>
    <row r="25" spans="1:7" ht="20.100000000000001" customHeight="1">
      <c r="A25" s="17" t="s">
        <v>79</v>
      </c>
      <c r="B25" s="19" t="e">
        <f t="shared" ref="B25" ca="1" si="27">Code128(A25)</f>
        <v>#NAME?</v>
      </c>
      <c r="C25" s="14" t="e">
        <f t="shared" ref="C25" ca="1" si="28">B25</f>
        <v>#NAME?</v>
      </c>
      <c r="D25" s="25"/>
      <c r="E25" s="21" t="s">
        <v>57</v>
      </c>
      <c r="F25" s="22">
        <v>44400</v>
      </c>
      <c r="G25" s="23" t="s">
        <v>19</v>
      </c>
    </row>
    <row r="26" spans="1:7" ht="9.9499999999999993" customHeight="1">
      <c r="A26" s="18"/>
      <c r="B26" s="20"/>
      <c r="C26" s="15" t="str">
        <f t="shared" ref="C26" si="29">A25</f>
        <v>OP-PHEV-LIN-11</v>
      </c>
      <c r="D26" s="26"/>
      <c r="E26" s="21"/>
      <c r="F26" s="22"/>
      <c r="G26" s="24"/>
    </row>
    <row r="27" spans="1:7" ht="20.100000000000001" customHeight="1">
      <c r="A27" s="17" t="s">
        <v>80</v>
      </c>
      <c r="B27" s="19" t="e">
        <f t="shared" ref="B27" ca="1" si="30">Code128(A27)</f>
        <v>#NAME?</v>
      </c>
      <c r="C27" s="14" t="e">
        <f t="shared" ref="C27" ca="1" si="31">B27</f>
        <v>#NAME?</v>
      </c>
      <c r="D27" s="25"/>
      <c r="E27" s="21" t="s">
        <v>57</v>
      </c>
      <c r="F27" s="22">
        <v>44400</v>
      </c>
      <c r="G27" s="23" t="s">
        <v>19</v>
      </c>
    </row>
    <row r="28" spans="1:7" ht="9.9499999999999993" customHeight="1">
      <c r="A28" s="18"/>
      <c r="B28" s="20"/>
      <c r="C28" s="15" t="str">
        <f t="shared" ref="C28" si="32">A27</f>
        <v>OP-PHEV-LIN-12</v>
      </c>
      <c r="D28" s="26"/>
      <c r="E28" s="21"/>
      <c r="F28" s="22"/>
      <c r="G28" s="24"/>
    </row>
    <row r="29" spans="1:7" ht="20.100000000000001" customHeight="1">
      <c r="A29" s="17" t="s">
        <v>81</v>
      </c>
      <c r="B29" s="19" t="e">
        <f ca="1">Code128(A29)</f>
        <v>#NAME?</v>
      </c>
      <c r="C29" s="14" t="e">
        <f ca="1">B29</f>
        <v>#NAME?</v>
      </c>
      <c r="D29" s="25"/>
      <c r="E29" s="21" t="s">
        <v>57</v>
      </c>
      <c r="F29" s="22">
        <v>44400</v>
      </c>
      <c r="G29" s="23" t="s">
        <v>19</v>
      </c>
    </row>
    <row r="30" spans="1:7" ht="9.9499999999999993" customHeight="1">
      <c r="A30" s="18"/>
      <c r="B30" s="20"/>
      <c r="C30" s="15" t="str">
        <f>A29</f>
        <v>OP-PHEV-LIN-13</v>
      </c>
      <c r="D30" s="26"/>
      <c r="E30" s="21"/>
      <c r="F30" s="22"/>
      <c r="G30" s="24"/>
    </row>
    <row r="31" spans="1:7" ht="20.100000000000001" customHeight="1">
      <c r="A31" s="17" t="s">
        <v>82</v>
      </c>
      <c r="B31" s="19" t="e">
        <f t="shared" ref="B31" ca="1" si="33">Code128(A31)</f>
        <v>#NAME?</v>
      </c>
      <c r="C31" s="14" t="e">
        <f t="shared" ref="C31" ca="1" si="34">B31</f>
        <v>#NAME?</v>
      </c>
      <c r="D31" s="25"/>
      <c r="E31" s="21" t="s">
        <v>57</v>
      </c>
      <c r="F31" s="22">
        <v>44400</v>
      </c>
      <c r="G31" s="23" t="s">
        <v>19</v>
      </c>
    </row>
    <row r="32" spans="1:7" ht="9.9499999999999993" customHeight="1">
      <c r="A32" s="18"/>
      <c r="B32" s="20"/>
      <c r="C32" s="15" t="str">
        <f t="shared" ref="C32" si="35">A31</f>
        <v>OP-PHEV-LIN-14</v>
      </c>
      <c r="D32" s="26"/>
      <c r="E32" s="21"/>
      <c r="F32" s="22"/>
      <c r="G32" s="24"/>
    </row>
    <row r="33" spans="1:7" ht="20.100000000000001" customHeight="1">
      <c r="A33" s="17" t="s">
        <v>83</v>
      </c>
      <c r="B33" s="19" t="e">
        <f t="shared" ref="B33" ca="1" si="36">Code128(A33)</f>
        <v>#NAME?</v>
      </c>
      <c r="C33" s="14" t="e">
        <f t="shared" ref="C33" ca="1" si="37">B33</f>
        <v>#NAME?</v>
      </c>
      <c r="D33" s="25"/>
      <c r="E33" s="21" t="s">
        <v>57</v>
      </c>
      <c r="F33" s="22">
        <v>44400</v>
      </c>
      <c r="G33" s="23" t="s">
        <v>19</v>
      </c>
    </row>
    <row r="34" spans="1:7" ht="9.9499999999999993" customHeight="1">
      <c r="A34" s="18"/>
      <c r="B34" s="20"/>
      <c r="C34" s="15" t="str">
        <f t="shared" ref="C34" si="38">A33</f>
        <v>OP-PHEV-LIN-15</v>
      </c>
      <c r="D34" s="26"/>
      <c r="E34" s="21"/>
      <c r="F34" s="22"/>
      <c r="G34" s="24"/>
    </row>
    <row r="35" spans="1:7" ht="20.100000000000001" customHeight="1">
      <c r="A35" s="17" t="s">
        <v>84</v>
      </c>
      <c r="B35" s="19" t="e">
        <f t="shared" ref="B35" ca="1" si="39">Code128(A35)</f>
        <v>#NAME?</v>
      </c>
      <c r="C35" s="14" t="e">
        <f t="shared" ref="C35" ca="1" si="40">B35</f>
        <v>#NAME?</v>
      </c>
      <c r="D35" s="25"/>
      <c r="E35" s="21" t="s">
        <v>85</v>
      </c>
      <c r="F35" s="22">
        <v>44400</v>
      </c>
      <c r="G35" s="23" t="s">
        <v>19</v>
      </c>
    </row>
    <row r="36" spans="1:7" ht="9.9499999999999993" customHeight="1">
      <c r="A36" s="18"/>
      <c r="B36" s="20"/>
      <c r="C36" s="15" t="str">
        <f t="shared" ref="C36" si="41">A35</f>
        <v>OP-PHEV-LIN-16</v>
      </c>
      <c r="D36" s="26"/>
      <c r="E36" s="21"/>
      <c r="F36" s="22"/>
      <c r="G36" s="24"/>
    </row>
    <row r="37" spans="1:7" ht="20.100000000000001" customHeight="1">
      <c r="A37" s="17" t="s">
        <v>86</v>
      </c>
      <c r="B37" s="19" t="e">
        <f t="shared" ref="B37" ca="1" si="42">Code128(A37)</f>
        <v>#NAME?</v>
      </c>
      <c r="C37" s="14" t="e">
        <f t="shared" ref="C37" ca="1" si="43">B37</f>
        <v>#NAME?</v>
      </c>
      <c r="D37" s="25"/>
      <c r="E37" s="21" t="s">
        <v>85</v>
      </c>
      <c r="F37" s="22">
        <v>44400</v>
      </c>
      <c r="G37" s="23" t="s">
        <v>19</v>
      </c>
    </row>
    <row r="38" spans="1:7" ht="9.9499999999999993" customHeight="1">
      <c r="A38" s="18"/>
      <c r="B38" s="20"/>
      <c r="C38" s="15" t="str">
        <f t="shared" ref="C38" si="44">A37</f>
        <v>OP-PHEV-LIN-17</v>
      </c>
      <c r="D38" s="26"/>
      <c r="E38" s="21"/>
      <c r="F38" s="22"/>
      <c r="G38" s="24"/>
    </row>
    <row r="39" spans="1:7" ht="20.100000000000001" customHeight="1">
      <c r="A39" s="17" t="s">
        <v>87</v>
      </c>
      <c r="B39" s="19" t="e">
        <f t="shared" ref="B39" ca="1" si="45">Code128(A39)</f>
        <v>#NAME?</v>
      </c>
      <c r="C39" s="14" t="e">
        <f t="shared" ref="C39" ca="1" si="46">B39</f>
        <v>#NAME?</v>
      </c>
      <c r="D39" s="25"/>
      <c r="E39" s="21" t="s">
        <v>65</v>
      </c>
      <c r="F39" s="22">
        <v>44400</v>
      </c>
      <c r="G39" s="23" t="s">
        <v>19</v>
      </c>
    </row>
    <row r="40" spans="1:7" ht="9.9499999999999993" customHeight="1">
      <c r="A40" s="18"/>
      <c r="B40" s="20"/>
      <c r="C40" s="15" t="str">
        <f t="shared" ref="C40" si="47">A39</f>
        <v>OP-PHEV-LIN-18</v>
      </c>
      <c r="D40" s="26"/>
      <c r="E40" s="21"/>
      <c r="F40" s="22"/>
      <c r="G40" s="24"/>
    </row>
    <row r="41" spans="1:7" ht="20.100000000000001" customHeight="1">
      <c r="A41" s="17" t="s">
        <v>88</v>
      </c>
      <c r="B41" s="19" t="e">
        <f t="shared" ref="B41" ca="1" si="48">Code128(A41)</f>
        <v>#NAME?</v>
      </c>
      <c r="C41" s="14" t="e">
        <f t="shared" ref="C41" ca="1" si="49">B41</f>
        <v>#NAME?</v>
      </c>
      <c r="D41" s="25"/>
      <c r="E41" s="21" t="s">
        <v>65</v>
      </c>
      <c r="F41" s="22">
        <v>44400</v>
      </c>
      <c r="G41" s="23" t="s">
        <v>19</v>
      </c>
    </row>
    <row r="42" spans="1:7" ht="9.9499999999999993" customHeight="1">
      <c r="A42" s="18"/>
      <c r="B42" s="20"/>
      <c r="C42" s="15" t="str">
        <f t="shared" ref="C42" si="50">A41</f>
        <v>OP-PHEV-LIN-19</v>
      </c>
      <c r="D42" s="26"/>
      <c r="E42" s="21"/>
      <c r="F42" s="22"/>
      <c r="G42" s="24"/>
    </row>
    <row r="43" spans="1:7" ht="20.100000000000001" customHeight="1">
      <c r="A43" s="17" t="s">
        <v>89</v>
      </c>
      <c r="B43" s="19" t="e">
        <f t="shared" ref="B43" ca="1" si="51">Code128(A43)</f>
        <v>#NAME?</v>
      </c>
      <c r="C43" s="14" t="e">
        <f t="shared" ref="C43" ca="1" si="52">B43</f>
        <v>#NAME?</v>
      </c>
      <c r="D43" s="25"/>
      <c r="E43" s="21" t="s">
        <v>65</v>
      </c>
      <c r="F43" s="22">
        <v>44400</v>
      </c>
      <c r="G43" s="23" t="s">
        <v>19</v>
      </c>
    </row>
    <row r="44" spans="1:7" ht="9.9499999999999993" customHeight="1">
      <c r="A44" s="18"/>
      <c r="B44" s="20"/>
      <c r="C44" s="15" t="str">
        <f t="shared" ref="C44" si="53">A43</f>
        <v>OP-PHEV-LIN-20</v>
      </c>
      <c r="D44" s="26"/>
      <c r="E44" s="21"/>
      <c r="F44" s="22"/>
      <c r="G44" s="24"/>
    </row>
    <row r="45" spans="1:7" ht="20.100000000000001" customHeight="1">
      <c r="A45" s="17" t="s">
        <v>90</v>
      </c>
      <c r="B45" s="19" t="e">
        <f t="shared" ref="B45" ca="1" si="54">Code128(A45)</f>
        <v>#NAME?</v>
      </c>
      <c r="C45" s="14" t="e">
        <f t="shared" ref="C45" ca="1" si="55">B45</f>
        <v>#NAME?</v>
      </c>
      <c r="D45" s="25"/>
      <c r="E45" s="21" t="s">
        <v>65</v>
      </c>
      <c r="F45" s="22">
        <v>44400</v>
      </c>
      <c r="G45" s="23" t="s">
        <v>19</v>
      </c>
    </row>
    <row r="46" spans="1:7" ht="9.9499999999999993" customHeight="1">
      <c r="A46" s="18"/>
      <c r="B46" s="20"/>
      <c r="C46" s="15" t="str">
        <f t="shared" ref="C46" si="56">A45</f>
        <v>OP-PHEV-LIN-21</v>
      </c>
      <c r="D46" s="26"/>
      <c r="E46" s="21"/>
      <c r="F46" s="22"/>
      <c r="G46" s="24"/>
    </row>
    <row r="47" spans="1:7" ht="20.100000000000001" customHeight="1">
      <c r="A47" s="17" t="s">
        <v>91</v>
      </c>
      <c r="B47" s="19" t="e">
        <f t="shared" ref="B47" ca="1" si="57">Code128(A47)</f>
        <v>#NAME?</v>
      </c>
      <c r="C47" s="14" t="e">
        <f t="shared" ref="C47" ca="1" si="58">B47</f>
        <v>#NAME?</v>
      </c>
      <c r="D47" s="25"/>
      <c r="E47" s="21" t="s">
        <v>65</v>
      </c>
      <c r="F47" s="22">
        <v>44400</v>
      </c>
      <c r="G47" s="23" t="s">
        <v>19</v>
      </c>
    </row>
    <row r="48" spans="1:7" ht="9.9499999999999993" customHeight="1">
      <c r="A48" s="18"/>
      <c r="B48" s="20"/>
      <c r="C48" s="15" t="str">
        <f t="shared" ref="C48" si="59">A47</f>
        <v>OP-PHEV-LIN-22</v>
      </c>
      <c r="D48" s="26"/>
      <c r="E48" s="21"/>
      <c r="F48" s="22"/>
      <c r="G48" s="24"/>
    </row>
    <row r="49" spans="1:7" ht="20.100000000000001" customHeight="1">
      <c r="A49" s="17" t="s">
        <v>92</v>
      </c>
      <c r="B49" s="19" t="e">
        <f t="shared" ref="B49" ca="1" si="60">Code128(A49)</f>
        <v>#NAME?</v>
      </c>
      <c r="C49" s="14" t="e">
        <f t="shared" ref="C49" ca="1" si="61">B49</f>
        <v>#NAME?</v>
      </c>
      <c r="D49" s="25"/>
      <c r="E49" s="21" t="s">
        <v>65</v>
      </c>
      <c r="F49" s="22">
        <v>44400</v>
      </c>
      <c r="G49" s="23" t="s">
        <v>19</v>
      </c>
    </row>
    <row r="50" spans="1:7" ht="9.9499999999999993" customHeight="1">
      <c r="A50" s="18"/>
      <c r="B50" s="20"/>
      <c r="C50" s="15" t="str">
        <f t="shared" ref="C50" si="62">A49</f>
        <v>OP-PHEV-LIN-23</v>
      </c>
      <c r="D50" s="26"/>
      <c r="E50" s="21"/>
      <c r="F50" s="22"/>
      <c r="G50" s="24"/>
    </row>
  </sheetData>
  <mergeCells count="138">
    <mergeCell ref="A49:A50"/>
    <mergeCell ref="B49:B50"/>
    <mergeCell ref="D49:D50"/>
    <mergeCell ref="F49:F50"/>
    <mergeCell ref="G49:G50"/>
    <mergeCell ref="A45:A46"/>
    <mergeCell ref="B45:B46"/>
    <mergeCell ref="D45:D46"/>
    <mergeCell ref="F45:F46"/>
    <mergeCell ref="G45:G46"/>
    <mergeCell ref="A47:A48"/>
    <mergeCell ref="B47:B48"/>
    <mergeCell ref="D47:D48"/>
    <mergeCell ref="F47:F48"/>
    <mergeCell ref="G47:G48"/>
    <mergeCell ref="E45:E46"/>
    <mergeCell ref="E47:E48"/>
    <mergeCell ref="E49:E50"/>
    <mergeCell ref="A41:A42"/>
    <mergeCell ref="B41:B42"/>
    <mergeCell ref="D41:D42"/>
    <mergeCell ref="F41:F42"/>
    <mergeCell ref="G41:G42"/>
    <mergeCell ref="A43:A44"/>
    <mergeCell ref="B43:B44"/>
    <mergeCell ref="D43:D44"/>
    <mergeCell ref="F43:F44"/>
    <mergeCell ref="G43:G44"/>
    <mergeCell ref="E41:E42"/>
    <mergeCell ref="E43:E44"/>
    <mergeCell ref="A37:A38"/>
    <mergeCell ref="B37:B38"/>
    <mergeCell ref="D37:D38"/>
    <mergeCell ref="F37:F38"/>
    <mergeCell ref="G37:G38"/>
    <mergeCell ref="A39:A40"/>
    <mergeCell ref="B39:B40"/>
    <mergeCell ref="D39:D40"/>
    <mergeCell ref="F39:F40"/>
    <mergeCell ref="G39:G40"/>
    <mergeCell ref="E37:E38"/>
    <mergeCell ref="E39:E40"/>
    <mergeCell ref="A33:A34"/>
    <mergeCell ref="B33:B34"/>
    <mergeCell ref="D33:D34"/>
    <mergeCell ref="F33:F34"/>
    <mergeCell ref="G33:G34"/>
    <mergeCell ref="A35:A36"/>
    <mergeCell ref="B35:B36"/>
    <mergeCell ref="D35:D36"/>
    <mergeCell ref="F35:F36"/>
    <mergeCell ref="G35:G36"/>
    <mergeCell ref="E33:E34"/>
    <mergeCell ref="E35:E36"/>
    <mergeCell ref="A29:A30"/>
    <mergeCell ref="B29:B30"/>
    <mergeCell ref="D29:D30"/>
    <mergeCell ref="F29:F30"/>
    <mergeCell ref="G29:G30"/>
    <mergeCell ref="A31:A32"/>
    <mergeCell ref="B31:B32"/>
    <mergeCell ref="D31:D32"/>
    <mergeCell ref="F31:F32"/>
    <mergeCell ref="G31:G32"/>
    <mergeCell ref="E29:E30"/>
    <mergeCell ref="E31:E32"/>
    <mergeCell ref="A25:A26"/>
    <mergeCell ref="B25:B26"/>
    <mergeCell ref="D25:D26"/>
    <mergeCell ref="F25:F26"/>
    <mergeCell ref="G25:G26"/>
    <mergeCell ref="A27:A28"/>
    <mergeCell ref="B27:B28"/>
    <mergeCell ref="D27:D28"/>
    <mergeCell ref="F27:F28"/>
    <mergeCell ref="G27:G28"/>
    <mergeCell ref="E25:E26"/>
    <mergeCell ref="E27:E28"/>
    <mergeCell ref="A21:A22"/>
    <mergeCell ref="B21:B22"/>
    <mergeCell ref="D21:D22"/>
    <mergeCell ref="F21:F22"/>
    <mergeCell ref="G21:G22"/>
    <mergeCell ref="A23:A24"/>
    <mergeCell ref="B23:B24"/>
    <mergeCell ref="D23:D24"/>
    <mergeCell ref="F23:F24"/>
    <mergeCell ref="G23:G24"/>
    <mergeCell ref="E21:E22"/>
    <mergeCell ref="E23:E24"/>
    <mergeCell ref="A17:A18"/>
    <mergeCell ref="B17:B18"/>
    <mergeCell ref="D17:D18"/>
    <mergeCell ref="F17:F18"/>
    <mergeCell ref="G17:G18"/>
    <mergeCell ref="A19:A20"/>
    <mergeCell ref="B19:B20"/>
    <mergeCell ref="D19:D20"/>
    <mergeCell ref="F19:F20"/>
    <mergeCell ref="G19:G20"/>
    <mergeCell ref="E17:E18"/>
    <mergeCell ref="E19:E20"/>
    <mergeCell ref="A13:A14"/>
    <mergeCell ref="B13:B14"/>
    <mergeCell ref="D13:D14"/>
    <mergeCell ref="F13:F14"/>
    <mergeCell ref="G13:G14"/>
    <mergeCell ref="A15:A16"/>
    <mergeCell ref="B15:B16"/>
    <mergeCell ref="D15:D16"/>
    <mergeCell ref="F15:F16"/>
    <mergeCell ref="G15:G16"/>
    <mergeCell ref="E13:E14"/>
    <mergeCell ref="E15:E16"/>
    <mergeCell ref="A9:A10"/>
    <mergeCell ref="B9:B10"/>
    <mergeCell ref="D9:D10"/>
    <mergeCell ref="F9:F10"/>
    <mergeCell ref="G9:G10"/>
    <mergeCell ref="A11:A12"/>
    <mergeCell ref="B11:B12"/>
    <mergeCell ref="D11:D12"/>
    <mergeCell ref="F11:F12"/>
    <mergeCell ref="G11:G12"/>
    <mergeCell ref="E9:E10"/>
    <mergeCell ref="E11:E12"/>
    <mergeCell ref="A5:A6"/>
    <mergeCell ref="B5:B6"/>
    <mergeCell ref="D5:D6"/>
    <mergeCell ref="F5:F6"/>
    <mergeCell ref="G5:G6"/>
    <mergeCell ref="A7:A8"/>
    <mergeCell ref="B7:B8"/>
    <mergeCell ref="D7:D8"/>
    <mergeCell ref="F7:F8"/>
    <mergeCell ref="G7:G8"/>
    <mergeCell ref="E5:E6"/>
    <mergeCell ref="E7:E8"/>
  </mergeCells>
  <conditionalFormatting sqref="A5:G5 A6:D16 F6:G16">
    <cfRule type="expression" dxfId="43" priority="3">
      <formula>$G5="A"</formula>
    </cfRule>
  </conditionalFormatting>
  <conditionalFormatting sqref="A17:D50 F17:G50">
    <cfRule type="expression" dxfId="42" priority="2">
      <formula>$G17="A"</formula>
    </cfRule>
  </conditionalFormatting>
  <conditionalFormatting sqref="E7 E9 E11 E13 E15 E17 E35 E37 E39 E19 E21 E23 E25 E27 E29 E31 E33 E41 E43 E45 E47 E49">
    <cfRule type="expression" dxfId="41" priority="1">
      <formula>$G7="A"</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7"/>
  </sheetPr>
  <dimension ref="A1:G214"/>
  <sheetViews>
    <sheetView zoomScaleNormal="100" workbookViewId="0">
      <selection activeCell="B11" sqref="B11:B12"/>
    </sheetView>
  </sheetViews>
  <sheetFormatPr defaultRowHeight="14.45"/>
  <cols>
    <col min="1" max="1" width="25.140625" bestFit="1" customWidth="1"/>
    <col min="2" max="2" width="27.5703125" bestFit="1" customWidth="1"/>
    <col min="3" max="3" width="19.85546875" customWidth="1"/>
    <col min="4" max="4" width="15.28515625" customWidth="1"/>
    <col min="5" max="5" width="24.7109375" bestFit="1" customWidth="1"/>
    <col min="6" max="6" width="19.42578125" customWidth="1"/>
    <col min="7" max="7" width="17.5703125" customWidth="1"/>
    <col min="8" max="8" width="14.85546875" customWidth="1"/>
    <col min="10" max="10" width="16.85546875" customWidth="1"/>
  </cols>
  <sheetData>
    <row r="1" spans="1:7" ht="47.25" customHeight="1">
      <c r="A1" s="1" t="s">
        <v>0</v>
      </c>
      <c r="B1" s="1" t="s">
        <v>1</v>
      </c>
      <c r="C1" s="2" t="s">
        <v>2</v>
      </c>
      <c r="D1" s="3" t="s">
        <v>3</v>
      </c>
      <c r="E1" s="4" t="s">
        <v>4</v>
      </c>
      <c r="F1" s="1" t="s">
        <v>5</v>
      </c>
    </row>
    <row r="2" spans="1:7">
      <c r="A2" s="5" t="s">
        <v>6</v>
      </c>
      <c r="B2" s="5" t="s">
        <v>93</v>
      </c>
      <c r="C2" s="6" t="s">
        <v>50</v>
      </c>
      <c r="D2" s="7"/>
      <c r="E2" s="8"/>
      <c r="F2" s="5"/>
    </row>
    <row r="4" spans="1:7" ht="43.15">
      <c r="A4" s="9" t="s">
        <v>8</v>
      </c>
      <c r="B4" s="9" t="s">
        <v>9</v>
      </c>
      <c r="C4" s="10" t="s">
        <v>10</v>
      </c>
      <c r="D4" s="11" t="s">
        <v>11</v>
      </c>
      <c r="E4" s="16" t="s">
        <v>12</v>
      </c>
      <c r="F4" s="12" t="s">
        <v>13</v>
      </c>
      <c r="G4" s="13" t="s">
        <v>14</v>
      </c>
    </row>
    <row r="5" spans="1:7" ht="20.100000000000001" customHeight="1">
      <c r="A5" s="17" t="s">
        <v>94</v>
      </c>
      <c r="B5" s="19" t="e">
        <f ca="1">Code128(A5)</f>
        <v>#NAME?</v>
      </c>
      <c r="C5" s="14" t="e">
        <f ca="1">B5</f>
        <v>#NAME?</v>
      </c>
      <c r="D5" s="21"/>
      <c r="E5" s="21"/>
      <c r="F5" s="22">
        <v>44690</v>
      </c>
      <c r="G5" s="23" t="s">
        <v>19</v>
      </c>
    </row>
    <row r="6" spans="1:7" ht="9.9499999999999993" customHeight="1">
      <c r="A6" s="18"/>
      <c r="B6" s="20"/>
      <c r="C6" s="15" t="str">
        <f>A5</f>
        <v>OP-10R-PWM-01</v>
      </c>
      <c r="D6" s="21"/>
      <c r="E6" s="21"/>
      <c r="F6" s="22"/>
      <c r="G6" s="24"/>
    </row>
    <row r="7" spans="1:7" ht="20.100000000000001" customHeight="1">
      <c r="A7" s="17" t="s">
        <v>95</v>
      </c>
      <c r="B7" s="19" t="e">
        <f t="shared" ref="B7" ca="1" si="0">Code128(A7)</f>
        <v>#NAME?</v>
      </c>
      <c r="C7" s="14" t="e">
        <f t="shared" ref="C7" ca="1" si="1">B7</f>
        <v>#NAME?</v>
      </c>
      <c r="D7" s="21"/>
      <c r="E7" s="21"/>
      <c r="F7" s="22">
        <v>44690</v>
      </c>
      <c r="G7" s="23" t="s">
        <v>19</v>
      </c>
    </row>
    <row r="8" spans="1:7" ht="9.9499999999999993" customHeight="1">
      <c r="A8" s="18"/>
      <c r="B8" s="20"/>
      <c r="C8" s="15" t="str">
        <f t="shared" ref="C8" si="2">A7</f>
        <v>OP-10R-PWM-02</v>
      </c>
      <c r="D8" s="21"/>
      <c r="E8" s="21"/>
      <c r="F8" s="22"/>
      <c r="G8" s="24"/>
    </row>
    <row r="9" spans="1:7" ht="20.100000000000001" customHeight="1">
      <c r="A9" s="17" t="s">
        <v>96</v>
      </c>
      <c r="B9" s="19" t="e">
        <f ca="1">Code128(A9)</f>
        <v>#NAME?</v>
      </c>
      <c r="C9" s="14" t="e">
        <f t="shared" ref="C9" ca="1" si="3">B9</f>
        <v>#NAME?</v>
      </c>
      <c r="D9" s="21"/>
      <c r="E9" s="21"/>
      <c r="F9" s="22">
        <v>44690</v>
      </c>
      <c r="G9" s="23" t="s">
        <v>19</v>
      </c>
    </row>
    <row r="10" spans="1:7" ht="9.9499999999999993" customHeight="1">
      <c r="A10" s="18"/>
      <c r="B10" s="20"/>
      <c r="C10" s="15" t="str">
        <f t="shared" ref="C10" si="4">A9</f>
        <v>OP-10R-PWM-03</v>
      </c>
      <c r="D10" s="21"/>
      <c r="E10" s="21"/>
      <c r="F10" s="22"/>
      <c r="G10" s="24"/>
    </row>
    <row r="11" spans="1:7" ht="20.100000000000001" customHeight="1">
      <c r="A11" s="17" t="s">
        <v>97</v>
      </c>
      <c r="B11" s="19" t="e">
        <f t="shared" ref="B11" ca="1" si="5">Code128(A11)</f>
        <v>#NAME?</v>
      </c>
      <c r="C11" s="14" t="e">
        <f t="shared" ref="C11" ca="1" si="6">B11</f>
        <v>#NAME?</v>
      </c>
      <c r="D11" s="21"/>
      <c r="E11" s="21"/>
      <c r="F11" s="22">
        <v>44690</v>
      </c>
      <c r="G11" s="23" t="s">
        <v>19</v>
      </c>
    </row>
    <row r="12" spans="1:7" ht="9.9499999999999993" customHeight="1">
      <c r="A12" s="18"/>
      <c r="B12" s="20"/>
      <c r="C12" s="15" t="str">
        <f t="shared" ref="C12" si="7">A11</f>
        <v>OP-10R-PWM-04</v>
      </c>
      <c r="D12" s="21"/>
      <c r="E12" s="21"/>
      <c r="F12" s="22"/>
      <c r="G12" s="24"/>
    </row>
    <row r="13" spans="1:7" ht="20.100000000000001" customHeight="1">
      <c r="A13" s="17" t="s">
        <v>98</v>
      </c>
      <c r="B13" s="19" t="e">
        <f t="shared" ref="B13" ca="1" si="8">Code128(A13)</f>
        <v>#NAME?</v>
      </c>
      <c r="C13" s="14" t="e">
        <f t="shared" ref="C13" ca="1" si="9">B13</f>
        <v>#NAME?</v>
      </c>
      <c r="D13" s="21"/>
      <c r="E13" s="21"/>
      <c r="F13" s="22">
        <v>44690</v>
      </c>
      <c r="G13" s="23" t="s">
        <v>19</v>
      </c>
    </row>
    <row r="14" spans="1:7" ht="9.9499999999999993" customHeight="1">
      <c r="A14" s="18"/>
      <c r="B14" s="20"/>
      <c r="C14" s="15" t="str">
        <f t="shared" ref="C14" si="10">A13</f>
        <v>OP-10R-PWM-05</v>
      </c>
      <c r="D14" s="21"/>
      <c r="E14" s="21"/>
      <c r="F14" s="22"/>
      <c r="G14" s="24"/>
    </row>
    <row r="15" spans="1:7" ht="20.100000000000001" customHeight="1">
      <c r="A15" s="17" t="s">
        <v>99</v>
      </c>
      <c r="B15" s="19" t="e">
        <f t="shared" ref="B15" ca="1" si="11">Code128(A15)</f>
        <v>#NAME?</v>
      </c>
      <c r="C15" s="14" t="e">
        <f t="shared" ref="C15" ca="1" si="12">B15</f>
        <v>#NAME?</v>
      </c>
      <c r="D15" s="21"/>
      <c r="E15" s="21"/>
      <c r="F15" s="22">
        <v>44690</v>
      </c>
      <c r="G15" s="23" t="s">
        <v>19</v>
      </c>
    </row>
    <row r="16" spans="1:7" ht="9.9499999999999993" customHeight="1">
      <c r="A16" s="18"/>
      <c r="B16" s="20"/>
      <c r="C16" s="15" t="str">
        <f t="shared" ref="C16" si="13">A15</f>
        <v>OP-10R-PWM-06</v>
      </c>
      <c r="D16" s="21"/>
      <c r="E16" s="21"/>
      <c r="F16" s="22"/>
      <c r="G16" s="24"/>
    </row>
    <row r="17" spans="1:7" ht="20.100000000000001" customHeight="1">
      <c r="A17" s="17" t="s">
        <v>100</v>
      </c>
      <c r="B17" s="19" t="e">
        <f t="shared" ref="B17" ca="1" si="14">Code128(A17)</f>
        <v>#NAME?</v>
      </c>
      <c r="C17" s="14" t="e">
        <f t="shared" ref="C17" ca="1" si="15">B17</f>
        <v>#NAME?</v>
      </c>
      <c r="D17" s="21"/>
      <c r="E17" s="21" t="s">
        <v>101</v>
      </c>
      <c r="F17" s="22">
        <v>44158</v>
      </c>
      <c r="G17" s="23"/>
    </row>
    <row r="18" spans="1:7" ht="9.9499999999999993" customHeight="1">
      <c r="A18" s="18"/>
      <c r="B18" s="20"/>
      <c r="C18" s="15" t="str">
        <f t="shared" ref="C18" si="16">A17</f>
        <v>OP-10R-PWM-07</v>
      </c>
      <c r="D18" s="21"/>
      <c r="E18" s="21"/>
      <c r="F18" s="22"/>
      <c r="G18" s="24"/>
    </row>
    <row r="19" spans="1:7" ht="20.100000000000001" customHeight="1">
      <c r="A19" s="17" t="s">
        <v>102</v>
      </c>
      <c r="B19" s="19" t="e">
        <f t="shared" ref="B19" ca="1" si="17">Code128(A19)</f>
        <v>#NAME?</v>
      </c>
      <c r="C19" s="14" t="e">
        <f t="shared" ref="C19" ca="1" si="18">B19</f>
        <v>#NAME?</v>
      </c>
      <c r="D19" s="21"/>
      <c r="E19" s="21" t="s">
        <v>101</v>
      </c>
      <c r="F19" s="22">
        <v>44158</v>
      </c>
      <c r="G19" s="23"/>
    </row>
    <row r="20" spans="1:7" ht="9.9499999999999993" customHeight="1">
      <c r="A20" s="18"/>
      <c r="B20" s="20"/>
      <c r="C20" s="15" t="str">
        <f t="shared" ref="C20" si="19">A19</f>
        <v>OP-10R-PWM-08</v>
      </c>
      <c r="D20" s="21"/>
      <c r="E20" s="21"/>
      <c r="F20" s="22"/>
      <c r="G20" s="24"/>
    </row>
    <row r="21" spans="1:7" ht="20.100000000000001" customHeight="1">
      <c r="A21" s="17" t="s">
        <v>103</v>
      </c>
      <c r="B21" s="19" t="e">
        <f t="shared" ref="B21" ca="1" si="20">Code128(A21)</f>
        <v>#NAME?</v>
      </c>
      <c r="C21" s="14" t="e">
        <f t="shared" ref="C21" ca="1" si="21">B21</f>
        <v>#NAME?</v>
      </c>
      <c r="D21" s="21"/>
      <c r="E21" s="21" t="s">
        <v>101</v>
      </c>
      <c r="F21" s="22">
        <v>44158</v>
      </c>
      <c r="G21" s="23"/>
    </row>
    <row r="22" spans="1:7" ht="9.9499999999999993" customHeight="1">
      <c r="A22" s="18"/>
      <c r="B22" s="20"/>
      <c r="C22" s="15" t="str">
        <f t="shared" ref="C22" si="22">A21</f>
        <v>OP-10R-PWM-09</v>
      </c>
      <c r="D22" s="21"/>
      <c r="E22" s="21"/>
      <c r="F22" s="22"/>
      <c r="G22" s="24"/>
    </row>
    <row r="23" spans="1:7" ht="20.100000000000001" customHeight="1">
      <c r="A23" s="17" t="s">
        <v>104</v>
      </c>
      <c r="B23" s="19" t="e">
        <f t="shared" ref="B23" ca="1" si="23">Code128(A23)</f>
        <v>#NAME?</v>
      </c>
      <c r="C23" s="14" t="e">
        <f t="shared" ref="C23" ca="1" si="24">B23</f>
        <v>#NAME?</v>
      </c>
      <c r="D23" s="21"/>
      <c r="E23" s="21" t="s">
        <v>101</v>
      </c>
      <c r="F23" s="22">
        <v>44158</v>
      </c>
      <c r="G23" s="23"/>
    </row>
    <row r="24" spans="1:7" ht="9.9499999999999993" customHeight="1">
      <c r="A24" s="18"/>
      <c r="B24" s="20"/>
      <c r="C24" s="15" t="str">
        <f t="shared" ref="C24" si="25">A23</f>
        <v>OP-10R-PWM-10</v>
      </c>
      <c r="D24" s="21"/>
      <c r="E24" s="21"/>
      <c r="F24" s="22"/>
      <c r="G24" s="24"/>
    </row>
    <row r="25" spans="1:7" ht="20.100000000000001" customHeight="1">
      <c r="A25" s="17" t="s">
        <v>105</v>
      </c>
      <c r="B25" s="19" t="e">
        <f t="shared" ref="B25" ca="1" si="26">Code128(A25)</f>
        <v>#NAME?</v>
      </c>
      <c r="C25" s="14" t="e">
        <f t="shared" ref="C25" ca="1" si="27">B25</f>
        <v>#NAME?</v>
      </c>
      <c r="D25" s="21"/>
      <c r="E25" s="21" t="s">
        <v>101</v>
      </c>
      <c r="F25" s="22">
        <v>44158</v>
      </c>
      <c r="G25" s="23"/>
    </row>
    <row r="26" spans="1:7" ht="9.9499999999999993" customHeight="1">
      <c r="A26" s="18"/>
      <c r="B26" s="20"/>
      <c r="C26" s="15" t="str">
        <f t="shared" ref="C26" si="28">A25</f>
        <v>OP-10R-PWM-11</v>
      </c>
      <c r="D26" s="21"/>
      <c r="E26" s="21"/>
      <c r="F26" s="22"/>
      <c r="G26" s="24"/>
    </row>
    <row r="27" spans="1:7" ht="20.100000000000001" customHeight="1">
      <c r="A27" s="17" t="s">
        <v>106</v>
      </c>
      <c r="B27" s="19" t="e">
        <f t="shared" ref="B27" ca="1" si="29">Code128(A27)</f>
        <v>#NAME?</v>
      </c>
      <c r="C27" s="14" t="e">
        <f t="shared" ref="C27" ca="1" si="30">B27</f>
        <v>#NAME?</v>
      </c>
      <c r="D27" s="21"/>
      <c r="E27" s="21" t="s">
        <v>101</v>
      </c>
      <c r="F27" s="22">
        <v>44158</v>
      </c>
      <c r="G27" s="23"/>
    </row>
    <row r="28" spans="1:7" ht="9.9499999999999993" customHeight="1">
      <c r="A28" s="18"/>
      <c r="B28" s="20"/>
      <c r="C28" s="15" t="str">
        <f t="shared" ref="C28" si="31">A27</f>
        <v>OP-10R-PWM-12</v>
      </c>
      <c r="D28" s="21"/>
      <c r="E28" s="21"/>
      <c r="F28" s="22"/>
      <c r="G28" s="24"/>
    </row>
    <row r="29" spans="1:7" ht="20.100000000000001" customHeight="1">
      <c r="A29" s="17" t="s">
        <v>107</v>
      </c>
      <c r="B29" s="19" t="e">
        <f t="shared" ref="B29" ca="1" si="32">Code128(A29)</f>
        <v>#NAME?</v>
      </c>
      <c r="C29" s="14" t="e">
        <f t="shared" ref="C29" ca="1" si="33">B29</f>
        <v>#NAME?</v>
      </c>
      <c r="D29" s="21"/>
      <c r="E29" s="21" t="s">
        <v>101</v>
      </c>
      <c r="F29" s="22">
        <v>44158</v>
      </c>
      <c r="G29" s="23"/>
    </row>
    <row r="30" spans="1:7" ht="9.9499999999999993" customHeight="1">
      <c r="A30" s="18"/>
      <c r="B30" s="20"/>
      <c r="C30" s="15" t="str">
        <f t="shared" ref="C30" si="34">A29</f>
        <v>OP-10R-PWM-13</v>
      </c>
      <c r="D30" s="21"/>
      <c r="E30" s="21"/>
      <c r="F30" s="22"/>
      <c r="G30" s="24"/>
    </row>
    <row r="31" spans="1:7" ht="20.100000000000001" customHeight="1">
      <c r="A31" s="17" t="s">
        <v>108</v>
      </c>
      <c r="B31" s="19" t="e">
        <f t="shared" ref="B31" ca="1" si="35">Code128(A31)</f>
        <v>#NAME?</v>
      </c>
      <c r="C31" s="14" t="e">
        <f t="shared" ref="C31" ca="1" si="36">B31</f>
        <v>#NAME?</v>
      </c>
      <c r="D31" s="21"/>
      <c r="E31" s="21" t="s">
        <v>101</v>
      </c>
      <c r="F31" s="22">
        <v>44158</v>
      </c>
      <c r="G31" s="23"/>
    </row>
    <row r="32" spans="1:7" ht="9.9499999999999993" customHeight="1">
      <c r="A32" s="18"/>
      <c r="B32" s="20"/>
      <c r="C32" s="15" t="str">
        <f t="shared" ref="C32" si="37">A31</f>
        <v>OP-10R-PWM-14</v>
      </c>
      <c r="D32" s="21"/>
      <c r="E32" s="21"/>
      <c r="F32" s="22"/>
      <c r="G32" s="24"/>
    </row>
    <row r="33" spans="1:7" ht="20.100000000000001" customHeight="1">
      <c r="A33" s="17" t="s">
        <v>109</v>
      </c>
      <c r="B33" s="19" t="e">
        <f t="shared" ref="B33" ca="1" si="38">Code128(A33)</f>
        <v>#NAME?</v>
      </c>
      <c r="C33" s="14" t="e">
        <f t="shared" ref="C33" ca="1" si="39">B33</f>
        <v>#NAME?</v>
      </c>
      <c r="D33" s="21"/>
      <c r="E33" s="21" t="s">
        <v>101</v>
      </c>
      <c r="F33" s="22">
        <v>44158</v>
      </c>
      <c r="G33" s="23"/>
    </row>
    <row r="34" spans="1:7" ht="9.9499999999999993" customHeight="1">
      <c r="A34" s="18"/>
      <c r="B34" s="20"/>
      <c r="C34" s="15" t="str">
        <f t="shared" ref="C34" si="40">A33</f>
        <v>OP-10R-PWM-15</v>
      </c>
      <c r="D34" s="21"/>
      <c r="E34" s="21"/>
      <c r="F34" s="22"/>
      <c r="G34" s="24"/>
    </row>
    <row r="35" spans="1:7" ht="20.100000000000001" customHeight="1">
      <c r="A35" s="17" t="s">
        <v>110</v>
      </c>
      <c r="B35" s="19" t="e">
        <f t="shared" ref="B35" ca="1" si="41">Code128(A35)</f>
        <v>#NAME?</v>
      </c>
      <c r="C35" s="14" t="e">
        <f t="shared" ref="C35" ca="1" si="42">B35</f>
        <v>#NAME?</v>
      </c>
      <c r="D35" s="21"/>
      <c r="E35" s="21" t="s">
        <v>101</v>
      </c>
      <c r="F35" s="22">
        <v>44158</v>
      </c>
      <c r="G35" s="23"/>
    </row>
    <row r="36" spans="1:7" ht="9.9499999999999993" customHeight="1">
      <c r="A36" s="18"/>
      <c r="B36" s="20"/>
      <c r="C36" s="15" t="str">
        <f t="shared" ref="C36" si="43">A35</f>
        <v>OP-10R-PWM-16</v>
      </c>
      <c r="D36" s="21"/>
      <c r="E36" s="21"/>
      <c r="F36" s="22"/>
      <c r="G36" s="24"/>
    </row>
    <row r="37" spans="1:7" ht="20.100000000000001" customHeight="1">
      <c r="A37" s="17" t="s">
        <v>111</v>
      </c>
      <c r="B37" s="19" t="e">
        <f t="shared" ref="B37" ca="1" si="44">Code128(A37)</f>
        <v>#NAME?</v>
      </c>
      <c r="C37" s="14" t="e">
        <f t="shared" ref="C37" ca="1" si="45">B37</f>
        <v>#NAME?</v>
      </c>
      <c r="D37" s="21"/>
      <c r="E37" s="21" t="s">
        <v>101</v>
      </c>
      <c r="F37" s="22">
        <v>44158</v>
      </c>
      <c r="G37" s="23"/>
    </row>
    <row r="38" spans="1:7" ht="9.9499999999999993" customHeight="1">
      <c r="A38" s="18"/>
      <c r="B38" s="20"/>
      <c r="C38" s="15" t="str">
        <f t="shared" ref="C38" si="46">A37</f>
        <v>OP-10R-PWM-17</v>
      </c>
      <c r="D38" s="21"/>
      <c r="E38" s="21"/>
      <c r="F38" s="22"/>
      <c r="G38" s="24"/>
    </row>
    <row r="39" spans="1:7" ht="20.100000000000001" customHeight="1">
      <c r="A39" s="17" t="s">
        <v>112</v>
      </c>
      <c r="B39" s="19" t="e">
        <f t="shared" ref="B39" ca="1" si="47">Code128(A39)</f>
        <v>#NAME?</v>
      </c>
      <c r="C39" s="14" t="e">
        <f t="shared" ref="C39" ca="1" si="48">B39</f>
        <v>#NAME?</v>
      </c>
      <c r="D39" s="21"/>
      <c r="E39" s="21" t="s">
        <v>101</v>
      </c>
      <c r="F39" s="22">
        <v>44158</v>
      </c>
      <c r="G39" s="23"/>
    </row>
    <row r="40" spans="1:7" ht="9.9499999999999993" customHeight="1">
      <c r="A40" s="18"/>
      <c r="B40" s="20"/>
      <c r="C40" s="15" t="str">
        <f t="shared" ref="C40" si="49">A39</f>
        <v>OP-10R-PWM-18</v>
      </c>
      <c r="D40" s="21"/>
      <c r="E40" s="21"/>
      <c r="F40" s="22"/>
      <c r="G40" s="24"/>
    </row>
    <row r="41" spans="1:7" ht="20.100000000000001" customHeight="1">
      <c r="A41" s="17" t="s">
        <v>113</v>
      </c>
      <c r="B41" s="19" t="e">
        <f t="shared" ref="B41" ca="1" si="50">Code128(A41)</f>
        <v>#NAME?</v>
      </c>
      <c r="C41" s="14" t="e">
        <f t="shared" ref="C41" ca="1" si="51">B41</f>
        <v>#NAME?</v>
      </c>
      <c r="D41" s="21"/>
      <c r="E41" s="21" t="s">
        <v>101</v>
      </c>
      <c r="F41" s="22">
        <v>44158</v>
      </c>
      <c r="G41" s="23"/>
    </row>
    <row r="42" spans="1:7" ht="9.9499999999999993" customHeight="1">
      <c r="A42" s="18"/>
      <c r="B42" s="20"/>
      <c r="C42" s="15" t="str">
        <f t="shared" ref="C42" si="52">A41</f>
        <v>OP-10R-PWM-19</v>
      </c>
      <c r="D42" s="21"/>
      <c r="E42" s="21"/>
      <c r="F42" s="22"/>
      <c r="G42" s="24"/>
    </row>
    <row r="43" spans="1:7" ht="20.100000000000001" customHeight="1">
      <c r="A43" s="17" t="s">
        <v>114</v>
      </c>
      <c r="B43" s="19" t="e">
        <f t="shared" ref="B43" ca="1" si="53">Code128(A43)</f>
        <v>#NAME?</v>
      </c>
      <c r="C43" s="14" t="e">
        <f t="shared" ref="C43" ca="1" si="54">B43</f>
        <v>#NAME?</v>
      </c>
      <c r="D43" s="21"/>
      <c r="E43" s="21" t="s">
        <v>101</v>
      </c>
      <c r="F43" s="22">
        <v>44158</v>
      </c>
      <c r="G43" s="23"/>
    </row>
    <row r="44" spans="1:7" ht="9.9499999999999993" customHeight="1">
      <c r="A44" s="18"/>
      <c r="B44" s="20"/>
      <c r="C44" s="15" t="str">
        <f t="shared" ref="C44" si="55">A43</f>
        <v>OP-10R-PWM-20</v>
      </c>
      <c r="D44" s="21"/>
      <c r="E44" s="21"/>
      <c r="F44" s="22"/>
      <c r="G44" s="24"/>
    </row>
    <row r="45" spans="1:7" ht="20.100000000000001" customHeight="1">
      <c r="A45" s="17" t="s">
        <v>115</v>
      </c>
      <c r="B45" s="19" t="e">
        <f t="shared" ref="B45" ca="1" si="56">Code128(A45)</f>
        <v>#NAME?</v>
      </c>
      <c r="C45" s="14" t="e">
        <f t="shared" ref="C45" ca="1" si="57">B45</f>
        <v>#NAME?</v>
      </c>
      <c r="D45" s="21"/>
      <c r="E45" s="21" t="s">
        <v>116</v>
      </c>
      <c r="F45" s="22">
        <v>44158</v>
      </c>
      <c r="G45" s="23"/>
    </row>
    <row r="46" spans="1:7" ht="9.9499999999999993" customHeight="1">
      <c r="A46" s="18"/>
      <c r="B46" s="20"/>
      <c r="C46" s="15" t="str">
        <f t="shared" ref="C46" si="58">A45</f>
        <v>OP-10R-PWM-21</v>
      </c>
      <c r="D46" s="21"/>
      <c r="E46" s="21"/>
      <c r="F46" s="22"/>
      <c r="G46" s="24"/>
    </row>
    <row r="47" spans="1:7" ht="20.100000000000001" customHeight="1">
      <c r="A47" s="17" t="s">
        <v>117</v>
      </c>
      <c r="B47" s="19" t="e">
        <f t="shared" ref="B47" ca="1" si="59">Code128(A47)</f>
        <v>#NAME?</v>
      </c>
      <c r="C47" s="14" t="e">
        <f t="shared" ref="C47" ca="1" si="60">B47</f>
        <v>#NAME?</v>
      </c>
      <c r="D47" s="21"/>
      <c r="E47" s="21" t="s">
        <v>116</v>
      </c>
      <c r="F47" s="22">
        <v>44158</v>
      </c>
      <c r="G47" s="23"/>
    </row>
    <row r="48" spans="1:7" ht="9.9499999999999993" customHeight="1">
      <c r="A48" s="18"/>
      <c r="B48" s="20"/>
      <c r="C48" s="15" t="str">
        <f t="shared" ref="C48" si="61">A47</f>
        <v>OP-10R-PWM-22</v>
      </c>
      <c r="D48" s="21"/>
      <c r="E48" s="21"/>
      <c r="F48" s="22"/>
      <c r="G48" s="24"/>
    </row>
    <row r="49" spans="1:7" ht="20.100000000000001" customHeight="1">
      <c r="A49" s="17" t="s">
        <v>118</v>
      </c>
      <c r="B49" s="19" t="e">
        <f t="shared" ref="B49" ca="1" si="62">Code128(A49)</f>
        <v>#NAME?</v>
      </c>
      <c r="C49" s="14" t="e">
        <f t="shared" ref="C49" ca="1" si="63">B49</f>
        <v>#NAME?</v>
      </c>
      <c r="D49" s="21"/>
      <c r="E49" s="21" t="s">
        <v>116</v>
      </c>
      <c r="F49" s="22">
        <v>44158</v>
      </c>
      <c r="G49" s="23"/>
    </row>
    <row r="50" spans="1:7" ht="9.9499999999999993" customHeight="1">
      <c r="A50" s="18"/>
      <c r="B50" s="20"/>
      <c r="C50" s="15" t="str">
        <f t="shared" ref="C50" si="64">A49</f>
        <v>OP-10R-PWM-23</v>
      </c>
      <c r="D50" s="21"/>
      <c r="E50" s="21"/>
      <c r="F50" s="22"/>
      <c r="G50" s="24"/>
    </row>
    <row r="51" spans="1:7" ht="20.100000000000001" customHeight="1">
      <c r="A51" s="17" t="s">
        <v>119</v>
      </c>
      <c r="B51" s="19" t="e">
        <f t="shared" ref="B51" ca="1" si="65">Code128(A51)</f>
        <v>#NAME?</v>
      </c>
      <c r="C51" s="14" t="e">
        <f t="shared" ref="C51" ca="1" si="66">B51</f>
        <v>#NAME?</v>
      </c>
      <c r="D51" s="21"/>
      <c r="E51" s="21" t="s">
        <v>116</v>
      </c>
      <c r="F51" s="22">
        <v>44160</v>
      </c>
      <c r="G51" s="23"/>
    </row>
    <row r="52" spans="1:7" ht="9.9499999999999993" customHeight="1">
      <c r="A52" s="18"/>
      <c r="B52" s="20"/>
      <c r="C52" s="15" t="str">
        <f t="shared" ref="C52" si="67">A51</f>
        <v>OP-10R-PWM-24</v>
      </c>
      <c r="D52" s="21"/>
      <c r="E52" s="21"/>
      <c r="F52" s="22"/>
      <c r="G52" s="24"/>
    </row>
    <row r="53" spans="1:7" ht="20.100000000000001" customHeight="1">
      <c r="A53" s="17" t="s">
        <v>120</v>
      </c>
      <c r="B53" s="19" t="e">
        <f t="shared" ref="B53" ca="1" si="68">Code128(A53)</f>
        <v>#NAME?</v>
      </c>
      <c r="C53" s="14" t="e">
        <f t="shared" ref="C53" ca="1" si="69">B53</f>
        <v>#NAME?</v>
      </c>
      <c r="D53" s="21"/>
      <c r="E53" s="21" t="s">
        <v>116</v>
      </c>
      <c r="F53" s="22">
        <v>44160</v>
      </c>
      <c r="G53" s="23"/>
    </row>
    <row r="54" spans="1:7" ht="9.9499999999999993" customHeight="1">
      <c r="A54" s="18"/>
      <c r="B54" s="20"/>
      <c r="C54" s="15" t="str">
        <f t="shared" ref="C54" si="70">A53</f>
        <v>OP-10R-PWM-25</v>
      </c>
      <c r="D54" s="21"/>
      <c r="E54" s="21"/>
      <c r="F54" s="22"/>
      <c r="G54" s="24"/>
    </row>
    <row r="55" spans="1:7" ht="20.100000000000001" customHeight="1">
      <c r="A55" s="17" t="s">
        <v>121</v>
      </c>
      <c r="B55" s="19" t="e">
        <f t="shared" ref="B55" ca="1" si="71">Code128(A55)</f>
        <v>#NAME?</v>
      </c>
      <c r="C55" s="14" t="e">
        <f t="shared" ref="C55" ca="1" si="72">B55</f>
        <v>#NAME?</v>
      </c>
      <c r="D55" s="21"/>
      <c r="E55" s="21" t="s">
        <v>116</v>
      </c>
      <c r="F55" s="22">
        <v>44160</v>
      </c>
      <c r="G55" s="23"/>
    </row>
    <row r="56" spans="1:7" ht="9.9499999999999993" customHeight="1">
      <c r="A56" s="18"/>
      <c r="B56" s="20"/>
      <c r="C56" s="15" t="str">
        <f t="shared" ref="C56" si="73">A55</f>
        <v>OP-10R-PWM-26</v>
      </c>
      <c r="D56" s="21"/>
      <c r="E56" s="21"/>
      <c r="F56" s="22"/>
      <c r="G56" s="24"/>
    </row>
    <row r="57" spans="1:7" ht="20.100000000000001" customHeight="1">
      <c r="A57" s="17" t="s">
        <v>122</v>
      </c>
      <c r="B57" s="19" t="e">
        <f t="shared" ref="B57" ca="1" si="74">Code128(A57)</f>
        <v>#NAME?</v>
      </c>
      <c r="C57" s="14" t="e">
        <f t="shared" ref="C57" ca="1" si="75">B57</f>
        <v>#NAME?</v>
      </c>
      <c r="D57" s="21"/>
      <c r="E57" s="21"/>
      <c r="F57" s="22">
        <v>44160</v>
      </c>
      <c r="G57" s="23"/>
    </row>
    <row r="58" spans="1:7" ht="9.9499999999999993" customHeight="1">
      <c r="A58" s="18"/>
      <c r="B58" s="20"/>
      <c r="C58" s="15" t="str">
        <f t="shared" ref="C58" si="76">A57</f>
        <v>OP-10R-PWM-27</v>
      </c>
      <c r="D58" s="21"/>
      <c r="E58" s="21"/>
      <c r="F58" s="22"/>
      <c r="G58" s="24"/>
    </row>
    <row r="59" spans="1:7" ht="20.100000000000001" customHeight="1">
      <c r="A59" s="17" t="s">
        <v>123</v>
      </c>
      <c r="B59" s="19" t="e">
        <f t="shared" ref="B59" ca="1" si="77">Code128(A59)</f>
        <v>#NAME?</v>
      </c>
      <c r="C59" s="14" t="e">
        <f t="shared" ref="C59" ca="1" si="78">B59</f>
        <v>#NAME?</v>
      </c>
      <c r="D59" s="21"/>
      <c r="E59" s="21"/>
      <c r="F59" s="22">
        <v>44160</v>
      </c>
      <c r="G59" s="23"/>
    </row>
    <row r="60" spans="1:7" ht="9.9499999999999993" customHeight="1">
      <c r="A60" s="18"/>
      <c r="B60" s="20"/>
      <c r="C60" s="15" t="str">
        <f t="shared" ref="C60" si="79">A59</f>
        <v>OP-10R-PWM-28</v>
      </c>
      <c r="D60" s="21"/>
      <c r="E60" s="21"/>
      <c r="F60" s="22"/>
      <c r="G60" s="24"/>
    </row>
    <row r="61" spans="1:7" ht="20.100000000000001" customHeight="1">
      <c r="A61" s="17" t="s">
        <v>124</v>
      </c>
      <c r="B61" s="19" t="e">
        <f t="shared" ref="B61" ca="1" si="80">Code128(A61)</f>
        <v>#NAME?</v>
      </c>
      <c r="C61" s="14" t="e">
        <f t="shared" ref="C61" ca="1" si="81">B61</f>
        <v>#NAME?</v>
      </c>
      <c r="D61" s="21"/>
      <c r="E61" s="21"/>
      <c r="F61" s="22">
        <v>44160</v>
      </c>
      <c r="G61" s="23"/>
    </row>
    <row r="62" spans="1:7" ht="9.9499999999999993" customHeight="1">
      <c r="A62" s="18"/>
      <c r="B62" s="20"/>
      <c r="C62" s="15" t="str">
        <f t="shared" ref="C62" si="82">A61</f>
        <v>OP-10R-PWM-29</v>
      </c>
      <c r="D62" s="21"/>
      <c r="E62" s="21"/>
      <c r="F62" s="22"/>
      <c r="G62" s="24"/>
    </row>
    <row r="63" spans="1:7" ht="20.100000000000001" customHeight="1">
      <c r="A63" s="17" t="s">
        <v>125</v>
      </c>
      <c r="B63" s="19" t="e">
        <f t="shared" ref="B63" ca="1" si="83">Code128(A63)</f>
        <v>#NAME?</v>
      </c>
      <c r="C63" s="14" t="e">
        <f t="shared" ref="C63" ca="1" si="84">B63</f>
        <v>#NAME?</v>
      </c>
      <c r="D63" s="21"/>
      <c r="E63" s="21"/>
      <c r="F63" s="22">
        <v>44160</v>
      </c>
      <c r="G63" s="23"/>
    </row>
    <row r="64" spans="1:7" ht="9.9499999999999993" customHeight="1">
      <c r="A64" s="18"/>
      <c r="B64" s="20"/>
      <c r="C64" s="15" t="str">
        <f t="shared" ref="C64" si="85">A63</f>
        <v>OP-10R-PWM-30</v>
      </c>
      <c r="D64" s="21"/>
      <c r="E64" s="21"/>
      <c r="F64" s="22"/>
      <c r="G64" s="24"/>
    </row>
    <row r="65" spans="1:7" ht="20.100000000000001" customHeight="1">
      <c r="A65" s="17" t="s">
        <v>126</v>
      </c>
      <c r="B65" s="19" t="e">
        <f t="shared" ref="B65" ca="1" si="86">Code128(A65)</f>
        <v>#NAME?</v>
      </c>
      <c r="C65" s="14" t="e">
        <f t="shared" ref="C65" ca="1" si="87">B65</f>
        <v>#NAME?</v>
      </c>
      <c r="D65" s="21"/>
      <c r="E65" s="21"/>
      <c r="F65" s="22">
        <v>44160</v>
      </c>
      <c r="G65" s="23"/>
    </row>
    <row r="66" spans="1:7" ht="9.9499999999999993" customHeight="1">
      <c r="A66" s="18"/>
      <c r="B66" s="20"/>
      <c r="C66" s="15" t="str">
        <f t="shared" ref="C66" si="88">A65</f>
        <v>OP-10R-PWM-31</v>
      </c>
      <c r="D66" s="21"/>
      <c r="E66" s="21"/>
      <c r="F66" s="22"/>
      <c r="G66" s="24"/>
    </row>
    <row r="67" spans="1:7" ht="20.100000000000001" customHeight="1">
      <c r="A67" s="17" t="s">
        <v>127</v>
      </c>
      <c r="B67" s="19" t="e">
        <f t="shared" ref="B67" ca="1" si="89">Code128(A67)</f>
        <v>#NAME?</v>
      </c>
      <c r="C67" s="14" t="e">
        <f t="shared" ref="C67" ca="1" si="90">B67</f>
        <v>#NAME?</v>
      </c>
      <c r="D67" s="21"/>
      <c r="E67" s="21"/>
      <c r="F67" s="22">
        <v>44160</v>
      </c>
      <c r="G67" s="23"/>
    </row>
    <row r="68" spans="1:7" ht="9.9499999999999993" customHeight="1">
      <c r="A68" s="18"/>
      <c r="B68" s="20"/>
      <c r="C68" s="15" t="str">
        <f t="shared" ref="C68" si="91">A67</f>
        <v>OP-10R-PWM-32</v>
      </c>
      <c r="D68" s="21"/>
      <c r="E68" s="21"/>
      <c r="F68" s="22"/>
      <c r="G68" s="24"/>
    </row>
    <row r="69" spans="1:7" ht="20.100000000000001" customHeight="1">
      <c r="A69" s="17" t="s">
        <v>128</v>
      </c>
      <c r="B69" s="19" t="e">
        <f t="shared" ref="B69" ca="1" si="92">Code128(A69)</f>
        <v>#NAME?</v>
      </c>
      <c r="C69" s="14" t="e">
        <f t="shared" ref="C69" ca="1" si="93">B69</f>
        <v>#NAME?</v>
      </c>
      <c r="D69" s="21"/>
      <c r="E69" s="21"/>
      <c r="F69" s="22">
        <v>44160</v>
      </c>
      <c r="G69" s="23"/>
    </row>
    <row r="70" spans="1:7" ht="9.9499999999999993" customHeight="1">
      <c r="A70" s="18"/>
      <c r="B70" s="20"/>
      <c r="C70" s="15" t="str">
        <f t="shared" ref="C70" si="94">A69</f>
        <v>OP-10R-PWM-33</v>
      </c>
      <c r="D70" s="21"/>
      <c r="E70" s="21"/>
      <c r="F70" s="22"/>
      <c r="G70" s="24"/>
    </row>
    <row r="71" spans="1:7" ht="20.100000000000001" customHeight="1">
      <c r="A71" s="17" t="s">
        <v>129</v>
      </c>
      <c r="B71" s="19" t="e">
        <f t="shared" ref="B71" ca="1" si="95">Code128(A71)</f>
        <v>#NAME?</v>
      </c>
      <c r="C71" s="14" t="e">
        <f t="shared" ref="C71" ca="1" si="96">B71</f>
        <v>#NAME?</v>
      </c>
      <c r="D71" s="21"/>
      <c r="E71" s="21"/>
      <c r="F71" s="22">
        <v>44160</v>
      </c>
      <c r="G71" s="23"/>
    </row>
    <row r="72" spans="1:7" ht="9.9499999999999993" customHeight="1">
      <c r="A72" s="18"/>
      <c r="B72" s="20"/>
      <c r="C72" s="15" t="str">
        <f t="shared" ref="C72" si="97">A71</f>
        <v>OP-10R-PWM-34</v>
      </c>
      <c r="D72" s="21"/>
      <c r="E72" s="21"/>
      <c r="F72" s="22"/>
      <c r="G72" s="24"/>
    </row>
    <row r="73" spans="1:7" ht="20.100000000000001" customHeight="1">
      <c r="A73" s="17" t="s">
        <v>130</v>
      </c>
      <c r="B73" s="19" t="e">
        <f t="shared" ref="B73" ca="1" si="98">Code128(A73)</f>
        <v>#NAME?</v>
      </c>
      <c r="C73" s="14" t="e">
        <f t="shared" ref="C73" ca="1" si="99">B73</f>
        <v>#NAME?</v>
      </c>
      <c r="D73" s="21"/>
      <c r="E73" s="21"/>
      <c r="F73" s="22">
        <v>44160</v>
      </c>
      <c r="G73" s="23"/>
    </row>
    <row r="74" spans="1:7" ht="9.9499999999999993" customHeight="1">
      <c r="A74" s="18"/>
      <c r="B74" s="20"/>
      <c r="C74" s="15" t="str">
        <f t="shared" ref="C74" si="100">A73</f>
        <v>OP-10R-PWM-35</v>
      </c>
      <c r="D74" s="21"/>
      <c r="E74" s="21"/>
      <c r="F74" s="22"/>
      <c r="G74" s="24"/>
    </row>
    <row r="75" spans="1:7" ht="20.100000000000001" customHeight="1">
      <c r="A75" s="17" t="s">
        <v>131</v>
      </c>
      <c r="B75" s="19" t="e">
        <f t="shared" ref="B75" ca="1" si="101">Code128(A75)</f>
        <v>#NAME?</v>
      </c>
      <c r="C75" s="14" t="e">
        <f t="shared" ref="C75" ca="1" si="102">B75</f>
        <v>#NAME?</v>
      </c>
      <c r="D75" s="21"/>
      <c r="E75" s="21"/>
      <c r="F75" s="22">
        <v>44160</v>
      </c>
      <c r="G75" s="23"/>
    </row>
    <row r="76" spans="1:7" ht="9.9499999999999993" customHeight="1">
      <c r="A76" s="18"/>
      <c r="B76" s="20"/>
      <c r="C76" s="15" t="str">
        <f t="shared" ref="C76" si="103">A75</f>
        <v>OP-10R-PWM-36</v>
      </c>
      <c r="D76" s="21"/>
      <c r="E76" s="21"/>
      <c r="F76" s="22"/>
      <c r="G76" s="24"/>
    </row>
    <row r="77" spans="1:7" ht="20.100000000000001" customHeight="1">
      <c r="A77" s="17" t="s">
        <v>132</v>
      </c>
      <c r="B77" s="19" t="e">
        <f t="shared" ref="B77" ca="1" si="104">Code128(A77)</f>
        <v>#NAME?</v>
      </c>
      <c r="C77" s="14" t="e">
        <f t="shared" ref="C77" ca="1" si="105">B77</f>
        <v>#NAME?</v>
      </c>
      <c r="D77" s="21"/>
      <c r="E77" s="21"/>
      <c r="F77" s="22">
        <v>44160</v>
      </c>
      <c r="G77" s="23"/>
    </row>
    <row r="78" spans="1:7" ht="9.9499999999999993" customHeight="1">
      <c r="A78" s="18"/>
      <c r="B78" s="20"/>
      <c r="C78" s="15" t="str">
        <f t="shared" ref="C78" si="106">A77</f>
        <v>OP-10R-PWM-37</v>
      </c>
      <c r="D78" s="21"/>
      <c r="E78" s="21"/>
      <c r="F78" s="22"/>
      <c r="G78" s="24"/>
    </row>
    <row r="79" spans="1:7" ht="20.100000000000001" customHeight="1">
      <c r="A79" s="17" t="s">
        <v>133</v>
      </c>
      <c r="B79" s="19" t="e">
        <f t="shared" ref="B79" ca="1" si="107">Code128(A79)</f>
        <v>#NAME?</v>
      </c>
      <c r="C79" s="14" t="e">
        <f t="shared" ref="C79" ca="1" si="108">B79</f>
        <v>#NAME?</v>
      </c>
      <c r="D79" s="21"/>
      <c r="E79" s="21"/>
      <c r="F79" s="22">
        <v>44160</v>
      </c>
      <c r="G79" s="23"/>
    </row>
    <row r="80" spans="1:7" ht="9.9499999999999993" customHeight="1">
      <c r="A80" s="18"/>
      <c r="B80" s="20"/>
      <c r="C80" s="15" t="str">
        <f t="shared" ref="C80" si="109">A79</f>
        <v>OP-10R-PWM-38</v>
      </c>
      <c r="D80" s="21"/>
      <c r="E80" s="21"/>
      <c r="F80" s="22"/>
      <c r="G80" s="24"/>
    </row>
    <row r="81" spans="1:7" ht="20.100000000000001" customHeight="1">
      <c r="A81" s="17" t="s">
        <v>134</v>
      </c>
      <c r="B81" s="19" t="e">
        <f t="shared" ref="B81" ca="1" si="110">Code128(A81)</f>
        <v>#NAME?</v>
      </c>
      <c r="C81" s="14" t="e">
        <f t="shared" ref="C81" ca="1" si="111">B81</f>
        <v>#NAME?</v>
      </c>
      <c r="D81" s="21"/>
      <c r="E81" s="21"/>
      <c r="F81" s="22">
        <v>44160</v>
      </c>
      <c r="G81" s="23"/>
    </row>
    <row r="82" spans="1:7" ht="9.9499999999999993" customHeight="1">
      <c r="A82" s="18"/>
      <c r="B82" s="20"/>
      <c r="C82" s="15" t="str">
        <f t="shared" ref="C82" si="112">A81</f>
        <v>OP-10R-PWM-39</v>
      </c>
      <c r="D82" s="21"/>
      <c r="E82" s="21"/>
      <c r="F82" s="22"/>
      <c r="G82" s="24"/>
    </row>
    <row r="83" spans="1:7" ht="20.100000000000001" customHeight="1">
      <c r="A83" s="17" t="s">
        <v>135</v>
      </c>
      <c r="B83" s="19" t="e">
        <f t="shared" ref="B83" ca="1" si="113">Code128(A83)</f>
        <v>#NAME?</v>
      </c>
      <c r="C83" s="14" t="e">
        <f t="shared" ref="C83" ca="1" si="114">B83</f>
        <v>#NAME?</v>
      </c>
      <c r="D83" s="21"/>
      <c r="E83" s="21"/>
      <c r="F83" s="22">
        <v>44160</v>
      </c>
      <c r="G83" s="23"/>
    </row>
    <row r="84" spans="1:7" ht="9.9499999999999993" customHeight="1">
      <c r="A84" s="18"/>
      <c r="B84" s="20"/>
      <c r="C84" s="15" t="str">
        <f t="shared" ref="C84" si="115">A83</f>
        <v>OP-10R-PWM-40</v>
      </c>
      <c r="D84" s="21"/>
      <c r="E84" s="21"/>
      <c r="F84" s="22"/>
      <c r="G84" s="24"/>
    </row>
    <row r="85" spans="1:7" ht="20.100000000000001" customHeight="1">
      <c r="A85" s="17" t="s">
        <v>136</v>
      </c>
      <c r="B85" s="19" t="e">
        <f t="shared" ref="B85" ca="1" si="116">Code128(A85)</f>
        <v>#NAME?</v>
      </c>
      <c r="C85" s="14" t="e">
        <f t="shared" ref="C85" ca="1" si="117">B85</f>
        <v>#NAME?</v>
      </c>
      <c r="D85" s="21"/>
      <c r="E85" s="21"/>
      <c r="F85" s="22">
        <v>44160</v>
      </c>
      <c r="G85" s="23"/>
    </row>
    <row r="86" spans="1:7" ht="9.9499999999999993" customHeight="1">
      <c r="A86" s="18"/>
      <c r="B86" s="20"/>
      <c r="C86" s="15" t="str">
        <f t="shared" ref="C86" si="118">A85</f>
        <v>OP-10R-PWM-41</v>
      </c>
      <c r="D86" s="21"/>
      <c r="E86" s="21"/>
      <c r="F86" s="22"/>
      <c r="G86" s="24"/>
    </row>
    <row r="87" spans="1:7" ht="20.100000000000001" customHeight="1">
      <c r="A87" s="17" t="s">
        <v>137</v>
      </c>
      <c r="B87" s="19" t="e">
        <f t="shared" ref="B87" ca="1" si="119">Code128(A87)</f>
        <v>#NAME?</v>
      </c>
      <c r="C87" s="14" t="e">
        <f t="shared" ref="C87" ca="1" si="120">B87</f>
        <v>#NAME?</v>
      </c>
      <c r="D87" s="21"/>
      <c r="E87" s="21" t="s">
        <v>138</v>
      </c>
      <c r="F87" s="22">
        <v>44161</v>
      </c>
      <c r="G87" s="23"/>
    </row>
    <row r="88" spans="1:7" ht="9.9499999999999993" customHeight="1">
      <c r="A88" s="18"/>
      <c r="B88" s="20"/>
      <c r="C88" s="15" t="str">
        <f t="shared" ref="C88" si="121">A87</f>
        <v>OP-10R-PWM-42</v>
      </c>
      <c r="D88" s="21"/>
      <c r="E88" s="21"/>
      <c r="F88" s="22"/>
      <c r="G88" s="24"/>
    </row>
    <row r="89" spans="1:7" ht="20.100000000000001" customHeight="1">
      <c r="A89" s="17" t="s">
        <v>139</v>
      </c>
      <c r="B89" s="19" t="e">
        <f t="shared" ref="B89" ca="1" si="122">Code128(A89)</f>
        <v>#NAME?</v>
      </c>
      <c r="C89" s="14" t="e">
        <f t="shared" ref="C89" ca="1" si="123">B89</f>
        <v>#NAME?</v>
      </c>
      <c r="D89" s="21"/>
      <c r="E89" s="21" t="s">
        <v>138</v>
      </c>
      <c r="F89" s="22">
        <v>44161</v>
      </c>
      <c r="G89" s="23"/>
    </row>
    <row r="90" spans="1:7" ht="9.9499999999999993" customHeight="1">
      <c r="A90" s="18"/>
      <c r="B90" s="20"/>
      <c r="C90" s="15" t="str">
        <f t="shared" ref="C90" si="124">A89</f>
        <v>OP-10R-PWM-43</v>
      </c>
      <c r="D90" s="21"/>
      <c r="E90" s="21"/>
      <c r="F90" s="22"/>
      <c r="G90" s="24"/>
    </row>
    <row r="91" spans="1:7" ht="20.100000000000001" customHeight="1">
      <c r="A91" s="17" t="s">
        <v>140</v>
      </c>
      <c r="B91" s="19" t="e">
        <f t="shared" ref="B91" ca="1" si="125">Code128(A91)</f>
        <v>#NAME?</v>
      </c>
      <c r="C91" s="14" t="e">
        <f t="shared" ref="C91" ca="1" si="126">B91</f>
        <v>#NAME?</v>
      </c>
      <c r="D91" s="21"/>
      <c r="E91" s="21" t="s">
        <v>138</v>
      </c>
      <c r="F91" s="22">
        <v>44161</v>
      </c>
      <c r="G91" s="23"/>
    </row>
    <row r="92" spans="1:7" ht="9.9499999999999993" customHeight="1">
      <c r="A92" s="18"/>
      <c r="B92" s="20"/>
      <c r="C92" s="15" t="str">
        <f t="shared" ref="C92" si="127">A91</f>
        <v>OP-10R-PWM-44</v>
      </c>
      <c r="D92" s="21"/>
      <c r="E92" s="21"/>
      <c r="F92" s="22"/>
      <c r="G92" s="24"/>
    </row>
    <row r="93" spans="1:7" ht="20.100000000000001" customHeight="1">
      <c r="A93" s="17" t="s">
        <v>141</v>
      </c>
      <c r="B93" s="19" t="e">
        <f t="shared" ref="B93" ca="1" si="128">Code128(A93)</f>
        <v>#NAME?</v>
      </c>
      <c r="C93" s="14" t="e">
        <f t="shared" ref="C93" ca="1" si="129">B93</f>
        <v>#NAME?</v>
      </c>
      <c r="D93" s="21"/>
      <c r="E93" s="21" t="s">
        <v>138</v>
      </c>
      <c r="F93" s="22">
        <v>44161</v>
      </c>
      <c r="G93" s="23"/>
    </row>
    <row r="94" spans="1:7" ht="9.9499999999999993" customHeight="1">
      <c r="A94" s="18"/>
      <c r="B94" s="20"/>
      <c r="C94" s="15" t="str">
        <f t="shared" ref="C94" si="130">A93</f>
        <v>OP-10R-PWM-45</v>
      </c>
      <c r="D94" s="21"/>
      <c r="E94" s="21"/>
      <c r="F94" s="22"/>
      <c r="G94" s="24"/>
    </row>
    <row r="95" spans="1:7" ht="20.100000000000001" customHeight="1">
      <c r="A95" s="17" t="s">
        <v>142</v>
      </c>
      <c r="B95" s="19" t="e">
        <f t="shared" ref="B95" ca="1" si="131">Code128(A95)</f>
        <v>#NAME?</v>
      </c>
      <c r="C95" s="14" t="e">
        <f t="shared" ref="C95" ca="1" si="132">B95</f>
        <v>#NAME?</v>
      </c>
      <c r="D95" s="21"/>
      <c r="E95" s="21" t="s">
        <v>138</v>
      </c>
      <c r="F95" s="22">
        <v>44161</v>
      </c>
      <c r="G95" s="23"/>
    </row>
    <row r="96" spans="1:7" ht="9.9499999999999993" customHeight="1">
      <c r="A96" s="18"/>
      <c r="B96" s="20"/>
      <c r="C96" s="15" t="str">
        <f t="shared" ref="C96" si="133">A95</f>
        <v>OP-10R-PWM-46</v>
      </c>
      <c r="D96" s="21"/>
      <c r="E96" s="21"/>
      <c r="F96" s="22"/>
      <c r="G96" s="24"/>
    </row>
    <row r="97" spans="1:7" ht="20.100000000000001" customHeight="1">
      <c r="A97" s="17" t="s">
        <v>143</v>
      </c>
      <c r="B97" s="19" t="e">
        <f t="shared" ref="B97" ca="1" si="134">Code128(A97)</f>
        <v>#NAME?</v>
      </c>
      <c r="C97" s="14" t="e">
        <f t="shared" ref="C97" ca="1" si="135">B97</f>
        <v>#NAME?</v>
      </c>
      <c r="D97" s="21"/>
      <c r="E97" s="21" t="s">
        <v>138</v>
      </c>
      <c r="F97" s="22">
        <v>44161</v>
      </c>
      <c r="G97" s="23"/>
    </row>
    <row r="98" spans="1:7" ht="9.9499999999999993" customHeight="1">
      <c r="A98" s="18"/>
      <c r="B98" s="20"/>
      <c r="C98" s="15" t="str">
        <f t="shared" ref="C98" si="136">A97</f>
        <v>OP-10R-PWM-47</v>
      </c>
      <c r="D98" s="21"/>
      <c r="E98" s="21"/>
      <c r="F98" s="22"/>
      <c r="G98" s="24"/>
    </row>
    <row r="99" spans="1:7" ht="20.100000000000001" customHeight="1">
      <c r="A99" s="17" t="s">
        <v>144</v>
      </c>
      <c r="B99" s="19" t="e">
        <f t="shared" ref="B99" ca="1" si="137">Code128(A99)</f>
        <v>#NAME?</v>
      </c>
      <c r="C99" s="14" t="e">
        <f t="shared" ref="C99" ca="1" si="138">B99</f>
        <v>#NAME?</v>
      </c>
      <c r="D99" s="21"/>
      <c r="E99" s="21" t="s">
        <v>138</v>
      </c>
      <c r="F99" s="22">
        <v>44161</v>
      </c>
      <c r="G99" s="23"/>
    </row>
    <row r="100" spans="1:7" ht="9.9499999999999993" customHeight="1">
      <c r="A100" s="18"/>
      <c r="B100" s="20"/>
      <c r="C100" s="15" t="str">
        <f t="shared" ref="C100" si="139">A99</f>
        <v>OP-10R-PWM-48</v>
      </c>
      <c r="D100" s="21"/>
      <c r="E100" s="21"/>
      <c r="F100" s="22"/>
      <c r="G100" s="24"/>
    </row>
    <row r="101" spans="1:7" ht="20.100000000000001" customHeight="1">
      <c r="A101" s="17" t="s">
        <v>145</v>
      </c>
      <c r="B101" s="19" t="e">
        <f t="shared" ref="B101" ca="1" si="140">Code128(A101)</f>
        <v>#NAME?</v>
      </c>
      <c r="C101" s="14" t="e">
        <f t="shared" ref="C101" ca="1" si="141">B101</f>
        <v>#NAME?</v>
      </c>
      <c r="D101" s="21"/>
      <c r="E101" s="21" t="s">
        <v>138</v>
      </c>
      <c r="F101" s="22">
        <v>44161</v>
      </c>
      <c r="G101" s="23"/>
    </row>
    <row r="102" spans="1:7" ht="9.9499999999999993" customHeight="1">
      <c r="A102" s="18"/>
      <c r="B102" s="20"/>
      <c r="C102" s="15" t="str">
        <f t="shared" ref="C102" si="142">A101</f>
        <v>OP-10R-PWM-49</v>
      </c>
      <c r="D102" s="21"/>
      <c r="E102" s="21"/>
      <c r="F102" s="22"/>
      <c r="G102" s="24"/>
    </row>
    <row r="103" spans="1:7" ht="20.100000000000001" customHeight="1">
      <c r="A103" s="17" t="s">
        <v>146</v>
      </c>
      <c r="B103" s="19" t="e">
        <f t="shared" ref="B103" ca="1" si="143">Code128(A103)</f>
        <v>#NAME?</v>
      </c>
      <c r="C103" s="14" t="e">
        <f t="shared" ref="C103" ca="1" si="144">B103</f>
        <v>#NAME?</v>
      </c>
      <c r="D103" s="21"/>
      <c r="E103" s="21" t="s">
        <v>138</v>
      </c>
      <c r="F103" s="22">
        <v>44161</v>
      </c>
      <c r="G103" s="23"/>
    </row>
    <row r="104" spans="1:7" ht="9.9499999999999993" customHeight="1">
      <c r="A104" s="18"/>
      <c r="B104" s="20"/>
      <c r="C104" s="15" t="str">
        <f t="shared" ref="C104" si="145">A103</f>
        <v>OP-10R-PWM-50</v>
      </c>
      <c r="D104" s="21"/>
      <c r="E104" s="21"/>
      <c r="F104" s="22"/>
      <c r="G104" s="24"/>
    </row>
    <row r="105" spans="1:7" ht="20.100000000000001" customHeight="1">
      <c r="A105" s="17" t="s">
        <v>147</v>
      </c>
      <c r="B105" s="19" t="e">
        <f t="shared" ref="B105" ca="1" si="146">Code128(A105)</f>
        <v>#NAME?</v>
      </c>
      <c r="C105" s="14" t="e">
        <f t="shared" ref="C105" ca="1" si="147">B105</f>
        <v>#NAME?</v>
      </c>
      <c r="D105" s="21"/>
      <c r="E105" s="21" t="s">
        <v>138</v>
      </c>
      <c r="F105" s="22">
        <v>44161</v>
      </c>
      <c r="G105" s="23"/>
    </row>
    <row r="106" spans="1:7" ht="9.9499999999999993" customHeight="1">
      <c r="A106" s="18"/>
      <c r="B106" s="20"/>
      <c r="C106" s="15" t="str">
        <f t="shared" ref="C106" si="148">A105</f>
        <v>OP-10R-PWM-51</v>
      </c>
      <c r="D106" s="21"/>
      <c r="E106" s="21"/>
      <c r="F106" s="22"/>
      <c r="G106" s="24"/>
    </row>
    <row r="107" spans="1:7" ht="20.100000000000001" customHeight="1">
      <c r="A107" s="17" t="s">
        <v>148</v>
      </c>
      <c r="B107" s="19" t="e">
        <f t="shared" ref="B107" ca="1" si="149">Code128(A107)</f>
        <v>#NAME?</v>
      </c>
      <c r="C107" s="14" t="e">
        <f t="shared" ref="C107" ca="1" si="150">B107</f>
        <v>#NAME?</v>
      </c>
      <c r="D107" s="21"/>
      <c r="E107" s="21" t="s">
        <v>138</v>
      </c>
      <c r="F107" s="22">
        <v>44161</v>
      </c>
      <c r="G107" s="23"/>
    </row>
    <row r="108" spans="1:7" ht="9.9499999999999993" customHeight="1">
      <c r="A108" s="18"/>
      <c r="B108" s="20"/>
      <c r="C108" s="15" t="str">
        <f t="shared" ref="C108" si="151">A107</f>
        <v>OP-10R-PWM-52</v>
      </c>
      <c r="D108" s="21"/>
      <c r="E108" s="21"/>
      <c r="F108" s="22"/>
      <c r="G108" s="24"/>
    </row>
    <row r="109" spans="1:7" ht="20.100000000000001" customHeight="1">
      <c r="A109" s="17" t="s">
        <v>149</v>
      </c>
      <c r="B109" s="19" t="e">
        <f t="shared" ref="B109" ca="1" si="152">Code128(A109)</f>
        <v>#NAME?</v>
      </c>
      <c r="C109" s="14" t="e">
        <f t="shared" ref="C109" ca="1" si="153">B109</f>
        <v>#NAME?</v>
      </c>
      <c r="D109" s="21"/>
      <c r="E109" s="21" t="s">
        <v>138</v>
      </c>
      <c r="F109" s="22">
        <v>44161</v>
      </c>
      <c r="G109" s="23"/>
    </row>
    <row r="110" spans="1:7" ht="9.9499999999999993" customHeight="1">
      <c r="A110" s="18"/>
      <c r="B110" s="20"/>
      <c r="C110" s="15" t="str">
        <f t="shared" ref="C110" si="154">A109</f>
        <v>OP-10R-PWM-53</v>
      </c>
      <c r="D110" s="21"/>
      <c r="E110" s="21"/>
      <c r="F110" s="22"/>
      <c r="G110" s="24"/>
    </row>
    <row r="111" spans="1:7" ht="20.100000000000001" customHeight="1">
      <c r="A111" s="17" t="s">
        <v>150</v>
      </c>
      <c r="B111" s="19" t="e">
        <f t="shared" ref="B111" ca="1" si="155">Code128(A111)</f>
        <v>#NAME?</v>
      </c>
      <c r="C111" s="14" t="e">
        <f t="shared" ref="C111" ca="1" si="156">B111</f>
        <v>#NAME?</v>
      </c>
      <c r="D111" s="21"/>
      <c r="E111" s="21" t="s">
        <v>138</v>
      </c>
      <c r="F111" s="22">
        <v>44161</v>
      </c>
      <c r="G111" s="23"/>
    </row>
    <row r="112" spans="1:7" ht="9.9499999999999993" customHeight="1">
      <c r="A112" s="18"/>
      <c r="B112" s="20"/>
      <c r="C112" s="15" t="str">
        <f t="shared" ref="C112" si="157">A111</f>
        <v>OP-10R-PWM-54</v>
      </c>
      <c r="D112" s="21"/>
      <c r="E112" s="21"/>
      <c r="F112" s="22"/>
      <c r="G112" s="24"/>
    </row>
    <row r="113" spans="1:7" ht="20.100000000000001" customHeight="1">
      <c r="A113" s="17" t="s">
        <v>151</v>
      </c>
      <c r="B113" s="19" t="e">
        <f t="shared" ref="B113" ca="1" si="158">Code128(A113)</f>
        <v>#NAME?</v>
      </c>
      <c r="C113" s="14" t="e">
        <f t="shared" ref="C113" ca="1" si="159">B113</f>
        <v>#NAME?</v>
      </c>
      <c r="D113" s="21"/>
      <c r="E113" s="21" t="s">
        <v>138</v>
      </c>
      <c r="F113" s="22">
        <v>44161</v>
      </c>
      <c r="G113" s="23"/>
    </row>
    <row r="114" spans="1:7" ht="9.9499999999999993" customHeight="1">
      <c r="A114" s="18"/>
      <c r="B114" s="20"/>
      <c r="C114" s="15" t="str">
        <f t="shared" ref="C114" si="160">A113</f>
        <v>OP-10R-PWM-55</v>
      </c>
      <c r="D114" s="21"/>
      <c r="E114" s="21"/>
      <c r="F114" s="22"/>
      <c r="G114" s="24"/>
    </row>
    <row r="115" spans="1:7" ht="20.100000000000001" customHeight="1">
      <c r="A115" s="17" t="s">
        <v>152</v>
      </c>
      <c r="B115" s="19" t="e">
        <f t="shared" ref="B115" ca="1" si="161">Code128(A115)</f>
        <v>#NAME?</v>
      </c>
      <c r="C115" s="14" t="e">
        <f t="shared" ref="C115" ca="1" si="162">B115</f>
        <v>#NAME?</v>
      </c>
      <c r="D115" s="21"/>
      <c r="E115" s="21" t="s">
        <v>138</v>
      </c>
      <c r="F115" s="22">
        <v>44161</v>
      </c>
      <c r="G115" s="23"/>
    </row>
    <row r="116" spans="1:7" ht="9.9499999999999993" customHeight="1">
      <c r="A116" s="18"/>
      <c r="B116" s="20"/>
      <c r="C116" s="15" t="str">
        <f t="shared" ref="C116" si="163">A115</f>
        <v>OP-10R-PWM-56</v>
      </c>
      <c r="D116" s="21"/>
      <c r="E116" s="21"/>
      <c r="F116" s="22"/>
      <c r="G116" s="24"/>
    </row>
    <row r="117" spans="1:7" ht="20.100000000000001" customHeight="1">
      <c r="A117" s="17" t="s">
        <v>153</v>
      </c>
      <c r="B117" s="19" t="e">
        <f t="shared" ref="B117" ca="1" si="164">Code128(A117)</f>
        <v>#NAME?</v>
      </c>
      <c r="C117" s="14" t="e">
        <f t="shared" ref="C117" ca="1" si="165">B117</f>
        <v>#NAME?</v>
      </c>
      <c r="D117" s="21"/>
      <c r="E117" s="21" t="s">
        <v>138</v>
      </c>
      <c r="F117" s="22">
        <v>44161</v>
      </c>
      <c r="G117" s="23"/>
    </row>
    <row r="118" spans="1:7" ht="9.9499999999999993" customHeight="1">
      <c r="A118" s="18"/>
      <c r="B118" s="20"/>
      <c r="C118" s="15" t="str">
        <f t="shared" ref="C118" si="166">A117</f>
        <v>OP-10R-PWM-57</v>
      </c>
      <c r="D118" s="21"/>
      <c r="E118" s="21"/>
      <c r="F118" s="22"/>
      <c r="G118" s="24"/>
    </row>
    <row r="119" spans="1:7" ht="20.100000000000001" customHeight="1">
      <c r="A119" s="17" t="s">
        <v>154</v>
      </c>
      <c r="B119" s="19" t="e">
        <f t="shared" ref="B119" ca="1" si="167">Code128(A119)</f>
        <v>#NAME?</v>
      </c>
      <c r="C119" s="14" t="e">
        <f t="shared" ref="C119" ca="1" si="168">B119</f>
        <v>#NAME?</v>
      </c>
      <c r="D119" s="21"/>
      <c r="E119" s="21" t="s">
        <v>138</v>
      </c>
      <c r="F119" s="22">
        <v>44161</v>
      </c>
      <c r="G119" s="23"/>
    </row>
    <row r="120" spans="1:7" ht="9.9499999999999993" customHeight="1">
      <c r="A120" s="18"/>
      <c r="B120" s="20"/>
      <c r="C120" s="15" t="str">
        <f t="shared" ref="C120" si="169">A119</f>
        <v>OP-10R-PWM-58</v>
      </c>
      <c r="D120" s="21"/>
      <c r="E120" s="21"/>
      <c r="F120" s="22"/>
      <c r="G120" s="24"/>
    </row>
    <row r="121" spans="1:7" ht="20.100000000000001" customHeight="1">
      <c r="A121" s="17" t="s">
        <v>155</v>
      </c>
      <c r="B121" s="19" t="e">
        <f t="shared" ref="B121" ca="1" si="170">Code128(A121)</f>
        <v>#NAME?</v>
      </c>
      <c r="C121" s="14" t="e">
        <f t="shared" ref="C121" ca="1" si="171">B121</f>
        <v>#NAME?</v>
      </c>
      <c r="D121" s="21"/>
      <c r="E121" s="21" t="s">
        <v>138</v>
      </c>
      <c r="F121" s="22">
        <v>44398</v>
      </c>
      <c r="G121" s="23" t="s">
        <v>19</v>
      </c>
    </row>
    <row r="122" spans="1:7" ht="9.9499999999999993" customHeight="1">
      <c r="A122" s="18"/>
      <c r="B122" s="20"/>
      <c r="C122" s="15" t="str">
        <f t="shared" ref="C122" si="172">A121</f>
        <v>OP-10R-PWM-59</v>
      </c>
      <c r="D122" s="21"/>
      <c r="E122" s="21"/>
      <c r="F122" s="22"/>
      <c r="G122" s="24"/>
    </row>
    <row r="123" spans="1:7" ht="20.100000000000001" customHeight="1">
      <c r="A123" s="17" t="s">
        <v>156</v>
      </c>
      <c r="B123" s="19" t="e">
        <f t="shared" ref="B123" ca="1" si="173">Code128(A123)</f>
        <v>#NAME?</v>
      </c>
      <c r="C123" s="14" t="e">
        <f t="shared" ref="C123" ca="1" si="174">B123</f>
        <v>#NAME?</v>
      </c>
      <c r="D123" s="21"/>
      <c r="E123" s="21" t="s">
        <v>138</v>
      </c>
      <c r="F123" s="22">
        <v>44398</v>
      </c>
      <c r="G123" s="23" t="s">
        <v>19</v>
      </c>
    </row>
    <row r="124" spans="1:7" ht="9.9499999999999993" customHeight="1">
      <c r="A124" s="18"/>
      <c r="B124" s="20"/>
      <c r="C124" s="15" t="str">
        <f t="shared" ref="C124" si="175">A123</f>
        <v>OP-10R-PWM-60</v>
      </c>
      <c r="D124" s="21"/>
      <c r="E124" s="21"/>
      <c r="F124" s="22"/>
      <c r="G124" s="24"/>
    </row>
    <row r="125" spans="1:7" ht="20.100000000000001" customHeight="1">
      <c r="A125" s="17" t="s">
        <v>157</v>
      </c>
      <c r="B125" s="19" t="e">
        <f t="shared" ref="B125" ca="1" si="176">Code128(A125)</f>
        <v>#NAME?</v>
      </c>
      <c r="C125" s="14" t="e">
        <f t="shared" ref="C125" ca="1" si="177">B125</f>
        <v>#NAME?</v>
      </c>
      <c r="D125" s="21"/>
      <c r="E125" s="21" t="s">
        <v>138</v>
      </c>
      <c r="F125" s="22">
        <v>44398</v>
      </c>
      <c r="G125" s="23" t="s">
        <v>19</v>
      </c>
    </row>
    <row r="126" spans="1:7" ht="9.9499999999999993" customHeight="1">
      <c r="A126" s="18"/>
      <c r="B126" s="20"/>
      <c r="C126" s="15" t="str">
        <f t="shared" ref="C126" si="178">A125</f>
        <v>OP-10R-PWM-61</v>
      </c>
      <c r="D126" s="21"/>
      <c r="E126" s="21"/>
      <c r="F126" s="22"/>
      <c r="G126" s="24"/>
    </row>
    <row r="127" spans="1:7" ht="20.100000000000001" customHeight="1">
      <c r="A127" s="17" t="s">
        <v>158</v>
      </c>
      <c r="B127" s="19" t="e">
        <f t="shared" ref="B127" ca="1" si="179">Code128(A127)</f>
        <v>#NAME?</v>
      </c>
      <c r="C127" s="14" t="e">
        <f t="shared" ref="C127" ca="1" si="180">B127</f>
        <v>#NAME?</v>
      </c>
      <c r="D127" s="21"/>
      <c r="E127" s="21" t="s">
        <v>138</v>
      </c>
      <c r="F127" s="22">
        <v>44398</v>
      </c>
      <c r="G127" s="23" t="s">
        <v>19</v>
      </c>
    </row>
    <row r="128" spans="1:7" ht="9.9499999999999993" customHeight="1">
      <c r="A128" s="18"/>
      <c r="B128" s="20"/>
      <c r="C128" s="15" t="str">
        <f t="shared" ref="C128" si="181">A127</f>
        <v>OP-10R-PWM-62</v>
      </c>
      <c r="D128" s="21"/>
      <c r="E128" s="21"/>
      <c r="F128" s="22"/>
      <c r="G128" s="24"/>
    </row>
    <row r="129" spans="1:7" ht="20.100000000000001" customHeight="1">
      <c r="A129" s="17" t="s">
        <v>159</v>
      </c>
      <c r="B129" s="19" t="e">
        <f t="shared" ref="B129" ca="1" si="182">Code128(A129)</f>
        <v>#NAME?</v>
      </c>
      <c r="C129" s="14" t="e">
        <f t="shared" ref="C129" ca="1" si="183">B129</f>
        <v>#NAME?</v>
      </c>
      <c r="D129" s="21"/>
      <c r="E129" s="21" t="s">
        <v>138</v>
      </c>
      <c r="F129" s="22">
        <v>44398</v>
      </c>
      <c r="G129" s="23" t="s">
        <v>19</v>
      </c>
    </row>
    <row r="130" spans="1:7" ht="9.9499999999999993" customHeight="1">
      <c r="A130" s="18"/>
      <c r="B130" s="20"/>
      <c r="C130" s="15" t="str">
        <f t="shared" ref="C130" si="184">A129</f>
        <v>OP-10R-PWM-63</v>
      </c>
      <c r="D130" s="21"/>
      <c r="E130" s="21"/>
      <c r="F130" s="22"/>
      <c r="G130" s="24"/>
    </row>
    <row r="131" spans="1:7" ht="20.100000000000001" customHeight="1">
      <c r="A131" s="17" t="s">
        <v>160</v>
      </c>
      <c r="B131" s="19" t="e">
        <f t="shared" ref="B131" ca="1" si="185">Code128(A131)</f>
        <v>#NAME?</v>
      </c>
      <c r="C131" s="14" t="e">
        <f t="shared" ref="C131" ca="1" si="186">B131</f>
        <v>#NAME?</v>
      </c>
      <c r="D131" s="21"/>
      <c r="E131" s="21" t="s">
        <v>138</v>
      </c>
      <c r="F131" s="22">
        <v>44398</v>
      </c>
      <c r="G131" s="23" t="s">
        <v>19</v>
      </c>
    </row>
    <row r="132" spans="1:7" ht="9.9499999999999993" customHeight="1">
      <c r="A132" s="18"/>
      <c r="B132" s="20"/>
      <c r="C132" s="15" t="str">
        <f t="shared" ref="C132" si="187">A131</f>
        <v>OP-10R-PWM-64</v>
      </c>
      <c r="D132" s="21"/>
      <c r="E132" s="21"/>
      <c r="F132" s="22"/>
      <c r="G132" s="24"/>
    </row>
    <row r="133" spans="1:7" ht="20.100000000000001" customHeight="1">
      <c r="A133" s="17" t="s">
        <v>161</v>
      </c>
      <c r="B133" s="19" t="e">
        <f t="shared" ref="B133" ca="1" si="188">Code128(A133)</f>
        <v>#NAME?</v>
      </c>
      <c r="C133" s="14" t="e">
        <f t="shared" ref="C133" ca="1" si="189">B133</f>
        <v>#NAME?</v>
      </c>
      <c r="D133" s="21"/>
      <c r="E133" s="21" t="s">
        <v>138</v>
      </c>
      <c r="F133" s="22">
        <v>44398</v>
      </c>
      <c r="G133" s="23" t="s">
        <v>19</v>
      </c>
    </row>
    <row r="134" spans="1:7" ht="9.9499999999999993" customHeight="1">
      <c r="A134" s="18"/>
      <c r="B134" s="20"/>
      <c r="C134" s="15" t="str">
        <f t="shared" ref="C134" si="190">A133</f>
        <v>OP-10R-PWM-65</v>
      </c>
      <c r="D134" s="21"/>
      <c r="E134" s="21"/>
      <c r="F134" s="22"/>
      <c r="G134" s="24"/>
    </row>
    <row r="135" spans="1:7" ht="20.100000000000001" customHeight="1">
      <c r="A135" s="17" t="s">
        <v>162</v>
      </c>
      <c r="B135" s="19" t="e">
        <f t="shared" ref="B135" ca="1" si="191">Code128(A135)</f>
        <v>#NAME?</v>
      </c>
      <c r="C135" s="14" t="e">
        <f t="shared" ref="C135" ca="1" si="192">B135</f>
        <v>#NAME?</v>
      </c>
      <c r="D135" s="21"/>
      <c r="E135" s="21" t="s">
        <v>138</v>
      </c>
      <c r="F135" s="22">
        <v>44398</v>
      </c>
      <c r="G135" s="23" t="s">
        <v>19</v>
      </c>
    </row>
    <row r="136" spans="1:7" ht="9.9499999999999993" customHeight="1">
      <c r="A136" s="18"/>
      <c r="B136" s="20"/>
      <c r="C136" s="15" t="str">
        <f t="shared" ref="C136" si="193">A135</f>
        <v>OP-10R-PWM-66</v>
      </c>
      <c r="D136" s="21"/>
      <c r="E136" s="21"/>
      <c r="F136" s="22"/>
      <c r="G136" s="24"/>
    </row>
    <row r="137" spans="1:7" ht="20.100000000000001" customHeight="1">
      <c r="A137" s="17" t="s">
        <v>163</v>
      </c>
      <c r="B137" s="19" t="e">
        <f t="shared" ref="B137" ca="1" si="194">Code128(A137)</f>
        <v>#NAME?</v>
      </c>
      <c r="C137" s="14" t="e">
        <f t="shared" ref="C137" ca="1" si="195">B137</f>
        <v>#NAME?</v>
      </c>
      <c r="D137" s="21"/>
      <c r="E137" s="21" t="s">
        <v>138</v>
      </c>
      <c r="F137" s="22">
        <v>44398</v>
      </c>
      <c r="G137" s="23" t="s">
        <v>19</v>
      </c>
    </row>
    <row r="138" spans="1:7" ht="9.9499999999999993" customHeight="1">
      <c r="A138" s="18"/>
      <c r="B138" s="20"/>
      <c r="C138" s="15" t="str">
        <f t="shared" ref="C138" si="196">A137</f>
        <v>OP-10R-PWM-67</v>
      </c>
      <c r="D138" s="21"/>
      <c r="E138" s="21"/>
      <c r="F138" s="22"/>
      <c r="G138" s="24"/>
    </row>
    <row r="139" spans="1:7" ht="20.100000000000001" customHeight="1">
      <c r="A139" s="17" t="s">
        <v>164</v>
      </c>
      <c r="B139" s="19" t="e">
        <f t="shared" ref="B139" ca="1" si="197">Code128(A139)</f>
        <v>#NAME?</v>
      </c>
      <c r="C139" s="14" t="e">
        <f t="shared" ref="C139" ca="1" si="198">B139</f>
        <v>#NAME?</v>
      </c>
      <c r="D139" s="21"/>
      <c r="E139" s="21" t="s">
        <v>138</v>
      </c>
      <c r="F139" s="22">
        <v>44398</v>
      </c>
      <c r="G139" s="23" t="s">
        <v>19</v>
      </c>
    </row>
    <row r="140" spans="1:7" ht="9.9499999999999993" customHeight="1">
      <c r="A140" s="18"/>
      <c r="B140" s="20"/>
      <c r="C140" s="15" t="str">
        <f t="shared" ref="C140" si="199">A139</f>
        <v>OP-10R-PWM-68</v>
      </c>
      <c r="D140" s="21"/>
      <c r="E140" s="21"/>
      <c r="F140" s="22"/>
      <c r="G140" s="24"/>
    </row>
    <row r="141" spans="1:7" ht="20.100000000000001" customHeight="1">
      <c r="A141" s="17" t="s">
        <v>165</v>
      </c>
      <c r="B141" s="19" t="e">
        <f t="shared" ref="B141" ca="1" si="200">Code128(A141)</f>
        <v>#NAME?</v>
      </c>
      <c r="C141" s="14" t="e">
        <f t="shared" ref="C141" ca="1" si="201">B141</f>
        <v>#NAME?</v>
      </c>
      <c r="D141" s="21"/>
      <c r="E141" s="21" t="s">
        <v>138</v>
      </c>
      <c r="F141" s="22">
        <v>44398</v>
      </c>
      <c r="G141" s="23" t="s">
        <v>19</v>
      </c>
    </row>
    <row r="142" spans="1:7" ht="9.9499999999999993" customHeight="1">
      <c r="A142" s="18"/>
      <c r="B142" s="20"/>
      <c r="C142" s="15" t="str">
        <f t="shared" ref="C142" si="202">A141</f>
        <v>OP-10R-PWM-69</v>
      </c>
      <c r="D142" s="21"/>
      <c r="E142" s="21"/>
      <c r="F142" s="22"/>
      <c r="G142" s="24"/>
    </row>
    <row r="143" spans="1:7" ht="20.100000000000001" customHeight="1">
      <c r="A143" s="17" t="s">
        <v>166</v>
      </c>
      <c r="B143" s="19" t="e">
        <f t="shared" ref="B143" ca="1" si="203">Code128(A143)</f>
        <v>#NAME?</v>
      </c>
      <c r="C143" s="14" t="e">
        <f t="shared" ref="C143" ca="1" si="204">B143</f>
        <v>#NAME?</v>
      </c>
      <c r="D143" s="21"/>
      <c r="E143" s="21" t="s">
        <v>138</v>
      </c>
      <c r="F143" s="22">
        <v>44398</v>
      </c>
      <c r="G143" s="23" t="s">
        <v>19</v>
      </c>
    </row>
    <row r="144" spans="1:7" ht="9.9499999999999993" customHeight="1">
      <c r="A144" s="18"/>
      <c r="B144" s="20"/>
      <c r="C144" s="15" t="str">
        <f t="shared" ref="C144" si="205">A143</f>
        <v>OP-10R-PWM-70</v>
      </c>
      <c r="D144" s="21"/>
      <c r="E144" s="21"/>
      <c r="F144" s="22"/>
      <c r="G144" s="24"/>
    </row>
    <row r="145" spans="1:7" ht="20.100000000000001" customHeight="1">
      <c r="A145" s="17" t="s">
        <v>167</v>
      </c>
      <c r="B145" s="19" t="e">
        <f t="shared" ref="B145" ca="1" si="206">Code128(A145)</f>
        <v>#NAME?</v>
      </c>
      <c r="C145" s="14" t="e">
        <f t="shared" ref="C145" ca="1" si="207">B145</f>
        <v>#NAME?</v>
      </c>
      <c r="D145" s="21"/>
      <c r="E145" s="21" t="s">
        <v>138</v>
      </c>
      <c r="F145" s="22">
        <v>44398</v>
      </c>
      <c r="G145" s="23" t="s">
        <v>19</v>
      </c>
    </row>
    <row r="146" spans="1:7" ht="9.9499999999999993" customHeight="1">
      <c r="A146" s="18"/>
      <c r="B146" s="20"/>
      <c r="C146" s="15" t="str">
        <f t="shared" ref="C146" si="208">A145</f>
        <v>OP-10R-PWM-71</v>
      </c>
      <c r="D146" s="21"/>
      <c r="E146" s="21"/>
      <c r="F146" s="22"/>
      <c r="G146" s="24"/>
    </row>
    <row r="147" spans="1:7" ht="20.100000000000001" customHeight="1">
      <c r="A147" s="17" t="s">
        <v>168</v>
      </c>
      <c r="B147" s="19" t="e">
        <f t="shared" ref="B147" ca="1" si="209">Code128(A147)</f>
        <v>#NAME?</v>
      </c>
      <c r="C147" s="14" t="e">
        <f t="shared" ref="C147" ca="1" si="210">B147</f>
        <v>#NAME?</v>
      </c>
      <c r="D147" s="21"/>
      <c r="E147" s="21" t="s">
        <v>138</v>
      </c>
      <c r="F147" s="22">
        <v>44398</v>
      </c>
      <c r="G147" s="23" t="s">
        <v>19</v>
      </c>
    </row>
    <row r="148" spans="1:7" ht="9.9499999999999993" customHeight="1">
      <c r="A148" s="18"/>
      <c r="B148" s="20"/>
      <c r="C148" s="15" t="str">
        <f t="shared" ref="C148" si="211">A147</f>
        <v>OP-10R-PWM-72</v>
      </c>
      <c r="D148" s="21"/>
      <c r="E148" s="21"/>
      <c r="F148" s="22"/>
      <c r="G148" s="24"/>
    </row>
    <row r="149" spans="1:7" ht="20.100000000000001" customHeight="1">
      <c r="A149" s="17" t="s">
        <v>169</v>
      </c>
      <c r="B149" s="19" t="e">
        <f t="shared" ref="B149" ca="1" si="212">Code128(A149)</f>
        <v>#NAME?</v>
      </c>
      <c r="C149" s="14" t="e">
        <f t="shared" ref="C149" ca="1" si="213">B149</f>
        <v>#NAME?</v>
      </c>
      <c r="D149" s="21"/>
      <c r="E149" s="21" t="s">
        <v>101</v>
      </c>
      <c r="F149" s="22">
        <v>44398</v>
      </c>
      <c r="G149" s="23" t="s">
        <v>19</v>
      </c>
    </row>
    <row r="150" spans="1:7" ht="9.9499999999999993" customHeight="1">
      <c r="A150" s="18"/>
      <c r="B150" s="20"/>
      <c r="C150" s="15" t="str">
        <f t="shared" ref="C150" si="214">A149</f>
        <v>OP-10R-PWM-73</v>
      </c>
      <c r="D150" s="21"/>
      <c r="E150" s="21"/>
      <c r="F150" s="22"/>
      <c r="G150" s="24"/>
    </row>
    <row r="151" spans="1:7" ht="20.100000000000001" customHeight="1">
      <c r="A151" s="17" t="s">
        <v>170</v>
      </c>
      <c r="B151" s="19" t="e">
        <f t="shared" ref="B151" ca="1" si="215">Code128(A151)</f>
        <v>#NAME?</v>
      </c>
      <c r="C151" s="14" t="e">
        <f t="shared" ref="C151" ca="1" si="216">B151</f>
        <v>#NAME?</v>
      </c>
      <c r="D151" s="21"/>
      <c r="E151" s="21" t="s">
        <v>101</v>
      </c>
      <c r="F151" s="22">
        <v>44398</v>
      </c>
      <c r="G151" s="23" t="s">
        <v>19</v>
      </c>
    </row>
    <row r="152" spans="1:7" ht="9.9499999999999993" customHeight="1">
      <c r="A152" s="18"/>
      <c r="B152" s="20"/>
      <c r="C152" s="15" t="str">
        <f t="shared" ref="C152" si="217">A151</f>
        <v>OP-10R-PWM-74</v>
      </c>
      <c r="D152" s="21"/>
      <c r="E152" s="21"/>
      <c r="F152" s="22"/>
      <c r="G152" s="24"/>
    </row>
    <row r="153" spans="1:7" ht="20.100000000000001" customHeight="1">
      <c r="A153" s="17" t="s">
        <v>171</v>
      </c>
      <c r="B153" s="19" t="e">
        <f t="shared" ref="B153" ca="1" si="218">Code128(A153)</f>
        <v>#NAME?</v>
      </c>
      <c r="C153" s="14" t="e">
        <f t="shared" ref="C153" ca="1" si="219">B153</f>
        <v>#NAME?</v>
      </c>
      <c r="D153" s="21"/>
      <c r="E153" s="21" t="s">
        <v>101</v>
      </c>
      <c r="F153" s="22">
        <v>44398</v>
      </c>
      <c r="G153" s="23" t="s">
        <v>19</v>
      </c>
    </row>
    <row r="154" spans="1:7" ht="9.9499999999999993" customHeight="1">
      <c r="A154" s="18"/>
      <c r="B154" s="20"/>
      <c r="C154" s="15" t="str">
        <f t="shared" ref="C154" si="220">A153</f>
        <v>OP-10R-PWM-75</v>
      </c>
      <c r="D154" s="21"/>
      <c r="E154" s="21"/>
      <c r="F154" s="22"/>
      <c r="G154" s="24"/>
    </row>
    <row r="155" spans="1:7" ht="20.100000000000001" customHeight="1">
      <c r="A155" s="17" t="s">
        <v>172</v>
      </c>
      <c r="B155" s="19" t="e">
        <f t="shared" ref="B155" ca="1" si="221">Code128(A155)</f>
        <v>#NAME?</v>
      </c>
      <c r="C155" s="14" t="e">
        <f t="shared" ref="C155" ca="1" si="222">B155</f>
        <v>#NAME?</v>
      </c>
      <c r="D155" s="21"/>
      <c r="E155" s="21" t="s">
        <v>101</v>
      </c>
      <c r="F155" s="22">
        <v>44398</v>
      </c>
      <c r="G155" s="23" t="s">
        <v>19</v>
      </c>
    </row>
    <row r="156" spans="1:7" ht="9.9499999999999993" customHeight="1">
      <c r="A156" s="18"/>
      <c r="B156" s="20"/>
      <c r="C156" s="15" t="str">
        <f t="shared" ref="C156" si="223">A155</f>
        <v>OP-10R-PWM-76</v>
      </c>
      <c r="D156" s="21"/>
      <c r="E156" s="21"/>
      <c r="F156" s="22"/>
      <c r="G156" s="24"/>
    </row>
    <row r="157" spans="1:7" ht="20.100000000000001" customHeight="1">
      <c r="A157" s="17" t="s">
        <v>173</v>
      </c>
      <c r="B157" s="19" t="e">
        <f t="shared" ref="B157" ca="1" si="224">Code128(A157)</f>
        <v>#NAME?</v>
      </c>
      <c r="C157" s="14" t="e">
        <f t="shared" ref="C157" ca="1" si="225">B157</f>
        <v>#NAME?</v>
      </c>
      <c r="D157" s="21"/>
      <c r="E157" s="21" t="s">
        <v>101</v>
      </c>
      <c r="F157" s="22">
        <v>44398</v>
      </c>
      <c r="G157" s="23" t="s">
        <v>19</v>
      </c>
    </row>
    <row r="158" spans="1:7" ht="9.9499999999999993" customHeight="1">
      <c r="A158" s="18"/>
      <c r="B158" s="20"/>
      <c r="C158" s="15" t="str">
        <f t="shared" ref="C158" si="226">A157</f>
        <v>OP-10R-PWM-77</v>
      </c>
      <c r="D158" s="21"/>
      <c r="E158" s="21"/>
      <c r="F158" s="22"/>
      <c r="G158" s="24"/>
    </row>
    <row r="159" spans="1:7" ht="20.100000000000001" customHeight="1">
      <c r="A159" s="17" t="s">
        <v>174</v>
      </c>
      <c r="B159" s="19" t="e">
        <f t="shared" ref="B159" ca="1" si="227">Code128(A159)</f>
        <v>#NAME?</v>
      </c>
      <c r="C159" s="14" t="e">
        <f t="shared" ref="C159" ca="1" si="228">B159</f>
        <v>#NAME?</v>
      </c>
      <c r="D159" s="21"/>
      <c r="E159" s="21" t="s">
        <v>101</v>
      </c>
      <c r="F159" s="22">
        <v>44398</v>
      </c>
      <c r="G159" s="23" t="s">
        <v>19</v>
      </c>
    </row>
    <row r="160" spans="1:7" ht="9.9499999999999993" customHeight="1">
      <c r="A160" s="18"/>
      <c r="B160" s="20"/>
      <c r="C160" s="15" t="str">
        <f t="shared" ref="C160" si="229">A159</f>
        <v>OP-10R-PWM-78</v>
      </c>
      <c r="D160" s="21"/>
      <c r="E160" s="21"/>
      <c r="F160" s="22"/>
      <c r="G160" s="24"/>
    </row>
    <row r="161" spans="1:7" ht="20.100000000000001" customHeight="1">
      <c r="A161" s="17" t="s">
        <v>175</v>
      </c>
      <c r="B161" s="19" t="e">
        <f t="shared" ref="B161" ca="1" si="230">Code128(A161)</f>
        <v>#NAME?</v>
      </c>
      <c r="C161" s="14" t="e">
        <f t="shared" ref="C161" ca="1" si="231">B161</f>
        <v>#NAME?</v>
      </c>
      <c r="D161" s="21"/>
      <c r="E161" s="21" t="s">
        <v>101</v>
      </c>
      <c r="F161" s="22">
        <v>44398</v>
      </c>
      <c r="G161" s="23" t="s">
        <v>19</v>
      </c>
    </row>
    <row r="162" spans="1:7" ht="9.9499999999999993" customHeight="1">
      <c r="A162" s="18"/>
      <c r="B162" s="20"/>
      <c r="C162" s="15" t="str">
        <f t="shared" ref="C162" si="232">A161</f>
        <v>OP-10R-PWM-79</v>
      </c>
      <c r="D162" s="21"/>
      <c r="E162" s="21"/>
      <c r="F162" s="22"/>
      <c r="G162" s="24"/>
    </row>
    <row r="163" spans="1:7" ht="20.100000000000001" customHeight="1">
      <c r="A163" s="17" t="s">
        <v>176</v>
      </c>
      <c r="B163" s="19" t="e">
        <f t="shared" ref="B163:B213" ca="1" si="233">Code128(A163)</f>
        <v>#NAME?</v>
      </c>
      <c r="C163" s="14" t="e">
        <f t="shared" ref="C163:C213" ca="1" si="234">B163</f>
        <v>#NAME?</v>
      </c>
      <c r="D163" s="21"/>
      <c r="E163" s="21" t="s">
        <v>101</v>
      </c>
      <c r="F163" s="22">
        <v>44398</v>
      </c>
      <c r="G163" s="23" t="s">
        <v>19</v>
      </c>
    </row>
    <row r="164" spans="1:7" ht="9.9499999999999993" customHeight="1">
      <c r="A164" s="18"/>
      <c r="B164" s="20"/>
      <c r="C164" s="15" t="str">
        <f t="shared" ref="C164" si="235">A163</f>
        <v>OP-10R-PWM-80</v>
      </c>
      <c r="D164" s="21"/>
      <c r="E164" s="21"/>
      <c r="F164" s="22"/>
      <c r="G164" s="24"/>
    </row>
    <row r="165" spans="1:7" ht="20.100000000000001" customHeight="1">
      <c r="A165" s="17" t="s">
        <v>177</v>
      </c>
      <c r="B165" s="19" t="e">
        <f t="shared" ca="1" si="233"/>
        <v>#NAME?</v>
      </c>
      <c r="C165" s="14" t="e">
        <f t="shared" ca="1" si="234"/>
        <v>#NAME?</v>
      </c>
      <c r="D165" s="21"/>
      <c r="E165" s="21" t="s">
        <v>101</v>
      </c>
      <c r="F165" s="22">
        <v>44398</v>
      </c>
      <c r="G165" s="23" t="s">
        <v>19</v>
      </c>
    </row>
    <row r="166" spans="1:7" ht="9.9499999999999993" customHeight="1">
      <c r="A166" s="18"/>
      <c r="B166" s="20"/>
      <c r="C166" s="15" t="str">
        <f t="shared" ref="C166" si="236">A165</f>
        <v>OP-10R-PWM-81</v>
      </c>
      <c r="D166" s="21"/>
      <c r="E166" s="21"/>
      <c r="F166" s="22"/>
      <c r="G166" s="24"/>
    </row>
    <row r="167" spans="1:7" ht="20.100000000000001" customHeight="1">
      <c r="A167" s="17" t="s">
        <v>178</v>
      </c>
      <c r="B167" s="19" t="e">
        <f t="shared" ca="1" si="233"/>
        <v>#NAME?</v>
      </c>
      <c r="C167" s="14" t="e">
        <f t="shared" ca="1" si="234"/>
        <v>#NAME?</v>
      </c>
      <c r="D167" s="21"/>
      <c r="E167" s="21" t="s">
        <v>101</v>
      </c>
      <c r="F167" s="22">
        <v>44398</v>
      </c>
      <c r="G167" s="23" t="s">
        <v>19</v>
      </c>
    </row>
    <row r="168" spans="1:7" ht="9.9499999999999993" customHeight="1">
      <c r="A168" s="18"/>
      <c r="B168" s="20"/>
      <c r="C168" s="15" t="str">
        <f t="shared" ref="C168" si="237">A167</f>
        <v>OP-10R-PWM-82</v>
      </c>
      <c r="D168" s="21"/>
      <c r="E168" s="21"/>
      <c r="F168" s="22"/>
      <c r="G168" s="24"/>
    </row>
    <row r="169" spans="1:7" ht="20.100000000000001" customHeight="1">
      <c r="A169" s="17" t="s">
        <v>179</v>
      </c>
      <c r="B169" s="19" t="e">
        <f t="shared" ca="1" si="233"/>
        <v>#NAME?</v>
      </c>
      <c r="C169" s="14" t="e">
        <f t="shared" ca="1" si="234"/>
        <v>#NAME?</v>
      </c>
      <c r="D169" s="21"/>
      <c r="E169" s="21" t="s">
        <v>101</v>
      </c>
      <c r="F169" s="22">
        <v>44398</v>
      </c>
      <c r="G169" s="23" t="s">
        <v>19</v>
      </c>
    </row>
    <row r="170" spans="1:7" ht="9.9499999999999993" customHeight="1">
      <c r="A170" s="18"/>
      <c r="B170" s="20"/>
      <c r="C170" s="15" t="str">
        <f t="shared" ref="C170" si="238">A169</f>
        <v>OP-10R-PWM-83</v>
      </c>
      <c r="D170" s="21"/>
      <c r="E170" s="21"/>
      <c r="F170" s="22"/>
      <c r="G170" s="24"/>
    </row>
    <row r="171" spans="1:7" ht="20.100000000000001" customHeight="1">
      <c r="A171" s="17" t="s">
        <v>180</v>
      </c>
      <c r="B171" s="19" t="e">
        <f t="shared" ca="1" si="233"/>
        <v>#NAME?</v>
      </c>
      <c r="C171" s="14" t="e">
        <f t="shared" ca="1" si="234"/>
        <v>#NAME?</v>
      </c>
      <c r="D171" s="21"/>
      <c r="E171" s="21" t="s">
        <v>101</v>
      </c>
      <c r="F171" s="22">
        <v>44398</v>
      </c>
      <c r="G171" s="23" t="s">
        <v>19</v>
      </c>
    </row>
    <row r="172" spans="1:7" ht="9.9499999999999993" customHeight="1">
      <c r="A172" s="18"/>
      <c r="B172" s="20"/>
      <c r="C172" s="15" t="str">
        <f t="shared" ref="C172" si="239">A171</f>
        <v>OP-10R-PWM-84</v>
      </c>
      <c r="D172" s="21"/>
      <c r="E172" s="21"/>
      <c r="F172" s="22"/>
      <c r="G172" s="24"/>
    </row>
    <row r="173" spans="1:7" ht="20.100000000000001" customHeight="1">
      <c r="A173" s="17" t="s">
        <v>181</v>
      </c>
      <c r="B173" s="19" t="e">
        <f t="shared" ca="1" si="233"/>
        <v>#NAME?</v>
      </c>
      <c r="C173" s="14" t="e">
        <f t="shared" ca="1" si="234"/>
        <v>#NAME?</v>
      </c>
      <c r="D173" s="21"/>
      <c r="E173" s="21" t="s">
        <v>101</v>
      </c>
      <c r="F173" s="22">
        <v>44398</v>
      </c>
      <c r="G173" s="23" t="s">
        <v>19</v>
      </c>
    </row>
    <row r="174" spans="1:7" ht="9.9499999999999993" customHeight="1">
      <c r="A174" s="18"/>
      <c r="B174" s="20"/>
      <c r="C174" s="15" t="str">
        <f t="shared" ref="C174" si="240">A173</f>
        <v>OP-10R-PWM-85</v>
      </c>
      <c r="D174" s="21"/>
      <c r="E174" s="21"/>
      <c r="F174" s="22"/>
      <c r="G174" s="24"/>
    </row>
    <row r="175" spans="1:7" ht="20.100000000000001" customHeight="1">
      <c r="A175" s="17" t="s">
        <v>182</v>
      </c>
      <c r="B175" s="19" t="e">
        <f t="shared" ca="1" si="233"/>
        <v>#NAME?</v>
      </c>
      <c r="C175" s="14" t="e">
        <f t="shared" ca="1" si="234"/>
        <v>#NAME?</v>
      </c>
      <c r="D175" s="21"/>
      <c r="E175" s="21" t="s">
        <v>101</v>
      </c>
      <c r="F175" s="22">
        <v>44398</v>
      </c>
      <c r="G175" s="23" t="s">
        <v>19</v>
      </c>
    </row>
    <row r="176" spans="1:7" ht="9.9499999999999993" customHeight="1">
      <c r="A176" s="18"/>
      <c r="B176" s="20"/>
      <c r="C176" s="15" t="str">
        <f t="shared" ref="C176" si="241">A175</f>
        <v>OP-10R-PWM-86</v>
      </c>
      <c r="D176" s="21"/>
      <c r="E176" s="21"/>
      <c r="F176" s="22"/>
      <c r="G176" s="24"/>
    </row>
    <row r="177" spans="1:7" ht="20.100000000000001" customHeight="1">
      <c r="A177" s="17" t="s">
        <v>183</v>
      </c>
      <c r="B177" s="19" t="e">
        <f t="shared" ca="1" si="233"/>
        <v>#NAME?</v>
      </c>
      <c r="C177" s="14" t="e">
        <f t="shared" ca="1" si="234"/>
        <v>#NAME?</v>
      </c>
      <c r="D177" s="21"/>
      <c r="E177" s="21" t="s">
        <v>101</v>
      </c>
      <c r="F177" s="22">
        <v>44398</v>
      </c>
      <c r="G177" s="23" t="s">
        <v>19</v>
      </c>
    </row>
    <row r="178" spans="1:7" ht="9.9499999999999993" customHeight="1">
      <c r="A178" s="18"/>
      <c r="B178" s="20"/>
      <c r="C178" s="15" t="str">
        <f t="shared" ref="C178" si="242">A177</f>
        <v>OP-10R-PWM-87</v>
      </c>
      <c r="D178" s="21"/>
      <c r="E178" s="21"/>
      <c r="F178" s="22"/>
      <c r="G178" s="24"/>
    </row>
    <row r="179" spans="1:7" ht="20.100000000000001" customHeight="1">
      <c r="A179" s="17" t="s">
        <v>184</v>
      </c>
      <c r="B179" s="19" t="e">
        <f t="shared" ca="1" si="233"/>
        <v>#NAME?</v>
      </c>
      <c r="C179" s="14" t="e">
        <f t="shared" ca="1" si="234"/>
        <v>#NAME?</v>
      </c>
      <c r="D179" s="21"/>
      <c r="E179" s="21" t="s">
        <v>101</v>
      </c>
      <c r="F179" s="22">
        <v>44399</v>
      </c>
      <c r="G179" s="23" t="s">
        <v>19</v>
      </c>
    </row>
    <row r="180" spans="1:7" ht="9.9499999999999993" customHeight="1">
      <c r="A180" s="18"/>
      <c r="B180" s="20"/>
      <c r="C180" s="15" t="str">
        <f t="shared" ref="C180" si="243">A179</f>
        <v>OP-10R-PWM-88</v>
      </c>
      <c r="D180" s="21"/>
      <c r="E180" s="21"/>
      <c r="F180" s="22"/>
      <c r="G180" s="24"/>
    </row>
    <row r="181" spans="1:7" ht="20.100000000000001" customHeight="1">
      <c r="A181" s="17" t="s">
        <v>185</v>
      </c>
      <c r="B181" s="19" t="e">
        <f t="shared" ca="1" si="233"/>
        <v>#NAME?</v>
      </c>
      <c r="C181" s="14" t="e">
        <f t="shared" ca="1" si="234"/>
        <v>#NAME?</v>
      </c>
      <c r="D181" s="21"/>
      <c r="E181" s="21" t="s">
        <v>101</v>
      </c>
      <c r="F181" s="22">
        <v>44399</v>
      </c>
      <c r="G181" s="23" t="s">
        <v>19</v>
      </c>
    </row>
    <row r="182" spans="1:7" ht="9.9499999999999993" customHeight="1">
      <c r="A182" s="18"/>
      <c r="B182" s="20"/>
      <c r="C182" s="15" t="str">
        <f t="shared" ref="C182" si="244">A181</f>
        <v>OP-10R-PWM-89</v>
      </c>
      <c r="D182" s="21"/>
      <c r="E182" s="21"/>
      <c r="F182" s="22"/>
      <c r="G182" s="24"/>
    </row>
    <row r="183" spans="1:7" ht="20.100000000000001" customHeight="1">
      <c r="A183" s="17" t="s">
        <v>186</v>
      </c>
      <c r="B183" s="19" t="e">
        <f t="shared" ca="1" si="233"/>
        <v>#NAME?</v>
      </c>
      <c r="C183" s="14" t="e">
        <f t="shared" ca="1" si="234"/>
        <v>#NAME?</v>
      </c>
      <c r="D183" s="21"/>
      <c r="E183" s="21" t="s">
        <v>101</v>
      </c>
      <c r="F183" s="22">
        <v>44399</v>
      </c>
      <c r="G183" s="23" t="s">
        <v>19</v>
      </c>
    </row>
    <row r="184" spans="1:7" ht="9.9499999999999993" customHeight="1">
      <c r="A184" s="18"/>
      <c r="B184" s="20"/>
      <c r="C184" s="15" t="str">
        <f t="shared" ref="C184" si="245">A183</f>
        <v>OP-10R-PWM-90</v>
      </c>
      <c r="D184" s="21"/>
      <c r="E184" s="21"/>
      <c r="F184" s="22"/>
      <c r="G184" s="24"/>
    </row>
    <row r="185" spans="1:7" ht="20.100000000000001" customHeight="1">
      <c r="A185" s="17" t="s">
        <v>187</v>
      </c>
      <c r="B185" s="19" t="e">
        <f t="shared" ca="1" si="233"/>
        <v>#NAME?</v>
      </c>
      <c r="C185" s="14" t="e">
        <f t="shared" ca="1" si="234"/>
        <v>#NAME?</v>
      </c>
      <c r="D185" s="21"/>
      <c r="E185" s="21" t="s">
        <v>101</v>
      </c>
      <c r="F185" s="22">
        <v>44399</v>
      </c>
      <c r="G185" s="23" t="s">
        <v>19</v>
      </c>
    </row>
    <row r="186" spans="1:7" ht="9.9499999999999993" customHeight="1">
      <c r="A186" s="18"/>
      <c r="B186" s="20"/>
      <c r="C186" s="15" t="str">
        <f t="shared" ref="C186" si="246">A185</f>
        <v>OP-10R-PWM-91</v>
      </c>
      <c r="D186" s="21"/>
      <c r="E186" s="21"/>
      <c r="F186" s="22"/>
      <c r="G186" s="24"/>
    </row>
    <row r="187" spans="1:7" ht="20.100000000000001" customHeight="1">
      <c r="A187" s="17" t="s">
        <v>188</v>
      </c>
      <c r="B187" s="19" t="e">
        <f t="shared" ca="1" si="233"/>
        <v>#NAME?</v>
      </c>
      <c r="C187" s="14" t="e">
        <f t="shared" ca="1" si="234"/>
        <v>#NAME?</v>
      </c>
      <c r="D187" s="21"/>
      <c r="E187" s="21" t="s">
        <v>101</v>
      </c>
      <c r="F187" s="22">
        <v>44399</v>
      </c>
      <c r="G187" s="23" t="s">
        <v>19</v>
      </c>
    </row>
    <row r="188" spans="1:7" ht="9.9499999999999993" customHeight="1">
      <c r="A188" s="18"/>
      <c r="B188" s="20"/>
      <c r="C188" s="15" t="str">
        <f t="shared" ref="C188" si="247">A187</f>
        <v>OP-10R-PWM-92</v>
      </c>
      <c r="D188" s="21"/>
      <c r="E188" s="21"/>
      <c r="F188" s="22"/>
      <c r="G188" s="24"/>
    </row>
    <row r="189" spans="1:7" ht="20.100000000000001" customHeight="1">
      <c r="A189" s="17" t="s">
        <v>189</v>
      </c>
      <c r="B189" s="19" t="e">
        <f t="shared" ca="1" si="233"/>
        <v>#NAME?</v>
      </c>
      <c r="C189" s="14" t="e">
        <f t="shared" ca="1" si="234"/>
        <v>#NAME?</v>
      </c>
      <c r="D189" s="21"/>
      <c r="E189" s="21" t="s">
        <v>138</v>
      </c>
      <c r="F189" s="22">
        <v>44399</v>
      </c>
      <c r="G189" s="23" t="s">
        <v>19</v>
      </c>
    </row>
    <row r="190" spans="1:7" ht="9.9499999999999993" customHeight="1">
      <c r="A190" s="18"/>
      <c r="B190" s="20"/>
      <c r="C190" s="15" t="str">
        <f t="shared" ref="C190" si="248">A189</f>
        <v>OP-10R-PWM-93</v>
      </c>
      <c r="D190" s="21"/>
      <c r="E190" s="21"/>
      <c r="F190" s="22"/>
      <c r="G190" s="24"/>
    </row>
    <row r="191" spans="1:7" ht="20.100000000000001" customHeight="1">
      <c r="A191" s="17" t="s">
        <v>190</v>
      </c>
      <c r="B191" s="19" t="e">
        <f t="shared" ca="1" si="233"/>
        <v>#NAME?</v>
      </c>
      <c r="C191" s="14" t="e">
        <f t="shared" ca="1" si="234"/>
        <v>#NAME?</v>
      </c>
      <c r="D191" s="21"/>
      <c r="E191" s="21" t="s">
        <v>138</v>
      </c>
      <c r="F191" s="22">
        <v>44399</v>
      </c>
      <c r="G191" s="23" t="s">
        <v>19</v>
      </c>
    </row>
    <row r="192" spans="1:7" ht="9.9499999999999993" customHeight="1">
      <c r="A192" s="18"/>
      <c r="B192" s="20"/>
      <c r="C192" s="15" t="str">
        <f t="shared" ref="C192" si="249">A191</f>
        <v>OP-10R-PWM-94</v>
      </c>
      <c r="D192" s="21"/>
      <c r="E192" s="21"/>
      <c r="F192" s="22"/>
      <c r="G192" s="24"/>
    </row>
    <row r="193" spans="1:7" ht="20.100000000000001" customHeight="1">
      <c r="A193" s="17" t="s">
        <v>191</v>
      </c>
      <c r="B193" s="19" t="e">
        <f t="shared" ca="1" si="233"/>
        <v>#NAME?</v>
      </c>
      <c r="C193" s="14" t="e">
        <f t="shared" ca="1" si="234"/>
        <v>#NAME?</v>
      </c>
      <c r="D193" s="21"/>
      <c r="E193" s="21" t="s">
        <v>138</v>
      </c>
      <c r="F193" s="22">
        <v>44399</v>
      </c>
      <c r="G193" s="23" t="s">
        <v>19</v>
      </c>
    </row>
    <row r="194" spans="1:7" ht="9.9499999999999993" customHeight="1">
      <c r="A194" s="18"/>
      <c r="B194" s="20"/>
      <c r="C194" s="15" t="str">
        <f t="shared" ref="C194" si="250">A193</f>
        <v>OP-10R-PWM-95</v>
      </c>
      <c r="D194" s="21"/>
      <c r="E194" s="21"/>
      <c r="F194" s="22"/>
      <c r="G194" s="24"/>
    </row>
    <row r="195" spans="1:7" ht="20.100000000000001" customHeight="1">
      <c r="A195" s="17" t="s">
        <v>192</v>
      </c>
      <c r="B195" s="19" t="e">
        <f t="shared" ca="1" si="233"/>
        <v>#NAME?</v>
      </c>
      <c r="C195" s="14" t="e">
        <f t="shared" ca="1" si="234"/>
        <v>#NAME?</v>
      </c>
      <c r="D195" s="21"/>
      <c r="E195" s="21" t="s">
        <v>138</v>
      </c>
      <c r="F195" s="22">
        <v>44399</v>
      </c>
      <c r="G195" s="23" t="s">
        <v>19</v>
      </c>
    </row>
    <row r="196" spans="1:7" ht="9.9499999999999993" customHeight="1">
      <c r="A196" s="18"/>
      <c r="B196" s="20"/>
      <c r="C196" s="15" t="str">
        <f t="shared" ref="C196" si="251">A195</f>
        <v>OP-10R-PWM-96</v>
      </c>
      <c r="D196" s="21"/>
      <c r="E196" s="21"/>
      <c r="F196" s="22"/>
      <c r="G196" s="24"/>
    </row>
    <row r="197" spans="1:7" ht="20.100000000000001" customHeight="1">
      <c r="A197" s="17" t="s">
        <v>193</v>
      </c>
      <c r="B197" s="19" t="e">
        <f t="shared" ca="1" si="233"/>
        <v>#NAME?</v>
      </c>
      <c r="C197" s="14" t="e">
        <f t="shared" ca="1" si="234"/>
        <v>#NAME?</v>
      </c>
      <c r="D197" s="21"/>
      <c r="E197" s="21" t="s">
        <v>138</v>
      </c>
      <c r="F197" s="22">
        <v>44399</v>
      </c>
      <c r="G197" s="23" t="s">
        <v>19</v>
      </c>
    </row>
    <row r="198" spans="1:7" ht="9.9499999999999993" customHeight="1">
      <c r="A198" s="18"/>
      <c r="B198" s="20"/>
      <c r="C198" s="15" t="str">
        <f t="shared" ref="C198" si="252">A197</f>
        <v>OP-10R-PWM-97</v>
      </c>
      <c r="D198" s="21"/>
      <c r="E198" s="21"/>
      <c r="F198" s="22"/>
      <c r="G198" s="24"/>
    </row>
    <row r="199" spans="1:7" ht="20.100000000000001" customHeight="1">
      <c r="A199" s="17" t="s">
        <v>194</v>
      </c>
      <c r="B199" s="19" t="e">
        <f t="shared" ca="1" si="233"/>
        <v>#NAME?</v>
      </c>
      <c r="C199" s="14" t="e">
        <f t="shared" ca="1" si="234"/>
        <v>#NAME?</v>
      </c>
      <c r="D199" s="21"/>
      <c r="E199" s="21" t="s">
        <v>138</v>
      </c>
      <c r="F199" s="22">
        <v>44399</v>
      </c>
      <c r="G199" s="23" t="s">
        <v>19</v>
      </c>
    </row>
    <row r="200" spans="1:7" ht="9.9499999999999993" customHeight="1">
      <c r="A200" s="18"/>
      <c r="B200" s="20"/>
      <c r="C200" s="15" t="str">
        <f t="shared" ref="C200" si="253">A199</f>
        <v>OP-10R-PWM-98</v>
      </c>
      <c r="D200" s="21"/>
      <c r="E200" s="21"/>
      <c r="F200" s="22"/>
      <c r="G200" s="24"/>
    </row>
    <row r="201" spans="1:7" ht="20.100000000000001" customHeight="1">
      <c r="A201" s="17" t="s">
        <v>195</v>
      </c>
      <c r="B201" s="19" t="e">
        <f t="shared" ca="1" si="233"/>
        <v>#NAME?</v>
      </c>
      <c r="C201" s="14" t="e">
        <f t="shared" ca="1" si="234"/>
        <v>#NAME?</v>
      </c>
      <c r="D201" s="21"/>
      <c r="E201" s="21" t="s">
        <v>196</v>
      </c>
      <c r="F201" s="22">
        <v>44400</v>
      </c>
      <c r="G201" s="23" t="s">
        <v>19</v>
      </c>
    </row>
    <row r="202" spans="1:7" ht="9.9499999999999993" customHeight="1">
      <c r="A202" s="18"/>
      <c r="B202" s="20"/>
      <c r="C202" s="15" t="str">
        <f t="shared" ref="C202" si="254">A201</f>
        <v>OP-10R-PWM-99</v>
      </c>
      <c r="D202" s="21"/>
      <c r="E202" s="21"/>
      <c r="F202" s="22"/>
      <c r="G202" s="24"/>
    </row>
    <row r="203" spans="1:7" ht="20.100000000000001" customHeight="1">
      <c r="A203" s="17" t="s">
        <v>197</v>
      </c>
      <c r="B203" s="19" t="e">
        <f t="shared" ca="1" si="233"/>
        <v>#NAME?</v>
      </c>
      <c r="C203" s="14" t="e">
        <f t="shared" ca="1" si="234"/>
        <v>#NAME?</v>
      </c>
      <c r="D203" s="21"/>
      <c r="E203" s="21" t="s">
        <v>196</v>
      </c>
      <c r="F203" s="22">
        <v>44400</v>
      </c>
      <c r="G203" s="23" t="s">
        <v>19</v>
      </c>
    </row>
    <row r="204" spans="1:7" ht="9.9499999999999993" customHeight="1">
      <c r="A204" s="18"/>
      <c r="B204" s="20"/>
      <c r="C204" s="15" t="str">
        <f t="shared" ref="C204" si="255">A203</f>
        <v>OP-10R-PWM-100</v>
      </c>
      <c r="D204" s="21"/>
      <c r="E204" s="21"/>
      <c r="F204" s="22"/>
      <c r="G204" s="24"/>
    </row>
    <row r="205" spans="1:7" ht="20.100000000000001" customHeight="1">
      <c r="A205" s="17" t="s">
        <v>198</v>
      </c>
      <c r="B205" s="19" t="e">
        <f t="shared" ca="1" si="233"/>
        <v>#NAME?</v>
      </c>
      <c r="C205" s="14" t="e">
        <f t="shared" ca="1" si="234"/>
        <v>#NAME?</v>
      </c>
      <c r="D205" s="21"/>
      <c r="E205" s="21" t="s">
        <v>196</v>
      </c>
      <c r="F205" s="22">
        <v>44400</v>
      </c>
      <c r="G205" s="23" t="s">
        <v>19</v>
      </c>
    </row>
    <row r="206" spans="1:7" ht="9.9499999999999993" customHeight="1">
      <c r="A206" s="18"/>
      <c r="B206" s="20"/>
      <c r="C206" s="15" t="str">
        <f t="shared" ref="C206" si="256">A205</f>
        <v>OP-10R-PWM-101</v>
      </c>
      <c r="D206" s="21"/>
      <c r="E206" s="21"/>
      <c r="F206" s="22"/>
      <c r="G206" s="24"/>
    </row>
    <row r="207" spans="1:7" ht="20.100000000000001" customHeight="1">
      <c r="A207" s="17" t="s">
        <v>199</v>
      </c>
      <c r="B207" s="19" t="e">
        <f t="shared" ca="1" si="233"/>
        <v>#NAME?</v>
      </c>
      <c r="C207" s="14" t="e">
        <f t="shared" ca="1" si="234"/>
        <v>#NAME?</v>
      </c>
      <c r="D207" s="21"/>
      <c r="E207" s="21" t="s">
        <v>196</v>
      </c>
      <c r="F207" s="22">
        <v>44400</v>
      </c>
      <c r="G207" s="23" t="s">
        <v>19</v>
      </c>
    </row>
    <row r="208" spans="1:7" ht="9.9499999999999993" customHeight="1">
      <c r="A208" s="18"/>
      <c r="B208" s="20"/>
      <c r="C208" s="15" t="str">
        <f t="shared" ref="C208" si="257">A207</f>
        <v>OP-10R-PWM-102</v>
      </c>
      <c r="D208" s="21"/>
      <c r="E208" s="21"/>
      <c r="F208" s="22"/>
      <c r="G208" s="24"/>
    </row>
    <row r="209" spans="1:7" ht="20.100000000000001" customHeight="1">
      <c r="A209" s="17" t="s">
        <v>200</v>
      </c>
      <c r="B209" s="19" t="e">
        <f t="shared" ca="1" si="233"/>
        <v>#NAME?</v>
      </c>
      <c r="C209" s="14" t="e">
        <f t="shared" ca="1" si="234"/>
        <v>#NAME?</v>
      </c>
      <c r="D209" s="21"/>
      <c r="E209" s="21" t="s">
        <v>196</v>
      </c>
      <c r="F209" s="22">
        <v>44400</v>
      </c>
      <c r="G209" s="23" t="s">
        <v>19</v>
      </c>
    </row>
    <row r="210" spans="1:7" ht="9.9499999999999993" customHeight="1">
      <c r="A210" s="18"/>
      <c r="B210" s="20"/>
      <c r="C210" s="15" t="str">
        <f t="shared" ref="C210" si="258">A209</f>
        <v>OP-10R-PWM-103</v>
      </c>
      <c r="D210" s="21"/>
      <c r="E210" s="21"/>
      <c r="F210" s="22"/>
      <c r="G210" s="24"/>
    </row>
    <row r="211" spans="1:7" ht="20.100000000000001" customHeight="1">
      <c r="A211" s="17" t="s">
        <v>201</v>
      </c>
      <c r="B211" s="19" t="e">
        <f t="shared" ca="1" si="233"/>
        <v>#NAME?</v>
      </c>
      <c r="C211" s="14" t="e">
        <f t="shared" ca="1" si="234"/>
        <v>#NAME?</v>
      </c>
      <c r="D211" s="21"/>
      <c r="E211" s="21" t="s">
        <v>196</v>
      </c>
      <c r="F211" s="22">
        <v>44400</v>
      </c>
      <c r="G211" s="23" t="s">
        <v>19</v>
      </c>
    </row>
    <row r="212" spans="1:7" ht="9.9499999999999993" customHeight="1">
      <c r="A212" s="18"/>
      <c r="B212" s="20"/>
      <c r="C212" s="15" t="str">
        <f t="shared" ref="C212" si="259">A211</f>
        <v>OP-10R-PWM-104</v>
      </c>
      <c r="D212" s="21"/>
      <c r="E212" s="21"/>
      <c r="F212" s="22"/>
      <c r="G212" s="24"/>
    </row>
    <row r="213" spans="1:7" ht="20.100000000000001" customHeight="1">
      <c r="A213" s="17" t="s">
        <v>202</v>
      </c>
      <c r="B213" s="19" t="e">
        <f t="shared" ca="1" si="233"/>
        <v>#NAME?</v>
      </c>
      <c r="C213" s="14" t="e">
        <f t="shared" ca="1" si="234"/>
        <v>#NAME?</v>
      </c>
      <c r="D213" s="21"/>
      <c r="E213" s="21" t="s">
        <v>196</v>
      </c>
      <c r="F213" s="22">
        <v>44400</v>
      </c>
      <c r="G213" s="23" t="s">
        <v>19</v>
      </c>
    </row>
    <row r="214" spans="1:7" ht="9.9499999999999993" customHeight="1">
      <c r="A214" s="18"/>
      <c r="B214" s="20"/>
      <c r="C214" s="15" t="str">
        <f t="shared" ref="C214" si="260">A213</f>
        <v>OP-10R-PWM-105</v>
      </c>
      <c r="D214" s="21"/>
      <c r="E214" s="21"/>
      <c r="F214" s="22"/>
      <c r="G214" s="24"/>
    </row>
  </sheetData>
  <mergeCells count="630">
    <mergeCell ref="A213:A214"/>
    <mergeCell ref="B213:B214"/>
    <mergeCell ref="D213:D214"/>
    <mergeCell ref="E213:E214"/>
    <mergeCell ref="F213:F214"/>
    <mergeCell ref="G213:G214"/>
    <mergeCell ref="A211:A212"/>
    <mergeCell ref="B211:B212"/>
    <mergeCell ref="D211:D212"/>
    <mergeCell ref="E211:E212"/>
    <mergeCell ref="F211:F212"/>
    <mergeCell ref="G211:G212"/>
    <mergeCell ref="A209:A210"/>
    <mergeCell ref="B209:B210"/>
    <mergeCell ref="D209:D210"/>
    <mergeCell ref="E209:E210"/>
    <mergeCell ref="F209:F210"/>
    <mergeCell ref="G209:G210"/>
    <mergeCell ref="A207:A208"/>
    <mergeCell ref="B207:B208"/>
    <mergeCell ref="D207:D208"/>
    <mergeCell ref="E207:E208"/>
    <mergeCell ref="F207:F208"/>
    <mergeCell ref="G207:G208"/>
    <mergeCell ref="A205:A206"/>
    <mergeCell ref="B205:B206"/>
    <mergeCell ref="D205:D206"/>
    <mergeCell ref="E205:E206"/>
    <mergeCell ref="F205:F206"/>
    <mergeCell ref="G205:G206"/>
    <mergeCell ref="A203:A204"/>
    <mergeCell ref="B203:B204"/>
    <mergeCell ref="D203:D204"/>
    <mergeCell ref="E203:E204"/>
    <mergeCell ref="F203:F204"/>
    <mergeCell ref="G203:G204"/>
    <mergeCell ref="A201:A202"/>
    <mergeCell ref="B201:B202"/>
    <mergeCell ref="D201:D202"/>
    <mergeCell ref="E201:E202"/>
    <mergeCell ref="F201:F202"/>
    <mergeCell ref="G201:G202"/>
    <mergeCell ref="A199:A200"/>
    <mergeCell ref="B199:B200"/>
    <mergeCell ref="D199:D200"/>
    <mergeCell ref="E199:E200"/>
    <mergeCell ref="F199:F200"/>
    <mergeCell ref="G199:G200"/>
    <mergeCell ref="A197:A198"/>
    <mergeCell ref="B197:B198"/>
    <mergeCell ref="D197:D198"/>
    <mergeCell ref="E197:E198"/>
    <mergeCell ref="F197:F198"/>
    <mergeCell ref="G197:G198"/>
    <mergeCell ref="A195:A196"/>
    <mergeCell ref="B195:B196"/>
    <mergeCell ref="D195:D196"/>
    <mergeCell ref="E195:E196"/>
    <mergeCell ref="F195:F196"/>
    <mergeCell ref="G195:G196"/>
    <mergeCell ref="A193:A194"/>
    <mergeCell ref="B193:B194"/>
    <mergeCell ref="D193:D194"/>
    <mergeCell ref="E193:E194"/>
    <mergeCell ref="F193:F194"/>
    <mergeCell ref="G193:G194"/>
    <mergeCell ref="A191:A192"/>
    <mergeCell ref="B191:B192"/>
    <mergeCell ref="D191:D192"/>
    <mergeCell ref="E191:E192"/>
    <mergeCell ref="F191:F192"/>
    <mergeCell ref="G191:G192"/>
    <mergeCell ref="A189:A190"/>
    <mergeCell ref="B189:B190"/>
    <mergeCell ref="D189:D190"/>
    <mergeCell ref="E189:E190"/>
    <mergeCell ref="F189:F190"/>
    <mergeCell ref="G189:G190"/>
    <mergeCell ref="A187:A188"/>
    <mergeCell ref="B187:B188"/>
    <mergeCell ref="D187:D188"/>
    <mergeCell ref="E187:E188"/>
    <mergeCell ref="F187:F188"/>
    <mergeCell ref="G187:G188"/>
    <mergeCell ref="A185:A186"/>
    <mergeCell ref="B185:B186"/>
    <mergeCell ref="D185:D186"/>
    <mergeCell ref="E185:E186"/>
    <mergeCell ref="F185:F186"/>
    <mergeCell ref="G185:G186"/>
    <mergeCell ref="A183:A184"/>
    <mergeCell ref="B183:B184"/>
    <mergeCell ref="D183:D184"/>
    <mergeCell ref="E183:E184"/>
    <mergeCell ref="F183:F184"/>
    <mergeCell ref="G183:G184"/>
    <mergeCell ref="A181:A182"/>
    <mergeCell ref="B181:B182"/>
    <mergeCell ref="D181:D182"/>
    <mergeCell ref="E181:E182"/>
    <mergeCell ref="F181:F182"/>
    <mergeCell ref="G181:G182"/>
    <mergeCell ref="A179:A180"/>
    <mergeCell ref="B179:B180"/>
    <mergeCell ref="D179:D180"/>
    <mergeCell ref="E179:E180"/>
    <mergeCell ref="F179:F180"/>
    <mergeCell ref="G179:G180"/>
    <mergeCell ref="A177:A178"/>
    <mergeCell ref="B177:B178"/>
    <mergeCell ref="D177:D178"/>
    <mergeCell ref="E177:E178"/>
    <mergeCell ref="F177:F178"/>
    <mergeCell ref="G177:G178"/>
    <mergeCell ref="A175:A176"/>
    <mergeCell ref="B175:B176"/>
    <mergeCell ref="D175:D176"/>
    <mergeCell ref="E175:E176"/>
    <mergeCell ref="F175:F176"/>
    <mergeCell ref="G175:G176"/>
    <mergeCell ref="A173:A174"/>
    <mergeCell ref="B173:B174"/>
    <mergeCell ref="D173:D174"/>
    <mergeCell ref="E173:E174"/>
    <mergeCell ref="F173:F174"/>
    <mergeCell ref="G173:G174"/>
    <mergeCell ref="A171:A172"/>
    <mergeCell ref="B171:B172"/>
    <mergeCell ref="D171:D172"/>
    <mergeCell ref="E171:E172"/>
    <mergeCell ref="F171:F172"/>
    <mergeCell ref="G171:G172"/>
    <mergeCell ref="A169:A170"/>
    <mergeCell ref="B169:B170"/>
    <mergeCell ref="D169:D170"/>
    <mergeCell ref="E169:E170"/>
    <mergeCell ref="F169:F170"/>
    <mergeCell ref="G169:G170"/>
    <mergeCell ref="A167:A168"/>
    <mergeCell ref="B167:B168"/>
    <mergeCell ref="D167:D168"/>
    <mergeCell ref="E167:E168"/>
    <mergeCell ref="F167:F168"/>
    <mergeCell ref="G167:G168"/>
    <mergeCell ref="A165:A166"/>
    <mergeCell ref="B165:B166"/>
    <mergeCell ref="D165:D166"/>
    <mergeCell ref="E165:E166"/>
    <mergeCell ref="F165:F166"/>
    <mergeCell ref="G165:G166"/>
    <mergeCell ref="A163:A164"/>
    <mergeCell ref="B163:B164"/>
    <mergeCell ref="D163:D164"/>
    <mergeCell ref="E163:E164"/>
    <mergeCell ref="F163:F164"/>
    <mergeCell ref="G163:G164"/>
    <mergeCell ref="A161:A162"/>
    <mergeCell ref="B161:B162"/>
    <mergeCell ref="D161:D162"/>
    <mergeCell ref="E161:E162"/>
    <mergeCell ref="F161:F162"/>
    <mergeCell ref="G161:G162"/>
    <mergeCell ref="A159:A160"/>
    <mergeCell ref="B159:B160"/>
    <mergeCell ref="D159:D160"/>
    <mergeCell ref="E159:E160"/>
    <mergeCell ref="F159:F160"/>
    <mergeCell ref="G159:G160"/>
    <mergeCell ref="A157:A158"/>
    <mergeCell ref="B157:B158"/>
    <mergeCell ref="D157:D158"/>
    <mergeCell ref="E157:E158"/>
    <mergeCell ref="F157:F158"/>
    <mergeCell ref="G157:G158"/>
    <mergeCell ref="A155:A156"/>
    <mergeCell ref="B155:B156"/>
    <mergeCell ref="D155:D156"/>
    <mergeCell ref="E155:E156"/>
    <mergeCell ref="F155:F156"/>
    <mergeCell ref="G155:G156"/>
    <mergeCell ref="A153:A154"/>
    <mergeCell ref="B153:B154"/>
    <mergeCell ref="D153:D154"/>
    <mergeCell ref="E153:E154"/>
    <mergeCell ref="F153:F154"/>
    <mergeCell ref="G153:G154"/>
    <mergeCell ref="A151:A152"/>
    <mergeCell ref="B151:B152"/>
    <mergeCell ref="D151:D152"/>
    <mergeCell ref="E151:E152"/>
    <mergeCell ref="F151:F152"/>
    <mergeCell ref="G151:G152"/>
    <mergeCell ref="A149:A150"/>
    <mergeCell ref="B149:B150"/>
    <mergeCell ref="D149:D150"/>
    <mergeCell ref="E149:E150"/>
    <mergeCell ref="F149:F150"/>
    <mergeCell ref="G149:G150"/>
    <mergeCell ref="A147:A148"/>
    <mergeCell ref="B147:B148"/>
    <mergeCell ref="D147:D148"/>
    <mergeCell ref="E147:E148"/>
    <mergeCell ref="F147:F148"/>
    <mergeCell ref="G147:G148"/>
    <mergeCell ref="A145:A146"/>
    <mergeCell ref="B145:B146"/>
    <mergeCell ref="D145:D146"/>
    <mergeCell ref="E145:E146"/>
    <mergeCell ref="F145:F146"/>
    <mergeCell ref="G145:G146"/>
    <mergeCell ref="A143:A144"/>
    <mergeCell ref="B143:B144"/>
    <mergeCell ref="D143:D144"/>
    <mergeCell ref="E143:E144"/>
    <mergeCell ref="F143:F144"/>
    <mergeCell ref="G143:G144"/>
    <mergeCell ref="A141:A142"/>
    <mergeCell ref="B141:B142"/>
    <mergeCell ref="D141:D142"/>
    <mergeCell ref="E141:E142"/>
    <mergeCell ref="F141:F142"/>
    <mergeCell ref="G141:G142"/>
    <mergeCell ref="A139:A140"/>
    <mergeCell ref="B139:B140"/>
    <mergeCell ref="D139:D140"/>
    <mergeCell ref="E139:E140"/>
    <mergeCell ref="F139:F140"/>
    <mergeCell ref="G139:G140"/>
    <mergeCell ref="A137:A138"/>
    <mergeCell ref="B137:B138"/>
    <mergeCell ref="D137:D138"/>
    <mergeCell ref="E137:E138"/>
    <mergeCell ref="F137:F138"/>
    <mergeCell ref="G137:G138"/>
    <mergeCell ref="A135:A136"/>
    <mergeCell ref="B135:B136"/>
    <mergeCell ref="D135:D136"/>
    <mergeCell ref="E135:E136"/>
    <mergeCell ref="F135:F136"/>
    <mergeCell ref="G135:G136"/>
    <mergeCell ref="A133:A134"/>
    <mergeCell ref="B133:B134"/>
    <mergeCell ref="D133:D134"/>
    <mergeCell ref="E133:E134"/>
    <mergeCell ref="F133:F134"/>
    <mergeCell ref="G133:G134"/>
    <mergeCell ref="A131:A132"/>
    <mergeCell ref="B131:B132"/>
    <mergeCell ref="D131:D132"/>
    <mergeCell ref="E131:E132"/>
    <mergeCell ref="F131:F132"/>
    <mergeCell ref="G131:G132"/>
    <mergeCell ref="A129:A130"/>
    <mergeCell ref="B129:B130"/>
    <mergeCell ref="D129:D130"/>
    <mergeCell ref="E129:E130"/>
    <mergeCell ref="F129:F130"/>
    <mergeCell ref="G129:G130"/>
    <mergeCell ref="A127:A128"/>
    <mergeCell ref="B127:B128"/>
    <mergeCell ref="D127:D128"/>
    <mergeCell ref="E127:E128"/>
    <mergeCell ref="F127:F128"/>
    <mergeCell ref="G127:G128"/>
    <mergeCell ref="A125:A126"/>
    <mergeCell ref="B125:B126"/>
    <mergeCell ref="D125:D126"/>
    <mergeCell ref="E125:E126"/>
    <mergeCell ref="F125:F126"/>
    <mergeCell ref="G125:G126"/>
    <mergeCell ref="A123:A124"/>
    <mergeCell ref="B123:B124"/>
    <mergeCell ref="D123:D124"/>
    <mergeCell ref="E123:E124"/>
    <mergeCell ref="F123:F124"/>
    <mergeCell ref="G123:G124"/>
    <mergeCell ref="A121:A122"/>
    <mergeCell ref="B121:B122"/>
    <mergeCell ref="D121:D122"/>
    <mergeCell ref="E121:E122"/>
    <mergeCell ref="F121:F122"/>
    <mergeCell ref="G121:G122"/>
    <mergeCell ref="A119:A120"/>
    <mergeCell ref="B119:B120"/>
    <mergeCell ref="D119:D120"/>
    <mergeCell ref="E119:E120"/>
    <mergeCell ref="F119:F120"/>
    <mergeCell ref="G119:G120"/>
    <mergeCell ref="A117:A118"/>
    <mergeCell ref="B117:B118"/>
    <mergeCell ref="D117:D118"/>
    <mergeCell ref="E117:E118"/>
    <mergeCell ref="F117:F118"/>
    <mergeCell ref="G117:G118"/>
    <mergeCell ref="A115:A116"/>
    <mergeCell ref="B115:B116"/>
    <mergeCell ref="D115:D116"/>
    <mergeCell ref="E115:E116"/>
    <mergeCell ref="F115:F116"/>
    <mergeCell ref="G115:G116"/>
    <mergeCell ref="A113:A114"/>
    <mergeCell ref="B113:B114"/>
    <mergeCell ref="D113:D114"/>
    <mergeCell ref="E113:E114"/>
    <mergeCell ref="F113:F114"/>
    <mergeCell ref="G113:G114"/>
    <mergeCell ref="A111:A112"/>
    <mergeCell ref="B111:B112"/>
    <mergeCell ref="D111:D112"/>
    <mergeCell ref="E111:E112"/>
    <mergeCell ref="F111:F112"/>
    <mergeCell ref="G111:G112"/>
    <mergeCell ref="A109:A110"/>
    <mergeCell ref="B109:B110"/>
    <mergeCell ref="D109:D110"/>
    <mergeCell ref="E109:E110"/>
    <mergeCell ref="F109:F110"/>
    <mergeCell ref="G109:G110"/>
    <mergeCell ref="A107:A108"/>
    <mergeCell ref="B107:B108"/>
    <mergeCell ref="D107:D108"/>
    <mergeCell ref="E107:E108"/>
    <mergeCell ref="F107:F108"/>
    <mergeCell ref="G107:G108"/>
    <mergeCell ref="A105:A106"/>
    <mergeCell ref="B105:B106"/>
    <mergeCell ref="D105:D106"/>
    <mergeCell ref="E105:E106"/>
    <mergeCell ref="F105:F106"/>
    <mergeCell ref="G105:G106"/>
    <mergeCell ref="A103:A104"/>
    <mergeCell ref="B103:B104"/>
    <mergeCell ref="D103:D104"/>
    <mergeCell ref="E103:E104"/>
    <mergeCell ref="F103:F104"/>
    <mergeCell ref="G103:G104"/>
    <mergeCell ref="A101:A102"/>
    <mergeCell ref="B101:B102"/>
    <mergeCell ref="D101:D102"/>
    <mergeCell ref="E101:E102"/>
    <mergeCell ref="F101:F102"/>
    <mergeCell ref="G101:G102"/>
    <mergeCell ref="A99:A100"/>
    <mergeCell ref="B99:B100"/>
    <mergeCell ref="D99:D100"/>
    <mergeCell ref="E99:E100"/>
    <mergeCell ref="F99:F100"/>
    <mergeCell ref="G99:G100"/>
    <mergeCell ref="A97:A98"/>
    <mergeCell ref="B97:B98"/>
    <mergeCell ref="D97:D98"/>
    <mergeCell ref="E97:E98"/>
    <mergeCell ref="F97:F98"/>
    <mergeCell ref="G97:G98"/>
    <mergeCell ref="A95:A96"/>
    <mergeCell ref="B95:B96"/>
    <mergeCell ref="D95:D96"/>
    <mergeCell ref="E95:E96"/>
    <mergeCell ref="F95:F96"/>
    <mergeCell ref="G95:G96"/>
    <mergeCell ref="A93:A94"/>
    <mergeCell ref="B93:B94"/>
    <mergeCell ref="D93:D94"/>
    <mergeCell ref="E93:E94"/>
    <mergeCell ref="F93:F94"/>
    <mergeCell ref="G93:G94"/>
    <mergeCell ref="A91:A92"/>
    <mergeCell ref="B91:B92"/>
    <mergeCell ref="D91:D92"/>
    <mergeCell ref="E91:E92"/>
    <mergeCell ref="F91:F92"/>
    <mergeCell ref="G91:G92"/>
    <mergeCell ref="A89:A90"/>
    <mergeCell ref="B89:B90"/>
    <mergeCell ref="D89:D90"/>
    <mergeCell ref="E89:E90"/>
    <mergeCell ref="F89:F90"/>
    <mergeCell ref="G89:G90"/>
    <mergeCell ref="A87:A88"/>
    <mergeCell ref="B87:B88"/>
    <mergeCell ref="D87:D88"/>
    <mergeCell ref="E87:E88"/>
    <mergeCell ref="F87:F88"/>
    <mergeCell ref="G87:G88"/>
    <mergeCell ref="A85:A86"/>
    <mergeCell ref="B85:B86"/>
    <mergeCell ref="D85:D86"/>
    <mergeCell ref="E85:E86"/>
    <mergeCell ref="F85:F86"/>
    <mergeCell ref="G85:G86"/>
    <mergeCell ref="A83:A84"/>
    <mergeCell ref="B83:B84"/>
    <mergeCell ref="D83:D84"/>
    <mergeCell ref="E83:E84"/>
    <mergeCell ref="F83:F84"/>
    <mergeCell ref="G83:G84"/>
    <mergeCell ref="A81:A82"/>
    <mergeCell ref="B81:B82"/>
    <mergeCell ref="D81:D82"/>
    <mergeCell ref="E81:E82"/>
    <mergeCell ref="F81:F82"/>
    <mergeCell ref="G81:G82"/>
    <mergeCell ref="A79:A80"/>
    <mergeCell ref="B79:B80"/>
    <mergeCell ref="D79:D80"/>
    <mergeCell ref="E79:E80"/>
    <mergeCell ref="F79:F80"/>
    <mergeCell ref="G79:G80"/>
    <mergeCell ref="A77:A78"/>
    <mergeCell ref="B77:B78"/>
    <mergeCell ref="D77:D78"/>
    <mergeCell ref="E77:E78"/>
    <mergeCell ref="F77:F78"/>
    <mergeCell ref="G77:G78"/>
    <mergeCell ref="A75:A76"/>
    <mergeCell ref="B75:B76"/>
    <mergeCell ref="D75:D76"/>
    <mergeCell ref="E75:E76"/>
    <mergeCell ref="F75:F76"/>
    <mergeCell ref="G75:G76"/>
    <mergeCell ref="A73:A74"/>
    <mergeCell ref="B73:B74"/>
    <mergeCell ref="D73:D74"/>
    <mergeCell ref="E73:E74"/>
    <mergeCell ref="F73:F74"/>
    <mergeCell ref="G73:G74"/>
    <mergeCell ref="A71:A72"/>
    <mergeCell ref="B71:B72"/>
    <mergeCell ref="D71:D72"/>
    <mergeCell ref="E71:E72"/>
    <mergeCell ref="F71:F72"/>
    <mergeCell ref="G71:G72"/>
    <mergeCell ref="A69:A70"/>
    <mergeCell ref="B69:B70"/>
    <mergeCell ref="D69:D70"/>
    <mergeCell ref="E69:E70"/>
    <mergeCell ref="F69:F70"/>
    <mergeCell ref="G69:G70"/>
    <mergeCell ref="A67:A68"/>
    <mergeCell ref="B67:B68"/>
    <mergeCell ref="D67:D68"/>
    <mergeCell ref="E67:E68"/>
    <mergeCell ref="F67:F68"/>
    <mergeCell ref="G67:G68"/>
    <mergeCell ref="A65:A66"/>
    <mergeCell ref="B65:B66"/>
    <mergeCell ref="D65:D66"/>
    <mergeCell ref="E65:E66"/>
    <mergeCell ref="F65:F66"/>
    <mergeCell ref="G65:G66"/>
    <mergeCell ref="A63:A64"/>
    <mergeCell ref="B63:B64"/>
    <mergeCell ref="D63:D64"/>
    <mergeCell ref="E63:E64"/>
    <mergeCell ref="F63:F64"/>
    <mergeCell ref="G63:G64"/>
    <mergeCell ref="A61:A62"/>
    <mergeCell ref="B61:B62"/>
    <mergeCell ref="D61:D62"/>
    <mergeCell ref="E61:E62"/>
    <mergeCell ref="F61:F62"/>
    <mergeCell ref="G61:G62"/>
    <mergeCell ref="A59:A60"/>
    <mergeCell ref="B59:B60"/>
    <mergeCell ref="D59:D60"/>
    <mergeCell ref="E59:E60"/>
    <mergeCell ref="F59:F60"/>
    <mergeCell ref="G59:G60"/>
    <mergeCell ref="A57:A58"/>
    <mergeCell ref="B57:B58"/>
    <mergeCell ref="D57:D58"/>
    <mergeCell ref="E57:E58"/>
    <mergeCell ref="F57:F58"/>
    <mergeCell ref="G57:G58"/>
    <mergeCell ref="A55:A56"/>
    <mergeCell ref="B55:B56"/>
    <mergeCell ref="D55:D56"/>
    <mergeCell ref="E55:E56"/>
    <mergeCell ref="F55:F56"/>
    <mergeCell ref="G55:G56"/>
    <mergeCell ref="A53:A54"/>
    <mergeCell ref="B53:B54"/>
    <mergeCell ref="D53:D54"/>
    <mergeCell ref="E53:E54"/>
    <mergeCell ref="F53:F54"/>
    <mergeCell ref="G53:G54"/>
    <mergeCell ref="A51:A52"/>
    <mergeCell ref="B51:B52"/>
    <mergeCell ref="D51:D52"/>
    <mergeCell ref="E51:E52"/>
    <mergeCell ref="F51:F52"/>
    <mergeCell ref="G51:G52"/>
    <mergeCell ref="A49:A50"/>
    <mergeCell ref="B49:B50"/>
    <mergeCell ref="D49:D50"/>
    <mergeCell ref="E49:E50"/>
    <mergeCell ref="F49:F50"/>
    <mergeCell ref="G49:G50"/>
    <mergeCell ref="A47:A48"/>
    <mergeCell ref="B47:B48"/>
    <mergeCell ref="D47:D48"/>
    <mergeCell ref="E47:E48"/>
    <mergeCell ref="F47:F48"/>
    <mergeCell ref="G47:G48"/>
    <mergeCell ref="A45:A46"/>
    <mergeCell ref="B45:B46"/>
    <mergeCell ref="D45:D46"/>
    <mergeCell ref="E45:E46"/>
    <mergeCell ref="F45:F46"/>
    <mergeCell ref="G45:G46"/>
    <mergeCell ref="A43:A44"/>
    <mergeCell ref="B43:B44"/>
    <mergeCell ref="D43:D44"/>
    <mergeCell ref="E43:E44"/>
    <mergeCell ref="F43:F44"/>
    <mergeCell ref="G43:G44"/>
    <mergeCell ref="A41:A42"/>
    <mergeCell ref="B41:B42"/>
    <mergeCell ref="D41:D42"/>
    <mergeCell ref="E41:E42"/>
    <mergeCell ref="F41:F42"/>
    <mergeCell ref="G41:G42"/>
    <mergeCell ref="A39:A40"/>
    <mergeCell ref="B39:B40"/>
    <mergeCell ref="D39:D40"/>
    <mergeCell ref="E39:E40"/>
    <mergeCell ref="F39:F40"/>
    <mergeCell ref="G39:G40"/>
    <mergeCell ref="A37:A38"/>
    <mergeCell ref="B37:B38"/>
    <mergeCell ref="D37:D38"/>
    <mergeCell ref="E37:E38"/>
    <mergeCell ref="F37:F38"/>
    <mergeCell ref="G37:G38"/>
    <mergeCell ref="A35:A36"/>
    <mergeCell ref="B35:B36"/>
    <mergeCell ref="D35:D36"/>
    <mergeCell ref="E35:E36"/>
    <mergeCell ref="F35:F36"/>
    <mergeCell ref="G35:G36"/>
    <mergeCell ref="A33:A34"/>
    <mergeCell ref="B33:B34"/>
    <mergeCell ref="D33:D34"/>
    <mergeCell ref="E33:E34"/>
    <mergeCell ref="F33:F34"/>
    <mergeCell ref="G33:G34"/>
    <mergeCell ref="A31:A32"/>
    <mergeCell ref="B31:B32"/>
    <mergeCell ref="D31:D32"/>
    <mergeCell ref="E31:E32"/>
    <mergeCell ref="F31:F32"/>
    <mergeCell ref="G31:G32"/>
    <mergeCell ref="A29:A30"/>
    <mergeCell ref="B29:B30"/>
    <mergeCell ref="D29:D30"/>
    <mergeCell ref="E29:E30"/>
    <mergeCell ref="F29:F30"/>
    <mergeCell ref="G29:G30"/>
    <mergeCell ref="A27:A28"/>
    <mergeCell ref="B27:B28"/>
    <mergeCell ref="D27:D28"/>
    <mergeCell ref="E27:E28"/>
    <mergeCell ref="F27:F28"/>
    <mergeCell ref="G27:G28"/>
    <mergeCell ref="A25:A26"/>
    <mergeCell ref="B25:B26"/>
    <mergeCell ref="D25:D26"/>
    <mergeCell ref="E25:E26"/>
    <mergeCell ref="F25:F26"/>
    <mergeCell ref="G25:G26"/>
    <mergeCell ref="A23:A24"/>
    <mergeCell ref="B23:B24"/>
    <mergeCell ref="D23:D24"/>
    <mergeCell ref="E23:E24"/>
    <mergeCell ref="F23:F24"/>
    <mergeCell ref="G23:G24"/>
    <mergeCell ref="A21:A22"/>
    <mergeCell ref="B21:B22"/>
    <mergeCell ref="D21:D22"/>
    <mergeCell ref="E21:E22"/>
    <mergeCell ref="F21:F22"/>
    <mergeCell ref="G21:G22"/>
    <mergeCell ref="A19:A20"/>
    <mergeCell ref="B19:B20"/>
    <mergeCell ref="D19:D20"/>
    <mergeCell ref="E19:E20"/>
    <mergeCell ref="F19:F20"/>
    <mergeCell ref="G19:G20"/>
    <mergeCell ref="A17:A18"/>
    <mergeCell ref="B17:B18"/>
    <mergeCell ref="D17:D18"/>
    <mergeCell ref="E17:E18"/>
    <mergeCell ref="F17:F18"/>
    <mergeCell ref="G17:G18"/>
    <mergeCell ref="A15:A16"/>
    <mergeCell ref="B15:B16"/>
    <mergeCell ref="D15:D16"/>
    <mergeCell ref="E15:E16"/>
    <mergeCell ref="F15:F16"/>
    <mergeCell ref="G15:G16"/>
    <mergeCell ref="A13:A14"/>
    <mergeCell ref="B13:B14"/>
    <mergeCell ref="D13:D14"/>
    <mergeCell ref="E13:E14"/>
    <mergeCell ref="F13:F14"/>
    <mergeCell ref="G13:G14"/>
    <mergeCell ref="A11:A12"/>
    <mergeCell ref="B11:B12"/>
    <mergeCell ref="D11:D12"/>
    <mergeCell ref="E11:E12"/>
    <mergeCell ref="F11:F12"/>
    <mergeCell ref="G11:G12"/>
    <mergeCell ref="A5:A6"/>
    <mergeCell ref="B5:B6"/>
    <mergeCell ref="D5:D6"/>
    <mergeCell ref="E5:E6"/>
    <mergeCell ref="F5:F6"/>
    <mergeCell ref="G5:G6"/>
    <mergeCell ref="A9:A10"/>
    <mergeCell ref="B9:B10"/>
    <mergeCell ref="D9:D10"/>
    <mergeCell ref="E9:E10"/>
    <mergeCell ref="F9:F10"/>
    <mergeCell ref="G9:G10"/>
    <mergeCell ref="A7:A8"/>
    <mergeCell ref="B7:B8"/>
    <mergeCell ref="D7:D8"/>
    <mergeCell ref="E7:E8"/>
    <mergeCell ref="F7:F8"/>
    <mergeCell ref="G7:G8"/>
  </mergeCells>
  <conditionalFormatting sqref="A5:G5 A6:D6 F6:G6 E7 F7:F120 G7:G16">
    <cfRule type="expression" dxfId="40" priority="4">
      <formula>$G5="A"</formula>
    </cfRule>
  </conditionalFormatting>
  <conditionalFormatting sqref="A9:E9 A57:E57 A59:E59 A61:E61 A63:E63 A65:E65 A67:E67 A69:E69 A71:E71 A73:E73 A75:E75 A77:E77 A79:E79 A81:E81 A83:E83 A85:E85 A87:E87 A149:E149 A201:E201 A7:D8 A10:D56 A58:D58 A60:D60 A62:D62 A64:D64 A66:D66 A68:D68 A70:D70 A72:D72 A74:D74 A76:D76 A78:D78 A80:D80 A82:D82 A84:D84 A86:D86 A88:D148 A150:D200 A202:D214 E11 E13 E15 E17 E19 E21 E23 E25 E27 E29 E31 E33 E35 E37 E39 E41 E43 E45 E47 E49 E51 E53 E55 E89 E91 E93 E95 E97 E99 E101 E103 E105 E107 E109 E111 E113 E115 E117 E119 E121 E123 E125 E127 E129 E131 E133 E135 E137 E139 E141 E143 E145 E147 E151 E153 E155 E157 E159 E161 E163 E165 E167 E169 E171 E173 E175 E177 E179 E181 E183 E185 E187 E203 E205 E207 E209 E211 E213 G17:G120 F121:G214">
    <cfRule type="expression" dxfId="39" priority="3">
      <formula>$G7="A"</formula>
    </cfRule>
  </conditionalFormatting>
  <conditionalFormatting sqref="E189 E191 E193 E195 E197 E199">
    <cfRule type="expression" dxfId="38" priority="1">
      <formula>$G189="A"</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7"/>
  </sheetPr>
  <dimension ref="A1:G16"/>
  <sheetViews>
    <sheetView zoomScaleNormal="100" workbookViewId="0">
      <selection activeCell="D36" sqref="D36"/>
    </sheetView>
  </sheetViews>
  <sheetFormatPr defaultRowHeight="14.45"/>
  <cols>
    <col min="1" max="1" width="25.140625" bestFit="1" customWidth="1"/>
    <col min="2" max="2" width="27.5703125" bestFit="1" customWidth="1"/>
    <col min="3" max="3" width="26.28515625" customWidth="1"/>
    <col min="4" max="5" width="15.28515625" customWidth="1"/>
    <col min="6" max="6" width="19.42578125" customWidth="1"/>
    <col min="7" max="7" width="17.5703125" customWidth="1"/>
    <col min="8" max="8" width="14.85546875" customWidth="1"/>
    <col min="10" max="10" width="16.85546875" customWidth="1"/>
  </cols>
  <sheetData>
    <row r="1" spans="1:7" ht="35.25" customHeight="1">
      <c r="A1" s="1" t="s">
        <v>0</v>
      </c>
      <c r="B1" s="1" t="s">
        <v>1</v>
      </c>
      <c r="C1" s="2" t="s">
        <v>2</v>
      </c>
      <c r="D1" s="3" t="s">
        <v>3</v>
      </c>
      <c r="E1" s="4" t="s">
        <v>4</v>
      </c>
      <c r="F1" s="1" t="s">
        <v>5</v>
      </c>
    </row>
    <row r="2" spans="1:7">
      <c r="A2" s="5" t="s">
        <v>6</v>
      </c>
      <c r="B2" s="5" t="s">
        <v>93</v>
      </c>
      <c r="C2" s="6" t="s">
        <v>68</v>
      </c>
      <c r="D2" s="7"/>
      <c r="E2" s="8"/>
      <c r="F2" s="5"/>
    </row>
    <row r="4" spans="1:7" ht="43.15">
      <c r="A4" s="9" t="s">
        <v>8</v>
      </c>
      <c r="B4" s="9" t="s">
        <v>9</v>
      </c>
      <c r="C4" s="10" t="s">
        <v>10</v>
      </c>
      <c r="D4" s="11" t="s">
        <v>11</v>
      </c>
      <c r="E4" s="16" t="s">
        <v>12</v>
      </c>
      <c r="F4" s="12" t="s">
        <v>13</v>
      </c>
      <c r="G4" s="13" t="s">
        <v>14</v>
      </c>
    </row>
    <row r="5" spans="1:7" ht="20.100000000000001" customHeight="1">
      <c r="A5" s="17" t="s">
        <v>203</v>
      </c>
      <c r="B5" s="19" t="e">
        <f ca="1">Code128(A5)</f>
        <v>#NAME?</v>
      </c>
      <c r="C5" s="14" t="e">
        <f ca="1">B5</f>
        <v>#NAME?</v>
      </c>
      <c r="D5" s="21"/>
      <c r="E5" s="21"/>
      <c r="F5" s="22">
        <v>44399</v>
      </c>
      <c r="G5" s="23" t="s">
        <v>19</v>
      </c>
    </row>
    <row r="6" spans="1:7" ht="9.9499999999999993" customHeight="1">
      <c r="A6" s="18"/>
      <c r="B6" s="20"/>
      <c r="C6" s="15" t="str">
        <f>A5</f>
        <v>OP-10R-LIN-01</v>
      </c>
      <c r="D6" s="21"/>
      <c r="E6" s="21"/>
      <c r="F6" s="22"/>
      <c r="G6" s="24"/>
    </row>
    <row r="7" spans="1:7" ht="20.100000000000001" customHeight="1">
      <c r="A7" s="17" t="s">
        <v>204</v>
      </c>
      <c r="B7" s="19" t="e">
        <f t="shared" ref="B7" ca="1" si="0">Code128(A7)</f>
        <v>#NAME?</v>
      </c>
      <c r="C7" s="14" t="e">
        <f t="shared" ref="C7" ca="1" si="1">B7</f>
        <v>#NAME?</v>
      </c>
      <c r="D7" s="21"/>
      <c r="E7" s="21"/>
      <c r="F7" s="22">
        <v>44400</v>
      </c>
      <c r="G7" s="23" t="s">
        <v>19</v>
      </c>
    </row>
    <row r="8" spans="1:7" ht="9.9499999999999993" customHeight="1">
      <c r="A8" s="18"/>
      <c r="B8" s="20"/>
      <c r="C8" s="15" t="str">
        <f t="shared" ref="C8" si="2">A7</f>
        <v>OP-10R-LIN-02</v>
      </c>
      <c r="D8" s="21"/>
      <c r="E8" s="21"/>
      <c r="F8" s="22"/>
      <c r="G8" s="24"/>
    </row>
    <row r="9" spans="1:7" ht="20.100000000000001" customHeight="1">
      <c r="A9" s="17" t="s">
        <v>205</v>
      </c>
      <c r="B9" s="19" t="e">
        <f t="shared" ref="B9" ca="1" si="3">Code128(A9)</f>
        <v>#NAME?</v>
      </c>
      <c r="C9" s="14" t="e">
        <f t="shared" ref="C9" ca="1" si="4">B9</f>
        <v>#NAME?</v>
      </c>
      <c r="D9" s="21"/>
      <c r="E9" s="21"/>
      <c r="F9" s="22">
        <v>44400</v>
      </c>
      <c r="G9" s="23" t="s">
        <v>19</v>
      </c>
    </row>
    <row r="10" spans="1:7" ht="9.9499999999999993" customHeight="1">
      <c r="A10" s="18"/>
      <c r="B10" s="20"/>
      <c r="C10" s="15" t="str">
        <f t="shared" ref="C10" si="5">A9</f>
        <v>OP-10R-LIN-03</v>
      </c>
      <c r="D10" s="21"/>
      <c r="E10" s="21"/>
      <c r="F10" s="22"/>
      <c r="G10" s="24"/>
    </row>
    <row r="11" spans="1:7" ht="20.100000000000001" customHeight="1">
      <c r="A11" s="17" t="s">
        <v>206</v>
      </c>
      <c r="B11" s="19" t="e">
        <f t="shared" ref="B11" ca="1" si="6">Code128(A11)</f>
        <v>#NAME?</v>
      </c>
      <c r="C11" s="14" t="e">
        <f t="shared" ref="C11" ca="1" si="7">B11</f>
        <v>#NAME?</v>
      </c>
      <c r="D11" s="21"/>
      <c r="E11" s="21"/>
      <c r="F11" s="22">
        <v>44400</v>
      </c>
      <c r="G11" s="23" t="s">
        <v>19</v>
      </c>
    </row>
    <row r="12" spans="1:7" ht="9.9499999999999993" customHeight="1">
      <c r="A12" s="18"/>
      <c r="B12" s="20"/>
      <c r="C12" s="15" t="str">
        <f t="shared" ref="C12" si="8">A11</f>
        <v>OP-10R-LIN-04</v>
      </c>
      <c r="D12" s="21"/>
      <c r="E12" s="21"/>
      <c r="F12" s="22"/>
      <c r="G12" s="24"/>
    </row>
    <row r="13" spans="1:7" ht="20.100000000000001" customHeight="1">
      <c r="A13" s="17" t="s">
        <v>207</v>
      </c>
      <c r="B13" s="19" t="e">
        <f t="shared" ref="B13" ca="1" si="9">Code128(A13)</f>
        <v>#NAME?</v>
      </c>
      <c r="C13" s="14" t="e">
        <f t="shared" ref="C13" ca="1" si="10">B13</f>
        <v>#NAME?</v>
      </c>
      <c r="D13" s="21"/>
      <c r="E13" s="21"/>
      <c r="F13" s="22">
        <v>44435</v>
      </c>
      <c r="G13" s="23" t="s">
        <v>19</v>
      </c>
    </row>
    <row r="14" spans="1:7" ht="9.9499999999999993" customHeight="1">
      <c r="A14" s="18"/>
      <c r="B14" s="20"/>
      <c r="C14" s="15" t="str">
        <f t="shared" ref="C14" si="11">A13</f>
        <v>OP-10R-LIN-05</v>
      </c>
      <c r="D14" s="21"/>
      <c r="E14" s="21"/>
      <c r="F14" s="22"/>
      <c r="G14" s="24"/>
    </row>
    <row r="15" spans="1:7" ht="20.100000000000001" customHeight="1">
      <c r="A15" s="17" t="s">
        <v>208</v>
      </c>
      <c r="B15" s="19" t="e">
        <f t="shared" ref="B15" ca="1" si="12">Code128(A15)</f>
        <v>#NAME?</v>
      </c>
      <c r="C15" s="14" t="e">
        <f t="shared" ref="C15" ca="1" si="13">B15</f>
        <v>#NAME?</v>
      </c>
      <c r="D15" s="21"/>
      <c r="E15" s="21"/>
      <c r="F15" s="22">
        <v>44435</v>
      </c>
      <c r="G15" s="23" t="s">
        <v>19</v>
      </c>
    </row>
    <row r="16" spans="1:7" ht="9.9499999999999993" customHeight="1">
      <c r="A16" s="18"/>
      <c r="B16" s="20"/>
      <c r="C16" s="15" t="str">
        <f t="shared" ref="C16" si="14">A15</f>
        <v>OP-10R-LIN-06</v>
      </c>
      <c r="D16" s="21"/>
      <c r="E16" s="21"/>
      <c r="F16" s="22"/>
      <c r="G16" s="24"/>
    </row>
  </sheetData>
  <mergeCells count="36">
    <mergeCell ref="G15:G16"/>
    <mergeCell ref="A13:A14"/>
    <mergeCell ref="B13:B14"/>
    <mergeCell ref="D13:D14"/>
    <mergeCell ref="E13:E14"/>
    <mergeCell ref="F13:F14"/>
    <mergeCell ref="G13:G14"/>
    <mergeCell ref="A15:A16"/>
    <mergeCell ref="B15:B16"/>
    <mergeCell ref="D15:D16"/>
    <mergeCell ref="E15:E16"/>
    <mergeCell ref="F15:F16"/>
    <mergeCell ref="G11:G12"/>
    <mergeCell ref="A9:A10"/>
    <mergeCell ref="B9:B10"/>
    <mergeCell ref="D9:D10"/>
    <mergeCell ref="E9:E10"/>
    <mergeCell ref="F9:F10"/>
    <mergeCell ref="G9:G10"/>
    <mergeCell ref="A11:A12"/>
    <mergeCell ref="B11:B12"/>
    <mergeCell ref="D11:D12"/>
    <mergeCell ref="E11:E12"/>
    <mergeCell ref="F11:F12"/>
    <mergeCell ref="G7:G8"/>
    <mergeCell ref="A5:A6"/>
    <mergeCell ref="B5:B6"/>
    <mergeCell ref="D5:D6"/>
    <mergeCell ref="E5:E6"/>
    <mergeCell ref="F5:F6"/>
    <mergeCell ref="G5:G6"/>
    <mergeCell ref="A7:A8"/>
    <mergeCell ref="B7:B8"/>
    <mergeCell ref="D7:D8"/>
    <mergeCell ref="E7:E8"/>
    <mergeCell ref="F7:F8"/>
  </mergeCells>
  <conditionalFormatting sqref="A5:G5 A6:D6 F6:G16">
    <cfRule type="expression" dxfId="37" priority="2">
      <formula>$G5="A"</formula>
    </cfRule>
  </conditionalFormatting>
  <conditionalFormatting sqref="A7:E7 A9:E9 A11:E11 A13:E13 A15:E15 A8:D8 A10:D10 A12:D12 A14:D14 A16:D16">
    <cfRule type="expression" dxfId="36" priority="1">
      <formula>$G7="A"</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7" tint="0.59999389629810485"/>
  </sheetPr>
  <dimension ref="A1:G76"/>
  <sheetViews>
    <sheetView tabSelected="1" zoomScaleNormal="100" workbookViewId="0">
      <selection activeCell="E25" sqref="E25:E26"/>
    </sheetView>
  </sheetViews>
  <sheetFormatPr defaultRowHeight="14.45"/>
  <cols>
    <col min="1" max="1" width="25.140625" bestFit="1" customWidth="1"/>
    <col min="2" max="2" width="27.5703125" bestFit="1" customWidth="1"/>
    <col min="3" max="3" width="25.7109375" bestFit="1" customWidth="1"/>
    <col min="4" max="5" width="15.28515625" customWidth="1"/>
    <col min="6" max="6" width="19.42578125" customWidth="1"/>
    <col min="7" max="7" width="17.5703125" customWidth="1"/>
    <col min="8" max="8" width="14.85546875" customWidth="1"/>
    <col min="10" max="10" width="16.85546875" customWidth="1"/>
  </cols>
  <sheetData>
    <row r="1" spans="1:7" ht="35.25" customHeight="1">
      <c r="A1" s="1" t="s">
        <v>0</v>
      </c>
      <c r="B1" s="1" t="s">
        <v>1</v>
      </c>
      <c r="C1" s="2" t="s">
        <v>2</v>
      </c>
      <c r="D1" s="3" t="s">
        <v>3</v>
      </c>
      <c r="E1" s="4" t="s">
        <v>4</v>
      </c>
      <c r="F1" s="1" t="s">
        <v>5</v>
      </c>
    </row>
    <row r="2" spans="1:7">
      <c r="A2" s="5" t="s">
        <v>6</v>
      </c>
      <c r="B2" s="5" t="s">
        <v>209</v>
      </c>
      <c r="C2" s="6" t="s">
        <v>68</v>
      </c>
      <c r="D2" s="7"/>
      <c r="E2" s="8"/>
      <c r="F2" s="5"/>
    </row>
    <row r="4" spans="1:7" ht="43.15">
      <c r="A4" s="9" t="s">
        <v>8</v>
      </c>
      <c r="B4" s="9" t="s">
        <v>9</v>
      </c>
      <c r="C4" s="10" t="s">
        <v>10</v>
      </c>
      <c r="D4" s="11" t="s">
        <v>11</v>
      </c>
      <c r="E4" s="16" t="s">
        <v>12</v>
      </c>
      <c r="F4" s="12" t="s">
        <v>13</v>
      </c>
      <c r="G4" s="13" t="s">
        <v>14</v>
      </c>
    </row>
    <row r="5" spans="1:7" ht="20.100000000000001" customHeight="1">
      <c r="A5" s="17" t="s">
        <v>210</v>
      </c>
      <c r="B5" s="19" t="e">
        <f ca="1">Code128(A5)</f>
        <v>#NAME?</v>
      </c>
      <c r="C5" s="14" t="e">
        <f ca="1">B5</f>
        <v>#NAME?</v>
      </c>
      <c r="D5" s="21"/>
      <c r="E5" s="21"/>
      <c r="F5" s="22">
        <v>44833</v>
      </c>
      <c r="G5" s="23"/>
    </row>
    <row r="6" spans="1:7" ht="9.9499999999999993" customHeight="1">
      <c r="A6" s="18"/>
      <c r="B6" s="20"/>
      <c r="C6" s="15" t="str">
        <f>A5</f>
        <v>OP-1T50-LIN-12V(S)-01</v>
      </c>
      <c r="D6" s="21"/>
      <c r="E6" s="21"/>
      <c r="F6" s="22"/>
      <c r="G6" s="24"/>
    </row>
    <row r="7" spans="1:7" ht="20.100000000000001" customHeight="1">
      <c r="A7" s="17" t="s">
        <v>211</v>
      </c>
      <c r="B7" s="19" t="e">
        <f t="shared" ref="B7" ca="1" si="0">Code128(A7)</f>
        <v>#NAME?</v>
      </c>
      <c r="C7" s="14" t="e">
        <f t="shared" ref="C7" ca="1" si="1">B7</f>
        <v>#NAME?</v>
      </c>
      <c r="D7" s="21"/>
      <c r="E7" s="21"/>
      <c r="F7" s="22">
        <v>44833</v>
      </c>
      <c r="G7" s="23"/>
    </row>
    <row r="8" spans="1:7" ht="9.9499999999999993" customHeight="1">
      <c r="A8" s="18"/>
      <c r="B8" s="20"/>
      <c r="C8" s="15" t="str">
        <f t="shared" ref="C8:C26" si="2">A7</f>
        <v>OP-1T50-LIN-12V(S)-02</v>
      </c>
      <c r="D8" s="21"/>
      <c r="E8" s="21"/>
      <c r="F8" s="22"/>
      <c r="G8" s="24"/>
    </row>
    <row r="9" spans="1:7" ht="20.100000000000001" customHeight="1">
      <c r="A9" s="17" t="s">
        <v>212</v>
      </c>
      <c r="B9" s="19" t="e">
        <f t="shared" ref="B9" ca="1" si="3">Code128(A9)</f>
        <v>#NAME?</v>
      </c>
      <c r="C9" s="14" t="e">
        <f t="shared" ref="C9" ca="1" si="4">B9</f>
        <v>#NAME?</v>
      </c>
      <c r="D9" s="21"/>
      <c r="E9" s="21"/>
      <c r="F9" s="22">
        <v>44833</v>
      </c>
      <c r="G9" s="23"/>
    </row>
    <row r="10" spans="1:7" ht="9.9499999999999993" customHeight="1">
      <c r="A10" s="18"/>
      <c r="B10" s="20"/>
      <c r="C10" s="15" t="str">
        <f t="shared" ref="C10:C26" si="5">A9</f>
        <v>OP-1T50-LIN-12V(S)-03</v>
      </c>
      <c r="D10" s="21"/>
      <c r="E10" s="21"/>
      <c r="F10" s="22"/>
      <c r="G10" s="24"/>
    </row>
    <row r="11" spans="1:7" ht="20.100000000000001" customHeight="1">
      <c r="A11" s="17" t="s">
        <v>213</v>
      </c>
      <c r="B11" s="19" t="e">
        <f t="shared" ref="B11" ca="1" si="6">Code128(A11)</f>
        <v>#NAME?</v>
      </c>
      <c r="C11" s="14" t="e">
        <f t="shared" ref="C11" ca="1" si="7">B11</f>
        <v>#NAME?</v>
      </c>
      <c r="D11" s="21"/>
      <c r="E11" s="21"/>
      <c r="F11" s="22">
        <v>44833</v>
      </c>
      <c r="G11" s="23"/>
    </row>
    <row r="12" spans="1:7" ht="9.9499999999999993" customHeight="1">
      <c r="A12" s="18"/>
      <c r="B12" s="20"/>
      <c r="C12" s="15" t="str">
        <f t="shared" ref="C12:C26" si="8">A11</f>
        <v>OP-1T50-LIN-12V(S)-04</v>
      </c>
      <c r="D12" s="21"/>
      <c r="E12" s="21"/>
      <c r="F12" s="22"/>
      <c r="G12" s="24"/>
    </row>
    <row r="13" spans="1:7" ht="20.100000000000001" customHeight="1">
      <c r="A13" s="17" t="s">
        <v>214</v>
      </c>
      <c r="B13" s="19" t="e">
        <f t="shared" ref="B13" ca="1" si="9">Code128(A13)</f>
        <v>#NAME?</v>
      </c>
      <c r="C13" s="14" t="e">
        <f t="shared" ref="C13" ca="1" si="10">B13</f>
        <v>#NAME?</v>
      </c>
      <c r="D13" s="21"/>
      <c r="E13" s="21"/>
      <c r="F13" s="22">
        <v>44833</v>
      </c>
      <c r="G13" s="23"/>
    </row>
    <row r="14" spans="1:7" ht="9.9499999999999993" customHeight="1">
      <c r="A14" s="18"/>
      <c r="B14" s="20"/>
      <c r="C14" s="15" t="str">
        <f t="shared" ref="C14:C26" si="11">A13</f>
        <v>OP-1T50-LIN-12V(S)-05</v>
      </c>
      <c r="D14" s="21"/>
      <c r="E14" s="21"/>
      <c r="F14" s="22"/>
      <c r="G14" s="24"/>
    </row>
    <row r="15" spans="1:7" ht="20.100000000000001" customHeight="1">
      <c r="A15" s="17" t="s">
        <v>215</v>
      </c>
      <c r="B15" s="19" t="e">
        <f t="shared" ref="B15" ca="1" si="12">Code128(A15)</f>
        <v>#NAME?</v>
      </c>
      <c r="C15" s="14" t="e">
        <f t="shared" ref="C15" ca="1" si="13">B15</f>
        <v>#NAME?</v>
      </c>
      <c r="D15" s="21"/>
      <c r="E15" s="21"/>
      <c r="F15" s="22">
        <v>44833</v>
      </c>
      <c r="G15" s="23"/>
    </row>
    <row r="16" spans="1:7" ht="9.9499999999999993" customHeight="1">
      <c r="A16" s="18"/>
      <c r="B16" s="20"/>
      <c r="C16" s="15" t="str">
        <f t="shared" ref="C16:C26" si="14">A15</f>
        <v>OP-1T50-LIN-12V(S)-06</v>
      </c>
      <c r="D16" s="21"/>
      <c r="E16" s="21"/>
      <c r="F16" s="22"/>
      <c r="G16" s="24"/>
    </row>
    <row r="17" spans="1:7" ht="20.100000000000001" customHeight="1">
      <c r="A17" s="17" t="s">
        <v>216</v>
      </c>
      <c r="B17" s="19" t="e">
        <f t="shared" ref="B17" ca="1" si="15">Code128(A17)</f>
        <v>#NAME?</v>
      </c>
      <c r="C17" s="14" t="e">
        <f t="shared" ref="C17" ca="1" si="16">B17</f>
        <v>#NAME?</v>
      </c>
      <c r="D17" s="21"/>
      <c r="E17" s="21"/>
      <c r="F17" s="22">
        <v>44833</v>
      </c>
      <c r="G17" s="23"/>
    </row>
    <row r="18" spans="1:7" ht="9.9499999999999993" customHeight="1">
      <c r="A18" s="18"/>
      <c r="B18" s="20"/>
      <c r="C18" s="15" t="str">
        <f t="shared" ref="C18:C26" si="17">A17</f>
        <v>OP-1T50-LIN-12V(S)-07</v>
      </c>
      <c r="D18" s="21"/>
      <c r="E18" s="21"/>
      <c r="F18" s="22"/>
      <c r="G18" s="24"/>
    </row>
    <row r="19" spans="1:7" ht="20.100000000000001" customHeight="1">
      <c r="A19" s="17" t="s">
        <v>217</v>
      </c>
      <c r="B19" s="19" t="e">
        <f t="shared" ref="B19" ca="1" si="18">Code128(A19)</f>
        <v>#NAME?</v>
      </c>
      <c r="C19" s="14" t="e">
        <f t="shared" ref="C19" ca="1" si="19">B19</f>
        <v>#NAME?</v>
      </c>
      <c r="D19" s="21"/>
      <c r="E19" s="21"/>
      <c r="F19" s="22">
        <v>44833</v>
      </c>
      <c r="G19" s="23"/>
    </row>
    <row r="20" spans="1:7" ht="9.9499999999999993" customHeight="1">
      <c r="A20" s="18"/>
      <c r="B20" s="20"/>
      <c r="C20" s="15" t="str">
        <f t="shared" ref="C20:C26" si="20">A19</f>
        <v>OP-1T50-LIN-12V(S)-08</v>
      </c>
      <c r="D20" s="21"/>
      <c r="E20" s="21"/>
      <c r="F20" s="22"/>
      <c r="G20" s="24"/>
    </row>
    <row r="21" spans="1:7" ht="20.100000000000001" customHeight="1">
      <c r="A21" s="17" t="s">
        <v>218</v>
      </c>
      <c r="B21" s="19" t="e">
        <f t="shared" ref="B21" ca="1" si="21">Code128(A21)</f>
        <v>#NAME?</v>
      </c>
      <c r="C21" s="14" t="e">
        <f t="shared" ref="C21" ca="1" si="22">B21</f>
        <v>#NAME?</v>
      </c>
      <c r="D21" s="21"/>
      <c r="E21" s="21"/>
      <c r="F21" s="22">
        <v>44833</v>
      </c>
      <c r="G21" s="23"/>
    </row>
    <row r="22" spans="1:7" ht="9.9499999999999993" customHeight="1">
      <c r="A22" s="18"/>
      <c r="B22" s="20"/>
      <c r="C22" s="15" t="str">
        <f t="shared" ref="C22:C26" si="23">A21</f>
        <v>OP-1T50-LIN-12V(S)-09</v>
      </c>
      <c r="D22" s="21"/>
      <c r="E22" s="21"/>
      <c r="F22" s="22"/>
      <c r="G22" s="24"/>
    </row>
    <row r="23" spans="1:7" ht="20.100000000000001" customHeight="1">
      <c r="A23" s="17" t="s">
        <v>219</v>
      </c>
      <c r="B23" s="19" t="e">
        <f t="shared" ref="B23" ca="1" si="24">Code128(A23)</f>
        <v>#NAME?</v>
      </c>
      <c r="C23" s="14" t="e">
        <f t="shared" ref="C23" ca="1" si="25">B23</f>
        <v>#NAME?</v>
      </c>
      <c r="D23" s="21"/>
      <c r="E23" s="21"/>
      <c r="F23" s="22">
        <v>44833</v>
      </c>
      <c r="G23" s="23"/>
    </row>
    <row r="24" spans="1:7" ht="9.9499999999999993" customHeight="1">
      <c r="A24" s="18"/>
      <c r="B24" s="20"/>
      <c r="C24" s="15" t="str">
        <f t="shared" ref="C24:C26" si="26">A23</f>
        <v>OP-1T50-LIN-12V(S)-10</v>
      </c>
      <c r="D24" s="21"/>
      <c r="E24" s="21"/>
      <c r="F24" s="22"/>
      <c r="G24" s="24"/>
    </row>
    <row r="25" spans="1:7" ht="20.100000000000001" customHeight="1">
      <c r="A25" s="17" t="s">
        <v>220</v>
      </c>
      <c r="B25" s="19" t="e">
        <f t="shared" ref="B25" ca="1" si="27">Code128(A25)</f>
        <v>#NAME?</v>
      </c>
      <c r="C25" s="14" t="e">
        <f t="shared" ref="C25" ca="1" si="28">B25</f>
        <v>#NAME?</v>
      </c>
      <c r="D25" s="21"/>
      <c r="E25" s="21"/>
      <c r="F25" s="22">
        <v>44833</v>
      </c>
      <c r="G25" s="23"/>
    </row>
    <row r="26" spans="1:7" ht="9.9499999999999993" customHeight="1">
      <c r="A26" s="18"/>
      <c r="B26" s="20"/>
      <c r="C26" s="15" t="str">
        <f t="shared" ref="C26" si="29">A25</f>
        <v>OP-1T50-LIN-12V(S)-11</v>
      </c>
      <c r="D26" s="21"/>
      <c r="E26" s="21"/>
      <c r="F26" s="22"/>
      <c r="G26" s="24"/>
    </row>
    <row r="27" spans="1:7" ht="20.100000000000001" customHeight="1">
      <c r="A27" s="17" t="s">
        <v>221</v>
      </c>
      <c r="B27" s="17" t="e">
        <f t="shared" ref="B27" ca="1" si="30">Code128(A27)</f>
        <v>#NAME?</v>
      </c>
      <c r="C27" s="14" t="e">
        <f t="shared" ref="C27" ca="1" si="31">B27</f>
        <v>#NAME?</v>
      </c>
      <c r="D27" s="17"/>
      <c r="E27" s="17"/>
      <c r="F27" s="22">
        <v>44833</v>
      </c>
      <c r="G27" s="17"/>
    </row>
    <row r="28" spans="1:7" ht="9.9499999999999993" customHeight="1">
      <c r="A28" s="18"/>
      <c r="B28" s="18"/>
      <c r="C28" s="15" t="str">
        <f t="shared" ref="C28" si="32">A27</f>
        <v>OP-1T50-LIN-12V(S)-12</v>
      </c>
      <c r="D28" s="18"/>
      <c r="E28" s="18"/>
      <c r="F28" s="22"/>
      <c r="G28" s="18"/>
    </row>
    <row r="29" spans="1:7" ht="20.100000000000001" customHeight="1">
      <c r="A29" s="17" t="s">
        <v>222</v>
      </c>
      <c r="B29" s="17" t="e">
        <f t="shared" ref="B29:B51" ca="1" si="33">Code128(A29)</f>
        <v>#NAME?</v>
      </c>
      <c r="C29" s="14" t="e">
        <f t="shared" ref="C29:C51" ca="1" si="34">B29</f>
        <v>#NAME?</v>
      </c>
      <c r="D29" s="17"/>
      <c r="E29" s="17"/>
      <c r="F29" s="22">
        <v>44833</v>
      </c>
      <c r="G29" s="17"/>
    </row>
    <row r="30" spans="1:7" ht="9.9499999999999993" customHeight="1">
      <c r="A30" s="18"/>
      <c r="B30" s="18"/>
      <c r="C30" s="15" t="str">
        <f t="shared" ref="C30" si="35">A29</f>
        <v>OP-1T50-LIN-12V(S)-13</v>
      </c>
      <c r="D30" s="18"/>
      <c r="E30" s="18"/>
      <c r="F30" s="22"/>
      <c r="G30" s="18"/>
    </row>
    <row r="31" spans="1:7" ht="20.100000000000001" customHeight="1">
      <c r="A31" s="17" t="s">
        <v>223</v>
      </c>
      <c r="B31" s="17" t="e">
        <f t="shared" ref="B31:B53" ca="1" si="36">Code128(A31)</f>
        <v>#NAME?</v>
      </c>
      <c r="C31" s="14" t="e">
        <f t="shared" ref="C31:C53" ca="1" si="37">B31</f>
        <v>#NAME?</v>
      </c>
      <c r="D31" s="17"/>
      <c r="E31" s="17"/>
      <c r="F31" s="22">
        <v>44833</v>
      </c>
      <c r="G31" s="17"/>
    </row>
    <row r="32" spans="1:7" ht="9.9499999999999993" customHeight="1">
      <c r="A32" s="18"/>
      <c r="B32" s="18"/>
      <c r="C32" s="15" t="str">
        <f t="shared" ref="C32" si="38">A31</f>
        <v>OP-1T50-LIN-12V(S)-14</v>
      </c>
      <c r="D32" s="18"/>
      <c r="E32" s="18"/>
      <c r="F32" s="22"/>
      <c r="G32" s="18"/>
    </row>
    <row r="33" spans="1:7" ht="20.100000000000001" customHeight="1">
      <c r="A33" s="17" t="s">
        <v>224</v>
      </c>
      <c r="B33" s="17" t="e">
        <f t="shared" ref="B33:B55" ca="1" si="39">Code128(A33)</f>
        <v>#NAME?</v>
      </c>
      <c r="C33" s="14" t="e">
        <f t="shared" ref="C33:C55" ca="1" si="40">B33</f>
        <v>#NAME?</v>
      </c>
      <c r="D33" s="17"/>
      <c r="E33" s="17"/>
      <c r="F33" s="22">
        <v>44833</v>
      </c>
      <c r="G33" s="17"/>
    </row>
    <row r="34" spans="1:7" ht="9.9499999999999993" customHeight="1">
      <c r="A34" s="18"/>
      <c r="B34" s="18"/>
      <c r="C34" s="15" t="str">
        <f t="shared" ref="C34" si="41">A33</f>
        <v>OP-1T50-LIN-12V(S)-15</v>
      </c>
      <c r="D34" s="18"/>
      <c r="E34" s="18"/>
      <c r="F34" s="22"/>
      <c r="G34" s="18"/>
    </row>
    <row r="35" spans="1:7" ht="20.100000000000001" customHeight="1">
      <c r="A35" s="17" t="s">
        <v>225</v>
      </c>
      <c r="B35" s="17" t="e">
        <f t="shared" ref="B35:B57" ca="1" si="42">Code128(A35)</f>
        <v>#NAME?</v>
      </c>
      <c r="C35" s="14" t="e">
        <f t="shared" ref="C35:C57" ca="1" si="43">B35</f>
        <v>#NAME?</v>
      </c>
      <c r="D35" s="17"/>
      <c r="E35" s="17"/>
      <c r="F35" s="22">
        <v>44833</v>
      </c>
      <c r="G35" s="17"/>
    </row>
    <row r="36" spans="1:7" ht="9.9499999999999993" customHeight="1">
      <c r="A36" s="18"/>
      <c r="B36" s="18"/>
      <c r="C36" s="15" t="str">
        <f t="shared" ref="C36" si="44">A35</f>
        <v>OP-1T50-LIN-12V(S)-16</v>
      </c>
      <c r="D36" s="18"/>
      <c r="E36" s="18"/>
      <c r="F36" s="22"/>
      <c r="G36" s="18"/>
    </row>
    <row r="37" spans="1:7" ht="20.100000000000001" customHeight="1">
      <c r="A37" s="17" t="s">
        <v>226</v>
      </c>
      <c r="B37" s="17" t="e">
        <f t="shared" ref="B37:B59" ca="1" si="45">Code128(A37)</f>
        <v>#NAME?</v>
      </c>
      <c r="C37" s="14" t="e">
        <f t="shared" ref="C37:C59" ca="1" si="46">B37</f>
        <v>#NAME?</v>
      </c>
      <c r="D37" s="17"/>
      <c r="E37" s="17"/>
      <c r="F37" s="22">
        <v>44833</v>
      </c>
      <c r="G37" s="17"/>
    </row>
    <row r="38" spans="1:7" ht="9.9499999999999993" customHeight="1">
      <c r="A38" s="18"/>
      <c r="B38" s="18"/>
      <c r="C38" s="15" t="str">
        <f t="shared" ref="C38" si="47">A37</f>
        <v>OP-1T50-LIN-12V(S)-17</v>
      </c>
      <c r="D38" s="18"/>
      <c r="E38" s="18"/>
      <c r="F38" s="22"/>
      <c r="G38" s="18"/>
    </row>
    <row r="39" spans="1:7" ht="20.100000000000001" customHeight="1">
      <c r="A39" s="17" t="s">
        <v>227</v>
      </c>
      <c r="B39" s="17" t="e">
        <f t="shared" ref="B39:B61" ca="1" si="48">Code128(A39)</f>
        <v>#NAME?</v>
      </c>
      <c r="C39" s="14" t="e">
        <f t="shared" ref="C39:C61" ca="1" si="49">B39</f>
        <v>#NAME?</v>
      </c>
      <c r="D39" s="17"/>
      <c r="E39" s="17"/>
      <c r="F39" s="22">
        <v>44833</v>
      </c>
      <c r="G39" s="17"/>
    </row>
    <row r="40" spans="1:7" ht="9.9499999999999993" customHeight="1">
      <c r="A40" s="18"/>
      <c r="B40" s="18"/>
      <c r="C40" s="15" t="str">
        <f t="shared" ref="C40" si="50">A39</f>
        <v>OP-1T50-LIN-12V(S)-18</v>
      </c>
      <c r="D40" s="18"/>
      <c r="E40" s="18"/>
      <c r="F40" s="22"/>
      <c r="G40" s="18"/>
    </row>
    <row r="41" spans="1:7" ht="20.100000000000001" customHeight="1">
      <c r="A41" s="17" t="s">
        <v>228</v>
      </c>
      <c r="B41" s="17" t="e">
        <f t="shared" ref="B41:B63" ca="1" si="51">Code128(A41)</f>
        <v>#NAME?</v>
      </c>
      <c r="C41" s="14" t="e">
        <f t="shared" ref="C41:C63" ca="1" si="52">B41</f>
        <v>#NAME?</v>
      </c>
      <c r="D41" s="17"/>
      <c r="E41" s="17"/>
      <c r="F41" s="22">
        <v>44833</v>
      </c>
      <c r="G41" s="17"/>
    </row>
    <row r="42" spans="1:7" ht="9.9499999999999993" customHeight="1">
      <c r="A42" s="18"/>
      <c r="B42" s="18"/>
      <c r="C42" s="15" t="str">
        <f t="shared" ref="C42" si="53">A41</f>
        <v>OP-1T50-LIN-12V(S)-19</v>
      </c>
      <c r="D42" s="18"/>
      <c r="E42" s="18"/>
      <c r="F42" s="22"/>
      <c r="G42" s="18"/>
    </row>
    <row r="43" spans="1:7" ht="20.100000000000001" customHeight="1">
      <c r="A43" s="17" t="s">
        <v>229</v>
      </c>
      <c r="B43" s="17" t="e">
        <f t="shared" ref="B43:B65" ca="1" si="54">Code128(A43)</f>
        <v>#NAME?</v>
      </c>
      <c r="C43" s="14" t="e">
        <f t="shared" ref="C43:C65" ca="1" si="55">B43</f>
        <v>#NAME?</v>
      </c>
      <c r="D43" s="17"/>
      <c r="E43" s="17"/>
      <c r="F43" s="22">
        <v>44833</v>
      </c>
      <c r="G43" s="17"/>
    </row>
    <row r="44" spans="1:7" ht="9.9499999999999993" customHeight="1">
      <c r="A44" s="18"/>
      <c r="B44" s="18"/>
      <c r="C44" s="15" t="str">
        <f t="shared" ref="C44" si="56">A43</f>
        <v>OP-1T50-LIN-12V(S)-20</v>
      </c>
      <c r="D44" s="18"/>
      <c r="E44" s="18"/>
      <c r="F44" s="22"/>
      <c r="G44" s="18"/>
    </row>
    <row r="45" spans="1:7" ht="20.100000000000001" customHeight="1">
      <c r="A45" s="17" t="s">
        <v>230</v>
      </c>
      <c r="B45" s="17" t="e">
        <f t="shared" ref="B45:B67" ca="1" si="57">Code128(A45)</f>
        <v>#NAME?</v>
      </c>
      <c r="C45" s="14" t="e">
        <f t="shared" ref="C45:C67" ca="1" si="58">B45</f>
        <v>#NAME?</v>
      </c>
      <c r="D45" s="17"/>
      <c r="E45" s="17"/>
      <c r="F45" s="22">
        <v>44833</v>
      </c>
      <c r="G45" s="17"/>
    </row>
    <row r="46" spans="1:7" ht="9.9499999999999993" customHeight="1">
      <c r="A46" s="18"/>
      <c r="B46" s="18"/>
      <c r="C46" s="15" t="str">
        <f t="shared" ref="C46" si="59">A45</f>
        <v>OP-1T50-LIN-12V(S)-21</v>
      </c>
      <c r="D46" s="18"/>
      <c r="E46" s="18"/>
      <c r="F46" s="22"/>
      <c r="G46" s="18"/>
    </row>
    <row r="47" spans="1:7" ht="20.100000000000001" customHeight="1">
      <c r="A47" s="17" t="s">
        <v>231</v>
      </c>
      <c r="B47" s="17" t="e">
        <f t="shared" ref="B47:B75" ca="1" si="60">Code128(A47)</f>
        <v>#NAME?</v>
      </c>
      <c r="C47" s="14" t="e">
        <f t="shared" ref="C47:C75" ca="1" si="61">B47</f>
        <v>#NAME?</v>
      </c>
      <c r="D47" s="17"/>
      <c r="E47" s="17"/>
      <c r="F47" s="22">
        <v>44833</v>
      </c>
      <c r="G47" s="17"/>
    </row>
    <row r="48" spans="1:7" ht="9.9499999999999993" customHeight="1">
      <c r="A48" s="18"/>
      <c r="B48" s="18"/>
      <c r="C48" s="15" t="str">
        <f t="shared" ref="C48" si="62">A47</f>
        <v>OP-1T50-LIN-12V(S)-22</v>
      </c>
      <c r="D48" s="18"/>
      <c r="E48" s="18"/>
      <c r="F48" s="22"/>
      <c r="G48" s="18"/>
    </row>
    <row r="49" spans="1:7" ht="20.100000000000001" customHeight="1">
      <c r="A49" s="17" t="s">
        <v>232</v>
      </c>
      <c r="B49" s="17" t="e">
        <f t="shared" ref="B49" ca="1" si="63">Code128(A49)</f>
        <v>#NAME?</v>
      </c>
      <c r="C49" s="14" t="e">
        <f t="shared" ref="C49" ca="1" si="64">B49</f>
        <v>#NAME?</v>
      </c>
      <c r="D49" s="17"/>
      <c r="E49" s="17"/>
      <c r="F49" s="22">
        <v>44833</v>
      </c>
      <c r="G49" s="17"/>
    </row>
    <row r="50" spans="1:7" ht="9.9499999999999993" customHeight="1">
      <c r="A50" s="18"/>
      <c r="B50" s="18"/>
      <c r="C50" s="15" t="str">
        <f t="shared" ref="C50" si="65">A49</f>
        <v>OP-1T50-LIN-12V(S)-23</v>
      </c>
      <c r="D50" s="18"/>
      <c r="E50" s="18"/>
      <c r="F50" s="22"/>
      <c r="G50" s="18"/>
    </row>
    <row r="51" spans="1:7" ht="20.100000000000001" customHeight="1">
      <c r="A51" s="17" t="s">
        <v>233</v>
      </c>
      <c r="B51" s="17" t="e">
        <f t="shared" ca="1" si="33"/>
        <v>#NAME?</v>
      </c>
      <c r="C51" s="14" t="e">
        <f t="shared" ca="1" si="34"/>
        <v>#NAME?</v>
      </c>
      <c r="D51" s="17"/>
      <c r="E51" s="17"/>
      <c r="F51" s="22">
        <v>44833</v>
      </c>
      <c r="G51" s="17"/>
    </row>
    <row r="52" spans="1:7" ht="9.9499999999999993" customHeight="1">
      <c r="A52" s="18"/>
      <c r="B52" s="18"/>
      <c r="C52" s="15" t="str">
        <f t="shared" ref="C52" si="66">A51</f>
        <v>OP-1T50-LIN-12V(S)-24</v>
      </c>
      <c r="D52" s="18"/>
      <c r="E52" s="18"/>
      <c r="F52" s="22"/>
      <c r="G52" s="18"/>
    </row>
    <row r="53" spans="1:7" ht="20.100000000000001" customHeight="1">
      <c r="A53" s="17" t="s">
        <v>234</v>
      </c>
      <c r="B53" s="17" t="e">
        <f t="shared" ca="1" si="36"/>
        <v>#NAME?</v>
      </c>
      <c r="C53" s="14" t="e">
        <f t="shared" ca="1" si="37"/>
        <v>#NAME?</v>
      </c>
      <c r="D53" s="17"/>
      <c r="E53" s="17"/>
      <c r="F53" s="22">
        <v>44833</v>
      </c>
      <c r="G53" s="17"/>
    </row>
    <row r="54" spans="1:7" ht="9.9499999999999993" customHeight="1">
      <c r="A54" s="18"/>
      <c r="B54" s="18"/>
      <c r="C54" s="15" t="str">
        <f t="shared" ref="C54" si="67">A53</f>
        <v>OP-1T50-LIN-12V(S)-25</v>
      </c>
      <c r="D54" s="18"/>
      <c r="E54" s="18"/>
      <c r="F54" s="22"/>
      <c r="G54" s="18"/>
    </row>
    <row r="55" spans="1:7" ht="20.100000000000001" customHeight="1">
      <c r="A55" s="17" t="s">
        <v>235</v>
      </c>
      <c r="B55" s="17" t="e">
        <f t="shared" ca="1" si="39"/>
        <v>#NAME?</v>
      </c>
      <c r="C55" s="14" t="e">
        <f t="shared" ca="1" si="40"/>
        <v>#NAME?</v>
      </c>
      <c r="D55" s="17"/>
      <c r="E55" s="17"/>
      <c r="F55" s="22">
        <v>44833</v>
      </c>
      <c r="G55" s="17"/>
    </row>
    <row r="56" spans="1:7" ht="9.9499999999999993" customHeight="1">
      <c r="A56" s="18"/>
      <c r="B56" s="18"/>
      <c r="C56" s="15" t="str">
        <f t="shared" ref="C56" si="68">A55</f>
        <v>OP-1T50-LIN-12V(S)-26</v>
      </c>
      <c r="D56" s="18"/>
      <c r="E56" s="18"/>
      <c r="F56" s="22"/>
      <c r="G56" s="18"/>
    </row>
    <row r="57" spans="1:7" ht="20.100000000000001" customHeight="1">
      <c r="A57" s="17" t="s">
        <v>236</v>
      </c>
      <c r="B57" s="17" t="e">
        <f t="shared" ca="1" si="42"/>
        <v>#NAME?</v>
      </c>
      <c r="C57" s="14" t="e">
        <f t="shared" ca="1" si="43"/>
        <v>#NAME?</v>
      </c>
      <c r="D57" s="17"/>
      <c r="E57" s="17"/>
      <c r="F57" s="22">
        <v>44833</v>
      </c>
      <c r="G57" s="17"/>
    </row>
    <row r="58" spans="1:7" ht="9.9499999999999993" customHeight="1">
      <c r="A58" s="18"/>
      <c r="B58" s="18"/>
      <c r="C58" s="15" t="str">
        <f t="shared" ref="C58" si="69">A57</f>
        <v>OP-1T50-LIN-12V(S)-27</v>
      </c>
      <c r="D58" s="18"/>
      <c r="E58" s="18"/>
      <c r="F58" s="22"/>
      <c r="G58" s="18"/>
    </row>
    <row r="59" spans="1:7" ht="20.100000000000001" customHeight="1">
      <c r="A59" s="17" t="s">
        <v>237</v>
      </c>
      <c r="B59" s="17" t="e">
        <f t="shared" ca="1" si="45"/>
        <v>#NAME?</v>
      </c>
      <c r="C59" s="14" t="e">
        <f t="shared" ca="1" si="46"/>
        <v>#NAME?</v>
      </c>
      <c r="D59" s="17"/>
      <c r="E59" s="17"/>
      <c r="F59" s="22">
        <v>44833</v>
      </c>
      <c r="G59" s="17"/>
    </row>
    <row r="60" spans="1:7" ht="9.9499999999999993" customHeight="1">
      <c r="A60" s="18"/>
      <c r="B60" s="18"/>
      <c r="C60" s="15" t="str">
        <f t="shared" ref="C60" si="70">A59</f>
        <v>OP-1T50-LIN-12V(S)-28</v>
      </c>
      <c r="D60" s="18"/>
      <c r="E60" s="18"/>
      <c r="F60" s="22"/>
      <c r="G60" s="18"/>
    </row>
    <row r="61" spans="1:7" ht="20.100000000000001" customHeight="1">
      <c r="A61" s="17" t="s">
        <v>238</v>
      </c>
      <c r="B61" s="17" t="e">
        <f t="shared" ca="1" si="48"/>
        <v>#NAME?</v>
      </c>
      <c r="C61" s="14" t="e">
        <f t="shared" ca="1" si="49"/>
        <v>#NAME?</v>
      </c>
      <c r="D61" s="17"/>
      <c r="E61" s="17"/>
      <c r="F61" s="22">
        <v>44833</v>
      </c>
      <c r="G61" s="17"/>
    </row>
    <row r="62" spans="1:7" ht="9.9499999999999993" customHeight="1">
      <c r="A62" s="18"/>
      <c r="B62" s="18"/>
      <c r="C62" s="15" t="str">
        <f t="shared" ref="C62" si="71">A61</f>
        <v>OP-1T50-LIN-12V(S)-29</v>
      </c>
      <c r="D62" s="18"/>
      <c r="E62" s="18"/>
      <c r="F62" s="22"/>
      <c r="G62" s="18"/>
    </row>
    <row r="63" spans="1:7" ht="20.100000000000001" customHeight="1">
      <c r="A63" s="17" t="s">
        <v>239</v>
      </c>
      <c r="B63" s="17" t="e">
        <f t="shared" ca="1" si="51"/>
        <v>#NAME?</v>
      </c>
      <c r="C63" s="14" t="e">
        <f t="shared" ca="1" si="52"/>
        <v>#NAME?</v>
      </c>
      <c r="D63" s="17"/>
      <c r="E63" s="17"/>
      <c r="F63" s="22">
        <v>44833</v>
      </c>
      <c r="G63" s="17"/>
    </row>
    <row r="64" spans="1:7" ht="9.9499999999999993" customHeight="1">
      <c r="A64" s="18"/>
      <c r="B64" s="18"/>
      <c r="C64" s="15" t="str">
        <f t="shared" ref="C64" si="72">A63</f>
        <v>OP-1T50-LIN-12V(S)-30</v>
      </c>
      <c r="D64" s="18"/>
      <c r="E64" s="18"/>
      <c r="F64" s="22"/>
      <c r="G64" s="18"/>
    </row>
    <row r="65" spans="1:7" ht="20.100000000000001" customHeight="1">
      <c r="A65" s="17" t="s">
        <v>240</v>
      </c>
      <c r="B65" s="17" t="e">
        <f t="shared" ca="1" si="54"/>
        <v>#NAME?</v>
      </c>
      <c r="C65" s="14" t="e">
        <f t="shared" ca="1" si="55"/>
        <v>#NAME?</v>
      </c>
      <c r="D65" s="17"/>
      <c r="E65" s="17"/>
      <c r="F65" s="22">
        <v>44833</v>
      </c>
      <c r="G65" s="17"/>
    </row>
    <row r="66" spans="1:7" ht="9.9499999999999993" customHeight="1">
      <c r="A66" s="18"/>
      <c r="B66" s="18"/>
      <c r="C66" s="15" t="str">
        <f t="shared" ref="C66" si="73">A65</f>
        <v>OP-1T50-LIN-12V(S)-31</v>
      </c>
      <c r="D66" s="18"/>
      <c r="E66" s="18"/>
      <c r="F66" s="22"/>
      <c r="G66" s="18"/>
    </row>
    <row r="67" spans="1:7" ht="20.100000000000001" customHeight="1">
      <c r="A67" s="17" t="s">
        <v>241</v>
      </c>
      <c r="B67" s="17" t="e">
        <f t="shared" ca="1" si="57"/>
        <v>#NAME?</v>
      </c>
      <c r="C67" s="14" t="e">
        <f t="shared" ca="1" si="58"/>
        <v>#NAME?</v>
      </c>
      <c r="D67" s="17"/>
      <c r="E67" s="17"/>
      <c r="F67" s="22">
        <v>44833</v>
      </c>
      <c r="G67" s="17"/>
    </row>
    <row r="68" spans="1:7" ht="9.9499999999999993" customHeight="1">
      <c r="A68" s="18"/>
      <c r="B68" s="18"/>
      <c r="C68" s="15" t="str">
        <f t="shared" ref="C68" si="74">A67</f>
        <v>OP-1T50-LIN-12V(S)-32</v>
      </c>
      <c r="D68" s="18"/>
      <c r="E68" s="18"/>
      <c r="F68" s="22"/>
      <c r="G68" s="18"/>
    </row>
    <row r="69" spans="1:7" ht="20.100000000000001" customHeight="1">
      <c r="A69" s="17" t="s">
        <v>242</v>
      </c>
      <c r="B69" s="17" t="e">
        <f t="shared" ca="1" si="60"/>
        <v>#NAME?</v>
      </c>
      <c r="C69" s="14" t="e">
        <f t="shared" ca="1" si="61"/>
        <v>#NAME?</v>
      </c>
      <c r="D69" s="17"/>
      <c r="E69" s="17"/>
      <c r="F69" s="22">
        <v>44833</v>
      </c>
      <c r="G69" s="17"/>
    </row>
    <row r="70" spans="1:7" ht="9.6" customHeight="1">
      <c r="A70" s="18"/>
      <c r="B70" s="18"/>
      <c r="C70" s="15" t="str">
        <f t="shared" ref="C70" si="75">A69</f>
        <v>OP-1T50-LIN-12V(S)-33</v>
      </c>
      <c r="D70" s="18"/>
      <c r="E70" s="18"/>
      <c r="F70" s="22"/>
      <c r="G70" s="18"/>
    </row>
    <row r="71" spans="1:7" ht="20.100000000000001" customHeight="1">
      <c r="A71" s="17" t="s">
        <v>243</v>
      </c>
      <c r="B71" s="17" t="e">
        <f t="shared" ca="1" si="60"/>
        <v>#NAME?</v>
      </c>
      <c r="C71" s="14" t="e">
        <f t="shared" ca="1" si="61"/>
        <v>#NAME?</v>
      </c>
      <c r="D71" s="17"/>
      <c r="E71" s="17"/>
      <c r="F71" s="22">
        <v>44833</v>
      </c>
      <c r="G71" s="17"/>
    </row>
    <row r="72" spans="1:7" ht="9.6" customHeight="1">
      <c r="A72" s="18"/>
      <c r="B72" s="18"/>
      <c r="C72" s="15" t="str">
        <f t="shared" ref="C72:C76" si="76">A71</f>
        <v>OP-1T50-LIN-12V(S)-34</v>
      </c>
      <c r="D72" s="18"/>
      <c r="E72" s="18"/>
      <c r="F72" s="22"/>
      <c r="G72" s="18"/>
    </row>
    <row r="73" spans="1:7" ht="20.100000000000001" customHeight="1">
      <c r="A73" s="17" t="s">
        <v>244</v>
      </c>
      <c r="B73" s="17" t="e">
        <f t="shared" ca="1" si="60"/>
        <v>#NAME?</v>
      </c>
      <c r="C73" s="14" t="e">
        <f t="shared" ca="1" si="61"/>
        <v>#NAME?</v>
      </c>
      <c r="D73" s="17"/>
      <c r="E73" s="17"/>
      <c r="F73" s="22">
        <v>44833</v>
      </c>
      <c r="G73" s="17"/>
    </row>
    <row r="74" spans="1:7" ht="9.6" customHeight="1">
      <c r="A74" s="18"/>
      <c r="B74" s="18"/>
      <c r="C74" s="15" t="str">
        <f t="shared" ref="C74:C76" si="77">A73</f>
        <v>OP-1T50-LIN-12V(S)-35</v>
      </c>
      <c r="D74" s="18"/>
      <c r="E74" s="18"/>
      <c r="F74" s="22"/>
      <c r="G74" s="18"/>
    </row>
    <row r="75" spans="1:7" ht="20.100000000000001" customHeight="1">
      <c r="A75" s="17" t="s">
        <v>245</v>
      </c>
      <c r="B75" s="17" t="e">
        <f t="shared" ca="1" si="60"/>
        <v>#NAME?</v>
      </c>
      <c r="C75" s="14" t="e">
        <f t="shared" ca="1" si="61"/>
        <v>#NAME?</v>
      </c>
      <c r="D75" s="17"/>
      <c r="E75" s="17"/>
      <c r="F75" s="22">
        <v>44833</v>
      </c>
      <c r="G75" s="17"/>
    </row>
    <row r="76" spans="1:7" ht="9.6" customHeight="1">
      <c r="A76" s="18"/>
      <c r="B76" s="18"/>
      <c r="C76" s="15" t="str">
        <f t="shared" ref="C76" si="78">A75</f>
        <v>OP-1T50-LIN-12V(S)-36</v>
      </c>
      <c r="D76" s="18"/>
      <c r="E76" s="18"/>
      <c r="F76" s="22"/>
      <c r="G76" s="18"/>
    </row>
  </sheetData>
  <mergeCells count="216">
    <mergeCell ref="A7:A8"/>
    <mergeCell ref="B7:B8"/>
    <mergeCell ref="D7:D8"/>
    <mergeCell ref="E7:E8"/>
    <mergeCell ref="F7:F8"/>
    <mergeCell ref="G7:G8"/>
    <mergeCell ref="A5:A6"/>
    <mergeCell ref="B5:B6"/>
    <mergeCell ref="D5:D6"/>
    <mergeCell ref="E5:E6"/>
    <mergeCell ref="F5:F6"/>
    <mergeCell ref="G5:G6"/>
    <mergeCell ref="A11:A12"/>
    <mergeCell ref="B11:B12"/>
    <mergeCell ref="D11:D12"/>
    <mergeCell ref="E11:E12"/>
    <mergeCell ref="F11:F12"/>
    <mergeCell ref="G11:G12"/>
    <mergeCell ref="A9:A10"/>
    <mergeCell ref="B9:B10"/>
    <mergeCell ref="D9:D10"/>
    <mergeCell ref="E9:E10"/>
    <mergeCell ref="F9:F10"/>
    <mergeCell ref="G9:G10"/>
    <mergeCell ref="A15:A16"/>
    <mergeCell ref="B15:B16"/>
    <mergeCell ref="D15:D16"/>
    <mergeCell ref="E15:E16"/>
    <mergeCell ref="F15:F16"/>
    <mergeCell ref="G15:G16"/>
    <mergeCell ref="A13:A14"/>
    <mergeCell ref="B13:B14"/>
    <mergeCell ref="D13:D14"/>
    <mergeCell ref="E13:E14"/>
    <mergeCell ref="F13:F14"/>
    <mergeCell ref="G13:G14"/>
    <mergeCell ref="A19:A20"/>
    <mergeCell ref="B19:B20"/>
    <mergeCell ref="D19:D20"/>
    <mergeCell ref="E19:E20"/>
    <mergeCell ref="F19:F20"/>
    <mergeCell ref="G19:G20"/>
    <mergeCell ref="A17:A18"/>
    <mergeCell ref="B17:B18"/>
    <mergeCell ref="D17:D18"/>
    <mergeCell ref="E17:E18"/>
    <mergeCell ref="F17:F18"/>
    <mergeCell ref="G17:G18"/>
    <mergeCell ref="A23:A24"/>
    <mergeCell ref="B23:B24"/>
    <mergeCell ref="D23:D24"/>
    <mergeCell ref="E23:E24"/>
    <mergeCell ref="F23:F24"/>
    <mergeCell ref="G23:G24"/>
    <mergeCell ref="A21:A22"/>
    <mergeCell ref="B21:B22"/>
    <mergeCell ref="D21:D22"/>
    <mergeCell ref="E21:E22"/>
    <mergeCell ref="F21:F22"/>
    <mergeCell ref="G21:G22"/>
    <mergeCell ref="A27:A28"/>
    <mergeCell ref="B27:B28"/>
    <mergeCell ref="D27:D28"/>
    <mergeCell ref="E27:E28"/>
    <mergeCell ref="F27:F28"/>
    <mergeCell ref="G27:G28"/>
    <mergeCell ref="A25:A26"/>
    <mergeCell ref="B25:B26"/>
    <mergeCell ref="D25:D26"/>
    <mergeCell ref="E25:E26"/>
    <mergeCell ref="F25:F26"/>
    <mergeCell ref="G25:G26"/>
    <mergeCell ref="A31:A32"/>
    <mergeCell ref="B31:B32"/>
    <mergeCell ref="D31:D32"/>
    <mergeCell ref="E31:E32"/>
    <mergeCell ref="F31:F32"/>
    <mergeCell ref="G31:G32"/>
    <mergeCell ref="A29:A30"/>
    <mergeCell ref="B29:B30"/>
    <mergeCell ref="D29:D30"/>
    <mergeCell ref="E29:E30"/>
    <mergeCell ref="F29:F30"/>
    <mergeCell ref="G29:G30"/>
    <mergeCell ref="A35:A36"/>
    <mergeCell ref="B35:B36"/>
    <mergeCell ref="D35:D36"/>
    <mergeCell ref="E35:E36"/>
    <mergeCell ref="F35:F36"/>
    <mergeCell ref="G35:G36"/>
    <mergeCell ref="A33:A34"/>
    <mergeCell ref="B33:B34"/>
    <mergeCell ref="D33:D34"/>
    <mergeCell ref="E33:E34"/>
    <mergeCell ref="F33:F34"/>
    <mergeCell ref="G33:G34"/>
    <mergeCell ref="A39:A40"/>
    <mergeCell ref="B39:B40"/>
    <mergeCell ref="D39:D40"/>
    <mergeCell ref="E39:E40"/>
    <mergeCell ref="F39:F40"/>
    <mergeCell ref="G39:G40"/>
    <mergeCell ref="A37:A38"/>
    <mergeCell ref="B37:B38"/>
    <mergeCell ref="D37:D38"/>
    <mergeCell ref="E37:E38"/>
    <mergeCell ref="F37:F38"/>
    <mergeCell ref="G37:G38"/>
    <mergeCell ref="A43:A44"/>
    <mergeCell ref="B43:B44"/>
    <mergeCell ref="D43:D44"/>
    <mergeCell ref="E43:E44"/>
    <mergeCell ref="F43:F44"/>
    <mergeCell ref="G43:G44"/>
    <mergeCell ref="A41:A42"/>
    <mergeCell ref="B41:B42"/>
    <mergeCell ref="D41:D42"/>
    <mergeCell ref="E41:E42"/>
    <mergeCell ref="F41:F42"/>
    <mergeCell ref="G41:G42"/>
    <mergeCell ref="A47:A48"/>
    <mergeCell ref="B47:B48"/>
    <mergeCell ref="D47:D48"/>
    <mergeCell ref="E47:E48"/>
    <mergeCell ref="F47:F48"/>
    <mergeCell ref="G47:G48"/>
    <mergeCell ref="A45:A46"/>
    <mergeCell ref="B45:B46"/>
    <mergeCell ref="D45:D46"/>
    <mergeCell ref="E45:E46"/>
    <mergeCell ref="F45:F46"/>
    <mergeCell ref="G45:G46"/>
    <mergeCell ref="A51:A52"/>
    <mergeCell ref="B51:B52"/>
    <mergeCell ref="D51:D52"/>
    <mergeCell ref="E51:E52"/>
    <mergeCell ref="F51:F52"/>
    <mergeCell ref="G51:G52"/>
    <mergeCell ref="A49:A50"/>
    <mergeCell ref="B49:B50"/>
    <mergeCell ref="D49:D50"/>
    <mergeCell ref="E49:E50"/>
    <mergeCell ref="F49:F50"/>
    <mergeCell ref="G49:G50"/>
    <mergeCell ref="A55:A56"/>
    <mergeCell ref="B55:B56"/>
    <mergeCell ref="D55:D56"/>
    <mergeCell ref="E55:E56"/>
    <mergeCell ref="F55:F56"/>
    <mergeCell ref="G55:G56"/>
    <mergeCell ref="A53:A54"/>
    <mergeCell ref="B53:B54"/>
    <mergeCell ref="D53:D54"/>
    <mergeCell ref="E53:E54"/>
    <mergeCell ref="F53:F54"/>
    <mergeCell ref="G53:G54"/>
    <mergeCell ref="A59:A60"/>
    <mergeCell ref="B59:B60"/>
    <mergeCell ref="D59:D60"/>
    <mergeCell ref="E59:E60"/>
    <mergeCell ref="F59:F60"/>
    <mergeCell ref="G59:G60"/>
    <mergeCell ref="A57:A58"/>
    <mergeCell ref="B57:B58"/>
    <mergeCell ref="D57:D58"/>
    <mergeCell ref="E57:E58"/>
    <mergeCell ref="F57:F58"/>
    <mergeCell ref="G57:G58"/>
    <mergeCell ref="A63:A64"/>
    <mergeCell ref="B63:B64"/>
    <mergeCell ref="D63:D64"/>
    <mergeCell ref="E63:E64"/>
    <mergeCell ref="F63:F64"/>
    <mergeCell ref="G63:G64"/>
    <mergeCell ref="A61:A62"/>
    <mergeCell ref="B61:B62"/>
    <mergeCell ref="D61:D62"/>
    <mergeCell ref="E61:E62"/>
    <mergeCell ref="F61:F62"/>
    <mergeCell ref="G61:G62"/>
    <mergeCell ref="A67:A68"/>
    <mergeCell ref="B67:B68"/>
    <mergeCell ref="D67:D68"/>
    <mergeCell ref="E67:E68"/>
    <mergeCell ref="F67:F68"/>
    <mergeCell ref="G67:G68"/>
    <mergeCell ref="A65:A66"/>
    <mergeCell ref="B65:B66"/>
    <mergeCell ref="D65:D66"/>
    <mergeCell ref="E65:E66"/>
    <mergeCell ref="F65:F66"/>
    <mergeCell ref="G65:G66"/>
    <mergeCell ref="A71:A72"/>
    <mergeCell ref="B71:B72"/>
    <mergeCell ref="D71:D72"/>
    <mergeCell ref="E71:E72"/>
    <mergeCell ref="F71:F72"/>
    <mergeCell ref="G71:G72"/>
    <mergeCell ref="A69:A70"/>
    <mergeCell ref="B69:B70"/>
    <mergeCell ref="D69:D70"/>
    <mergeCell ref="E69:E70"/>
    <mergeCell ref="F69:F70"/>
    <mergeCell ref="G69:G70"/>
    <mergeCell ref="A75:A76"/>
    <mergeCell ref="B75:B76"/>
    <mergeCell ref="D75:D76"/>
    <mergeCell ref="E75:E76"/>
    <mergeCell ref="F75:F76"/>
    <mergeCell ref="G75:G76"/>
    <mergeCell ref="A73:A74"/>
    <mergeCell ref="B73:B74"/>
    <mergeCell ref="D73:D74"/>
    <mergeCell ref="E73:E74"/>
    <mergeCell ref="F73:F74"/>
    <mergeCell ref="G73:G74"/>
  </mergeCells>
  <conditionalFormatting sqref="A5:G5 A6:D6 F6:G6 B7:E7 B9:E9 B11:E11 B13:E13 B15:E15 B17:E17 B19:E19 B21:E21 B23:E23 B25:E25 B8:D8 B10:D10 B12:D12 B14:D14 B16:D16 B18:D18 B20:D20 B22:D22 B24:D24 B26:D26 B27:E27 B49:E49 B28:D28 B50:D50 B29:E29 B51:E51 B31:E31 B53:E53 B33:E33 B55:E55 B35:E35 B57:E57 B37:E37 B59:E59 B39:E39 B61:E61 B41:E41 B63:E63 B43:E43 B65:E65 B45:E45 B67:E67 B47:E47 B69:E69 B30:D30 B52:D52 B32:D32 B54:D54 B34:D34 B56:D56 B36:D36 B58:D58 B38:D38 B60:D60 B40:D40 B62:D62 B42:D42 B64:D64 B44:D44 B66:D66 B46:D46 B68:D68 B48:D48 B70:D70 B71:E71 B73:E73 B75:E75 B72:D72 B74:D74 B76:D76 G7:G76 A7:A76">
    <cfRule type="expression" dxfId="35" priority="36">
      <formula>$G5="A"</formula>
    </cfRule>
  </conditionalFormatting>
  <conditionalFormatting sqref="F7:F8">
    <cfRule type="expression" dxfId="34" priority="35">
      <formula>$G7="A"</formula>
    </cfRule>
  </conditionalFormatting>
  <conditionalFormatting sqref="F9:F10">
    <cfRule type="expression" dxfId="33" priority="34">
      <formula>$G9="A"</formula>
    </cfRule>
  </conditionalFormatting>
  <conditionalFormatting sqref="F13:F14">
    <cfRule type="expression" dxfId="32" priority="33">
      <formula>$G13="A"</formula>
    </cfRule>
  </conditionalFormatting>
  <conditionalFormatting sqref="F11:F12">
    <cfRule type="expression" dxfId="31" priority="32">
      <formula>$G11="A"</formula>
    </cfRule>
  </conditionalFormatting>
  <conditionalFormatting sqref="F15:F16">
    <cfRule type="expression" dxfId="30" priority="31">
      <formula>$G15="A"</formula>
    </cfRule>
  </conditionalFormatting>
  <conditionalFormatting sqref="F17:F18">
    <cfRule type="expression" dxfId="29" priority="30">
      <formula>$G17="A"</formula>
    </cfRule>
  </conditionalFormatting>
  <conditionalFormatting sqref="F19:F20">
    <cfRule type="expression" dxfId="28" priority="29">
      <formula>$G19="A"</formula>
    </cfRule>
  </conditionalFormatting>
  <conditionalFormatting sqref="F21:F22">
    <cfRule type="expression" dxfId="27" priority="28">
      <formula>$G21="A"</formula>
    </cfRule>
  </conditionalFormatting>
  <conditionalFormatting sqref="F23:F24">
    <cfRule type="expression" dxfId="26" priority="27">
      <formula>$G23="A"</formula>
    </cfRule>
  </conditionalFormatting>
  <conditionalFormatting sqref="F25:F26">
    <cfRule type="expression" dxfId="25" priority="26">
      <formula>$G25="A"</formula>
    </cfRule>
  </conditionalFormatting>
  <conditionalFormatting sqref="F27:F28">
    <cfRule type="expression" dxfId="24" priority="25">
      <formula>$G27="A"</formula>
    </cfRule>
  </conditionalFormatting>
  <conditionalFormatting sqref="F29:F30">
    <cfRule type="expression" dxfId="23" priority="24">
      <formula>$G29="A"</formula>
    </cfRule>
  </conditionalFormatting>
  <conditionalFormatting sqref="F31:F32">
    <cfRule type="expression" dxfId="22" priority="23">
      <formula>$G31="A"</formula>
    </cfRule>
  </conditionalFormatting>
  <conditionalFormatting sqref="F33:F34">
    <cfRule type="expression" dxfId="21" priority="22">
      <formula>$G33="A"</formula>
    </cfRule>
  </conditionalFormatting>
  <conditionalFormatting sqref="F35:F36">
    <cfRule type="expression" dxfId="20" priority="21">
      <formula>$G35="A"</formula>
    </cfRule>
  </conditionalFormatting>
  <conditionalFormatting sqref="F37:F38">
    <cfRule type="expression" dxfId="19" priority="20">
      <formula>$G37="A"</formula>
    </cfRule>
  </conditionalFormatting>
  <conditionalFormatting sqref="F39:F40">
    <cfRule type="expression" dxfId="18" priority="19">
      <formula>$G39="A"</formula>
    </cfRule>
  </conditionalFormatting>
  <conditionalFormatting sqref="F41:F42">
    <cfRule type="expression" dxfId="17" priority="18">
      <formula>$G41="A"</formula>
    </cfRule>
  </conditionalFormatting>
  <conditionalFormatting sqref="F43:F44">
    <cfRule type="expression" dxfId="16" priority="17">
      <formula>$G43="A"</formula>
    </cfRule>
  </conditionalFormatting>
  <conditionalFormatting sqref="F45:F46">
    <cfRule type="expression" dxfId="15" priority="16">
      <formula>$G45="A"</formula>
    </cfRule>
  </conditionalFormatting>
  <conditionalFormatting sqref="F47:F48">
    <cfRule type="expression" dxfId="14" priority="15">
      <formula>$G47="A"</formula>
    </cfRule>
  </conditionalFormatting>
  <conditionalFormatting sqref="F49:F50">
    <cfRule type="expression" dxfId="13" priority="14">
      <formula>$G49="A"</formula>
    </cfRule>
  </conditionalFormatting>
  <conditionalFormatting sqref="F51:F52">
    <cfRule type="expression" dxfId="12" priority="13">
      <formula>$G51="A"</formula>
    </cfRule>
  </conditionalFormatting>
  <conditionalFormatting sqref="F53:F54">
    <cfRule type="expression" dxfId="11" priority="12">
      <formula>$G53="A"</formula>
    </cfRule>
  </conditionalFormatting>
  <conditionalFormatting sqref="F55:F56">
    <cfRule type="expression" dxfId="10" priority="11">
      <formula>$G55="A"</formula>
    </cfRule>
  </conditionalFormatting>
  <conditionalFormatting sqref="F57:F58">
    <cfRule type="expression" dxfId="9" priority="10">
      <formula>$G57="A"</formula>
    </cfRule>
  </conditionalFormatting>
  <conditionalFormatting sqref="F59:F60">
    <cfRule type="expression" dxfId="8" priority="9">
      <formula>$G59="A"</formula>
    </cfRule>
  </conditionalFormatting>
  <conditionalFormatting sqref="F61:F62">
    <cfRule type="expression" dxfId="7" priority="8">
      <formula>$G61="A"</formula>
    </cfRule>
  </conditionalFormatting>
  <conditionalFormatting sqref="F63:F64">
    <cfRule type="expression" dxfId="6" priority="7">
      <formula>$G63="A"</formula>
    </cfRule>
  </conditionalFormatting>
  <conditionalFormatting sqref="F65:F66">
    <cfRule type="expression" dxfId="5" priority="6">
      <formula>$G65="A"</formula>
    </cfRule>
  </conditionalFormatting>
  <conditionalFormatting sqref="F67:F68">
    <cfRule type="expression" dxfId="4" priority="5">
      <formula>$G67="A"</formula>
    </cfRule>
  </conditionalFormatting>
  <conditionalFormatting sqref="F69:F70">
    <cfRule type="expression" dxfId="3" priority="4">
      <formula>$G69="A"</formula>
    </cfRule>
  </conditionalFormatting>
  <conditionalFormatting sqref="F71:F72">
    <cfRule type="expression" dxfId="2" priority="3">
      <formula>$G71="A"</formula>
    </cfRule>
  </conditionalFormatting>
  <conditionalFormatting sqref="F73:F74">
    <cfRule type="expression" dxfId="1" priority="2">
      <formula>$G73="A"</formula>
    </cfRule>
  </conditionalFormatting>
  <conditionalFormatting sqref="F75:F76">
    <cfRule type="expression" dxfId="0" priority="1">
      <formula>$G75="A"</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AC98D196DBAFC4FB9860BD1AA00B231" ma:contentTypeVersion="5" ma:contentTypeDescription="Create a new document." ma:contentTypeScope="" ma:versionID="fe9cdfcddc5360ab06a7fb61bb1c109e">
  <xsd:schema xmlns:xsd="http://www.w3.org/2001/XMLSchema" xmlns:xs="http://www.w3.org/2001/XMLSchema" xmlns:p="http://schemas.microsoft.com/office/2006/metadata/properties" xmlns:ns2="68f5868c-b447-4d4f-ae61-d64a1179e3b1" xmlns:ns3="3d12eee9-f289-427d-83d2-7862644c8250" targetNamespace="http://schemas.microsoft.com/office/2006/metadata/properties" ma:root="true" ma:fieldsID="22ccb26dea5ec9ad5f67159f175707ea" ns2:_="" ns3:_="">
    <xsd:import namespace="68f5868c-b447-4d4f-ae61-d64a1179e3b1"/>
    <xsd:import namespace="3d12eee9-f289-427d-83d2-7862644c825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f5868c-b447-4d4f-ae61-d64a1179e3b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12eee9-f289-427d-83d2-7862644c825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808209-CBC8-4845-825B-5375774025A0}"/>
</file>

<file path=customXml/itemProps2.xml><?xml version="1.0" encoding="utf-8"?>
<ds:datastoreItem xmlns:ds="http://schemas.openxmlformats.org/officeDocument/2006/customXml" ds:itemID="{36BC3975-AAD3-420E-8E99-6DA236D4F3C1}"/>
</file>

<file path=customXml/itemProps3.xml><?xml version="1.0" encoding="utf-8"?>
<ds:datastoreItem xmlns:ds="http://schemas.openxmlformats.org/officeDocument/2006/customXml" ds:itemID="{57C527A4-59ED-411E-88BB-AD382F54E69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Liu</dc:creator>
  <cp:keywords/>
  <dc:description/>
  <cp:lastModifiedBy>Dadhiala, Jiya</cp:lastModifiedBy>
  <cp:revision/>
  <dcterms:created xsi:type="dcterms:W3CDTF">2022-04-27T19:38:46Z</dcterms:created>
  <dcterms:modified xsi:type="dcterms:W3CDTF">2023-06-23T15:21:13Z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0x0101007AC98D196DBAFC4FB9860BD1AA00B231</vt:lpwstr>
  </property>
</Properties>
</file>