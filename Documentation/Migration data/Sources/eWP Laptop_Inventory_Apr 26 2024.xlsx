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Quang Thang\Projects\Database\Migration data\References\"/>
    </mc:Choice>
  </mc:AlternateContent>
  <bookViews>
    <workbookView xWindow="0" yWindow="0" windowWidth="28800" windowHeight="12000" tabRatio="364"/>
  </bookViews>
  <sheets>
    <sheet name="Laptop List " sheetId="1" r:id="rId1"/>
    <sheet name="DARs-Laptops Cleaning list" sheetId="3" r:id="rId2"/>
    <sheet name="Oil Pump Aug 2023" sheetId="4" r:id="rId3"/>
  </sheets>
  <definedNames>
    <definedName name="_xlnm._FilterDatabase" localSheetId="2" hidden="1">'Oil Pump Aug 2023'!$A$1:$V$23</definedName>
    <definedName name="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8" i="1" l="1"/>
  <c r="J128" i="1"/>
  <c r="K132" i="1" l="1"/>
  <c r="I8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I121" i="1" l="1"/>
  <c r="I120" i="1"/>
  <c r="I119" i="1"/>
  <c r="I118" i="1"/>
  <c r="I116" i="1"/>
  <c r="I115" i="1"/>
  <c r="I114" i="1"/>
  <c r="I113" i="1"/>
  <c r="I112" i="1"/>
  <c r="I111" i="1"/>
  <c r="I110" i="1"/>
  <c r="I109" i="1"/>
  <c r="I101" i="1"/>
  <c r="I98" i="1"/>
  <c r="I97" i="1"/>
  <c r="I86" i="1"/>
  <c r="I84" i="1"/>
  <c r="I83" i="1"/>
  <c r="I82" i="1"/>
  <c r="I81" i="1"/>
  <c r="I80" i="1"/>
  <c r="I79" i="1"/>
  <c r="I78" i="1"/>
  <c r="I77" i="1"/>
  <c r="I76" i="1"/>
  <c r="I75" i="1"/>
  <c r="I74" i="1"/>
  <c r="I73" i="1"/>
  <c r="I71" i="1"/>
  <c r="I70" i="1"/>
  <c r="I68" i="1"/>
  <c r="I67" i="1"/>
  <c r="I66" i="1"/>
  <c r="I65" i="1"/>
  <c r="I64" i="1"/>
  <c r="I63" i="1"/>
  <c r="I62" i="1"/>
  <c r="I61" i="1"/>
  <c r="I60" i="1"/>
  <c r="I59" i="1"/>
  <c r="I57" i="1"/>
  <c r="I52" i="1"/>
  <c r="I51" i="1"/>
  <c r="I50" i="1"/>
  <c r="I49" i="1"/>
  <c r="I48" i="1"/>
  <c r="I46" i="1"/>
  <c r="I45" i="1"/>
  <c r="I44" i="1"/>
  <c r="I43" i="1"/>
  <c r="I42" i="1"/>
  <c r="I41" i="1"/>
  <c r="I40" i="1"/>
  <c r="I39" i="1"/>
  <c r="I38" i="1"/>
  <c r="I37" i="1"/>
  <c r="I36" i="1"/>
  <c r="I34" i="1"/>
  <c r="I33" i="1"/>
  <c r="I32" i="1"/>
  <c r="I31" i="1"/>
  <c r="I29" i="1"/>
  <c r="I28" i="1"/>
  <c r="I27" i="1"/>
  <c r="I26" i="1"/>
  <c r="I25" i="1"/>
  <c r="I24" i="1"/>
  <c r="I23" i="1"/>
  <c r="I22" i="1"/>
  <c r="I21" i="1"/>
  <c r="I20" i="1"/>
  <c r="I17" i="1"/>
  <c r="I14" i="1"/>
  <c r="I13" i="1"/>
  <c r="I12" i="1"/>
  <c r="I9" i="1"/>
  <c r="I6" i="1"/>
  <c r="I7" i="1"/>
  <c r="I10" i="1"/>
  <c r="I11" i="1"/>
  <c r="I15" i="1"/>
  <c r="I16" i="1"/>
  <c r="I18" i="1"/>
  <c r="I30" i="1"/>
  <c r="I35" i="1"/>
  <c r="I47" i="1"/>
  <c r="I53" i="1"/>
  <c r="I54" i="1"/>
  <c r="I55" i="1"/>
  <c r="I56" i="1"/>
  <c r="I58" i="1"/>
  <c r="I69" i="1"/>
  <c r="I72" i="1"/>
  <c r="I99" i="1"/>
  <c r="I100" i="1"/>
  <c r="H139" i="1" l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5" i="1"/>
  <c r="H156" i="1"/>
  <c r="H157" i="1"/>
  <c r="H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38" i="1"/>
  <c r="G130" i="1" l="1"/>
  <c r="H130" i="1"/>
  <c r="J130" i="1" l="1"/>
  <c r="H154" i="1"/>
  <c r="J134" i="3"/>
  <c r="J133" i="3"/>
  <c r="J130" i="3"/>
  <c r="H134" i="3"/>
  <c r="H133" i="3"/>
  <c r="H130" i="3"/>
  <c r="J132" i="3" l="1"/>
  <c r="J135" i="3" s="1"/>
  <c r="H132" i="3"/>
  <c r="H135" i="3" s="1"/>
  <c r="W140" i="1"/>
  <c r="V140" i="1"/>
  <c r="W139" i="1"/>
  <c r="W136" i="1"/>
  <c r="V136" i="1"/>
  <c r="V138" i="1" l="1"/>
  <c r="W138" i="1"/>
  <c r="W141" i="1" s="1"/>
  <c r="V141" i="1" l="1"/>
</calcChain>
</file>

<file path=xl/comments1.xml><?xml version="1.0" encoding="utf-8"?>
<comments xmlns="http://schemas.openxmlformats.org/spreadsheetml/2006/main">
  <authors>
    <author>Al-Sammak, Said</author>
    <author>Said Al-Sammak</author>
    <author>Rushik Khandwala</author>
  </authors>
  <commentList>
    <comment ref="Q7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SYSTEM pcb sn
1ZJDM11J4XJ</t>
        </r>
      </text>
    </comment>
    <comment ref="Q11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SYSTEM pcb sn
1ZHXC07L1CY</t>
        </r>
      </text>
    </comment>
    <comment ref="M14" authorId="1" shapeId="0">
      <text>
        <r>
          <rPr>
            <b/>
            <sz val="9"/>
            <color indexed="81"/>
            <rFont val="Tahoma"/>
            <charset val="1"/>
          </rPr>
          <t>Said Al-Sammak:</t>
        </r>
        <r>
          <rPr>
            <sz val="9"/>
            <color indexed="81"/>
            <rFont val="Tahoma"/>
            <charset val="1"/>
          </rPr>
          <t xml:space="preserve">
repleced slot 2 from 2G to 4G</t>
        </r>
      </text>
    </comment>
    <comment ref="U14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Updated to win 10 Mar 23 2022</t>
        </r>
      </text>
    </comment>
    <comment ref="U17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Updated to win 10 May 4th 2022</t>
        </r>
      </text>
    </comment>
    <comment ref="M24" authorId="1" shapeId="0">
      <text>
        <r>
          <rPr>
            <b/>
            <sz val="9"/>
            <color indexed="81"/>
            <rFont val="Tahoma"/>
            <family val="2"/>
          </rPr>
          <t>Said Al-Sammak:</t>
        </r>
        <r>
          <rPr>
            <sz val="9"/>
            <color indexed="81"/>
            <rFont val="Tahoma"/>
            <family val="2"/>
          </rPr>
          <t xml:space="preserve">
2 new 8G card been used for this upgrade</t>
        </r>
      </text>
    </comment>
    <comment ref="U24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Updated to win 10 Mar 23 2022</t>
        </r>
      </text>
    </comment>
    <comment ref="U25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Updated to win 10 Mar 23 2022</t>
        </r>
      </text>
    </comment>
    <comment ref="U26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Al-Sammak, Said:
Updated to win 10 Mar 23 2022</t>
        </r>
      </text>
    </comment>
    <comment ref="C32" authorId="2" shapeId="0">
      <text>
        <r>
          <rPr>
            <b/>
            <sz val="9"/>
            <color indexed="81"/>
            <rFont val="Tahoma"/>
            <family val="2"/>
          </rPr>
          <t>Rushik Khandwala:</t>
        </r>
        <r>
          <rPr>
            <sz val="9"/>
            <color indexed="81"/>
            <rFont val="Tahoma"/>
            <family val="2"/>
          </rPr>
          <t xml:space="preserve">
Keyboard is not functioning properly</t>
        </r>
      </text>
    </comment>
    <comment ref="M38" authorId="1" shapeId="0">
      <text>
        <r>
          <rPr>
            <b/>
            <sz val="9"/>
            <color indexed="81"/>
            <rFont val="Tahoma"/>
            <charset val="1"/>
          </rPr>
          <t>Said Al-Sammak:</t>
        </r>
        <r>
          <rPr>
            <sz val="9"/>
            <color indexed="81"/>
            <rFont val="Tahoma"/>
            <charset val="1"/>
          </rPr>
          <t xml:space="preserve">
Jan 3 2024 added 4G</t>
        </r>
      </text>
    </comment>
    <comment ref="M39" authorId="2" shapeId="0">
      <text>
        <r>
          <rPr>
            <b/>
            <sz val="9"/>
            <color indexed="81"/>
            <rFont val="Tahoma"/>
            <charset val="1"/>
          </rPr>
          <t>Rushik Khandwala:</t>
        </r>
        <r>
          <rPr>
            <sz val="9"/>
            <color indexed="81"/>
            <rFont val="Tahoma"/>
            <charset val="1"/>
          </rPr>
          <t xml:space="preserve">
2 new memory module of 8GB has been replaced</t>
        </r>
      </text>
    </comment>
    <comment ref="M52" authorId="2" shapeId="0">
      <text>
        <r>
          <rPr>
            <b/>
            <sz val="9"/>
            <color indexed="81"/>
            <rFont val="Tahoma"/>
            <charset val="1"/>
          </rPr>
          <t>Rushik Khandwala:</t>
        </r>
        <r>
          <rPr>
            <sz val="9"/>
            <color indexed="81"/>
            <rFont val="Tahoma"/>
            <charset val="1"/>
          </rPr>
          <t xml:space="preserve">
Upgraded to 8 GB from WP034. Slot1-4GB,Slot 2-4B.</t>
        </r>
      </text>
    </comment>
    <comment ref="Q53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SYSTEM pcb sn
1ZJJ114HHWH</t>
        </r>
      </text>
    </comment>
    <comment ref="M64" authorId="2" shapeId="0">
      <text>
        <r>
          <rPr>
            <b/>
            <sz val="9"/>
            <color indexed="81"/>
            <rFont val="Tahoma"/>
            <charset val="1"/>
          </rPr>
          <t>Rushik Khandwala:</t>
        </r>
        <r>
          <rPr>
            <sz val="9"/>
            <color indexed="81"/>
            <rFont val="Tahoma"/>
            <charset val="1"/>
          </rPr>
          <t xml:space="preserve">
2 8GB MEMORY MODULE REPLACED</t>
        </r>
      </text>
    </comment>
    <comment ref="M71" authorId="2" shapeId="0">
      <text>
        <r>
          <rPr>
            <b/>
            <sz val="9"/>
            <color indexed="81"/>
            <rFont val="Tahoma"/>
            <charset val="1"/>
          </rPr>
          <t>Rushik Khandwala:</t>
        </r>
        <r>
          <rPr>
            <sz val="9"/>
            <color indexed="81"/>
            <rFont val="Tahoma"/>
            <charset val="1"/>
          </rPr>
          <t xml:space="preserve">
2 memory card replaced for mewp4</t>
        </r>
      </text>
    </comment>
    <comment ref="M72" authorId="1" shapeId="0">
      <text>
        <r>
          <rPr>
            <b/>
            <sz val="9"/>
            <color indexed="81"/>
            <rFont val="Tahoma"/>
            <charset val="1"/>
          </rPr>
          <t>Said Al-Sammak:</t>
        </r>
        <r>
          <rPr>
            <sz val="9"/>
            <color indexed="81"/>
            <rFont val="Tahoma"/>
            <charset val="1"/>
          </rPr>
          <t xml:space="preserve">
this was not active before sep 29 2023. we had upgraded 2 G.Skill new GM memory for IT testing</t>
        </r>
      </text>
    </comment>
    <comment ref="Q75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SYSTEM pcb sn
1ZJDM1296TC</t>
        </r>
      </text>
    </comment>
    <comment ref="M81" authorId="2" shapeId="0">
      <text>
        <r>
          <rPr>
            <b/>
            <sz val="9"/>
            <color indexed="81"/>
            <rFont val="Tahoma"/>
            <charset val="1"/>
          </rPr>
          <t>Rushik Khandwala:</t>
        </r>
        <r>
          <rPr>
            <sz val="9"/>
            <color indexed="81"/>
            <rFont val="Tahoma"/>
            <charset val="1"/>
          </rPr>
          <t xml:space="preserve">
2 8GB memory card has been replaced.</t>
        </r>
      </text>
    </comment>
    <comment ref="M85" authorId="2" shapeId="0">
      <text>
        <r>
          <rPr>
            <b/>
            <sz val="9"/>
            <color indexed="81"/>
            <rFont val="Tahoma"/>
            <charset val="1"/>
          </rPr>
          <t>Rushik Khandwala:</t>
        </r>
        <r>
          <rPr>
            <sz val="9"/>
            <color indexed="81"/>
            <rFont val="Tahoma"/>
            <charset val="1"/>
          </rPr>
          <t xml:space="preserve">
Only upgrable up to 12 GB.</t>
        </r>
      </text>
    </comment>
    <comment ref="M88" authorId="2" shapeId="0">
      <text>
        <r>
          <rPr>
            <b/>
            <sz val="9"/>
            <color indexed="81"/>
            <rFont val="Tahoma"/>
            <charset val="1"/>
          </rPr>
          <t>Rushik Khandwala:</t>
        </r>
        <r>
          <rPr>
            <sz val="9"/>
            <color indexed="81"/>
            <rFont val="Tahoma"/>
            <charset val="1"/>
          </rPr>
          <t xml:space="preserve">
Replaced FROM 4 GB TO 8 gb FOR SLOT 2</t>
        </r>
      </text>
    </comment>
    <comment ref="M92" authorId="2" shapeId="0">
      <text>
        <r>
          <rPr>
            <b/>
            <sz val="9"/>
            <color indexed="81"/>
            <rFont val="Tahoma"/>
            <charset val="1"/>
          </rPr>
          <t>Rushik Khandwala:</t>
        </r>
        <r>
          <rPr>
            <sz val="9"/>
            <color indexed="81"/>
            <rFont val="Tahoma"/>
            <charset val="1"/>
          </rPr>
          <t xml:space="preserve">
Updated slot2 with 8GB Memory module from WP066.</t>
        </r>
      </text>
    </comment>
    <comment ref="M117" authorId="1" shapeId="0">
      <text>
        <r>
          <rPr>
            <b/>
            <sz val="9"/>
            <color indexed="81"/>
            <rFont val="Tahoma"/>
            <family val="2"/>
          </rPr>
          <t>Said Al-Sammak:</t>
        </r>
        <r>
          <rPr>
            <sz val="9"/>
            <color indexed="81"/>
            <rFont val="Tahoma"/>
            <family val="2"/>
          </rPr>
          <t xml:space="preserve">
Uses one of two of the 16 G DDR4 Ram</t>
        </r>
      </text>
    </comment>
    <comment ref="M120" authorId="2" shapeId="0">
      <text>
        <r>
          <rPr>
            <b/>
            <sz val="9"/>
            <color indexed="81"/>
            <rFont val="Tahoma"/>
            <charset val="1"/>
          </rPr>
          <t>Rushik Khandwala:</t>
        </r>
        <r>
          <rPr>
            <sz val="9"/>
            <color indexed="81"/>
            <rFont val="Tahoma"/>
            <charset val="1"/>
          </rPr>
          <t xml:space="preserve">
2 8GB MEMORY MODULE REPLACED.</t>
        </r>
      </text>
    </comment>
  </commentList>
</comments>
</file>

<file path=xl/comments2.xml><?xml version="1.0" encoding="utf-8"?>
<comments xmlns="http://schemas.openxmlformats.org/spreadsheetml/2006/main">
  <authors>
    <author>Al-Sammak, Said</author>
  </authors>
  <commentList>
    <comment ref="D7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SYSTEM pcb sn
1ZJDM11J4XJ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SYSTEM pcb sn
1ZHXC07L1CY</t>
        </r>
      </text>
    </comment>
    <comment ref="D53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SYSTEM pcb sn
1ZJJ114HHWH</t>
        </r>
      </text>
    </comment>
    <comment ref="D75" authorId="0" shapeId="0">
      <text>
        <r>
          <rPr>
            <b/>
            <sz val="9"/>
            <color indexed="81"/>
            <rFont val="Tahoma"/>
            <family val="2"/>
          </rPr>
          <t>Al-Sammak, Said:</t>
        </r>
        <r>
          <rPr>
            <sz val="9"/>
            <color indexed="81"/>
            <rFont val="Tahoma"/>
            <family val="2"/>
          </rPr>
          <t xml:space="preserve">
SYSTEM pcb sn
1ZJDM1296TC</t>
        </r>
      </text>
    </comment>
  </commentList>
</comments>
</file>

<file path=xl/comments3.xml><?xml version="1.0" encoding="utf-8"?>
<comments xmlns="http://schemas.openxmlformats.org/spreadsheetml/2006/main">
  <authors>
    <author>Lei (Simon) Wang</author>
    <author>Wang, Simon</author>
  </authors>
  <commentList>
    <comment ref="O2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add 4GB ram chip by IT
4/12/2022</t>
        </r>
      </text>
    </comment>
    <comment ref="S2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3/14/2022,
upgrading w Win 10, use 64bit option</t>
        </r>
      </text>
    </comment>
    <comment ref="T2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2023.04.27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2/25/2022</t>
        </r>
      </text>
    </comment>
    <comment ref="T4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2023.04.26</t>
        </r>
      </text>
    </comment>
    <comment ref="S5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Upgrading on 3/15/2022
use 64 bit selection</t>
        </r>
      </text>
    </comment>
    <comment ref="T5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2023.04.26</t>
        </r>
      </text>
    </comment>
    <comment ref="S6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Upgrading on 3/4/2022
use 64 bit selection</t>
        </r>
      </text>
    </comment>
    <comment ref="T6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2023.04.18</t>
        </r>
      </text>
    </comment>
    <comment ref="S7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Upgrading 3/8/2022 w 64bit option</t>
        </r>
      </text>
    </comment>
    <comment ref="T7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2023.4.14</t>
        </r>
      </text>
    </comment>
    <comment ref="S8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Upgrade 2/18/2022</t>
        </r>
      </text>
    </comment>
    <comment ref="T8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2023.04.13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2/8/2022 upgrade</t>
        </r>
      </text>
    </comment>
    <comment ref="T9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2023.04.25
</t>
        </r>
      </text>
    </comment>
    <comment ref="S10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TBD</t>
        </r>
      </text>
    </comment>
    <comment ref="S11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2/10/2022 upgrade</t>
        </r>
      </text>
    </comment>
    <comment ref="T11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2023.04.26</t>
        </r>
      </text>
    </comment>
    <comment ref="S12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Upgrading to Win 10 at 6/14/2018</t>
        </r>
      </text>
    </comment>
    <comment ref="S13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Upgrading on 3/16/2022
use 64 bit selection
5/16/2022 fix by IT, RAM=8GB</t>
        </r>
      </text>
    </comment>
    <comment ref="T13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2023.04.13</t>
        </r>
      </text>
    </comment>
    <comment ref="V13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After update BIOS by Rushik, issue fixed</t>
        </r>
      </text>
    </comment>
    <comment ref="S14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Upgrading WIN 10 3/15/2022</t>
        </r>
      </text>
    </comment>
    <comment ref="T14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2023.3.24</t>
        </r>
      </text>
    </comment>
    <comment ref="S15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Upgrading WIN 10 3/15/2022</t>
        </r>
      </text>
    </comment>
    <comment ref="T15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2023.3.22</t>
        </r>
      </text>
    </comment>
    <comment ref="S16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Upgrading w Win 10 3/10/2022</t>
        </r>
      </text>
    </comment>
    <comment ref="T16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2023.3.24</t>
        </r>
      </text>
    </comment>
    <comment ref="S17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Upgrading on 3/21/22/2022</t>
        </r>
      </text>
    </comment>
    <comment ref="T17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2023.04.26</t>
        </r>
      </text>
    </comment>
    <comment ref="S18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2/24/2022</t>
        </r>
      </text>
    </comment>
    <comment ref="T18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2023.04.06</t>
        </r>
      </text>
    </comment>
    <comment ref="J19" authorId="1" shapeId="0">
      <text>
        <r>
          <rPr>
            <b/>
            <sz val="9"/>
            <color indexed="81"/>
            <rFont val="Tahoma"/>
            <family val="2"/>
          </rPr>
          <t>Wang, Simon:</t>
        </r>
        <r>
          <rPr>
            <sz val="9"/>
            <color indexed="81"/>
            <rFont val="Tahoma"/>
            <family val="2"/>
          </rPr>
          <t xml:space="preserve">
Display not good, an issue.</t>
        </r>
      </text>
    </comment>
    <comment ref="S19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10/2021 upgrade</t>
        </r>
      </text>
    </comment>
    <comment ref="S20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12/2021 upgrade</t>
        </r>
      </text>
    </comment>
    <comment ref="T20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2023.04.26</t>
        </r>
      </text>
    </comment>
    <comment ref="S21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10/2021 upgrade</t>
        </r>
      </text>
    </comment>
    <comment ref="S22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2/3/2022 upgrade</t>
        </r>
      </text>
    </comment>
    <comment ref="T22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2023.04.10</t>
        </r>
      </text>
    </comment>
    <comment ref="B23" authorId="1" shapeId="0">
      <text>
        <r>
          <rPr>
            <b/>
            <sz val="9"/>
            <color indexed="81"/>
            <rFont val="Tahoma"/>
            <family val="2"/>
          </rPr>
          <t>Wang, Simon:</t>
        </r>
        <r>
          <rPr>
            <sz val="9"/>
            <color indexed="81"/>
            <rFont val="Tahoma"/>
            <family val="2"/>
          </rPr>
          <t xml:space="preserve">
Used for ETS-02 before.</t>
        </r>
      </text>
    </comment>
    <comment ref="S23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3/3/2022 upgrading</t>
        </r>
      </text>
    </comment>
    <comment ref="T23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2023.3.20</t>
        </r>
      </text>
    </comment>
    <comment ref="V23" authorId="0" shapeId="0">
      <text>
        <r>
          <rPr>
            <b/>
            <sz val="9"/>
            <color indexed="81"/>
            <rFont val="Tahoma"/>
            <family val="2"/>
          </rPr>
          <t>Lei (Simon) Wang:</t>
        </r>
        <r>
          <rPr>
            <sz val="9"/>
            <color indexed="81"/>
            <rFont val="Tahoma"/>
            <family val="2"/>
          </rPr>
          <t xml:space="preserve">
Issue fixed after BIOS updated by Rushik.</t>
        </r>
      </text>
    </comment>
  </commentList>
</comments>
</file>

<file path=xl/sharedStrings.xml><?xml version="1.0" encoding="utf-8"?>
<sst xmlns="http://schemas.openxmlformats.org/spreadsheetml/2006/main" count="2726" uniqueCount="973">
  <si>
    <t>Color coding</t>
  </si>
  <si>
    <t>with keyboard cover</t>
  </si>
  <si>
    <t>Awaiting letter cover</t>
  </si>
  <si>
    <t>Not in house</t>
  </si>
  <si>
    <t>Awaiting flat cover</t>
  </si>
  <si>
    <t>Last update Jan 3rd 2024</t>
  </si>
  <si>
    <t>Laptop ID</t>
  </si>
  <si>
    <t>Brand</t>
  </si>
  <si>
    <t>Computer Name</t>
  </si>
  <si>
    <t>Hanon Control Wi-Fi</t>
  </si>
  <si>
    <t>MAC Address</t>
  </si>
  <si>
    <t>ProssesorSystem Type (32 or64)</t>
  </si>
  <si>
    <t>Memory slot1-GB</t>
  </si>
  <si>
    <t>Memory slot2-GB</t>
  </si>
  <si>
    <t>Upgradable to 8, 12 or 16 GB</t>
  </si>
  <si>
    <t>Total mem</t>
  </si>
  <si>
    <t>How many 8GB needed</t>
  </si>
  <si>
    <t>Memory Type</t>
  </si>
  <si>
    <t>Date upgraded the Memory</t>
  </si>
  <si>
    <t>MFG Year</t>
  </si>
  <si>
    <t>Model</t>
  </si>
  <si>
    <t>Model #</t>
  </si>
  <si>
    <t>Serial #</t>
  </si>
  <si>
    <t>eWP Cabinet</t>
  </si>
  <si>
    <t>Status</t>
  </si>
  <si>
    <t>TeamViwer ID</t>
  </si>
  <si>
    <t>Operating system</t>
  </si>
  <si>
    <t xml:space="preserve">win10 upgrade </t>
  </si>
  <si>
    <t>LVRT2018</t>
  </si>
  <si>
    <t>Keyboard cover</t>
  </si>
  <si>
    <t>Windows 10 Sticker</t>
  </si>
  <si>
    <t>Note</t>
  </si>
  <si>
    <t>Column1</t>
  </si>
  <si>
    <t>Column2</t>
  </si>
  <si>
    <t>NATC-WP001</t>
  </si>
  <si>
    <t>Leneovo Laptop</t>
  </si>
  <si>
    <t>T410</t>
  </si>
  <si>
    <t>(T410) 2537-R99</t>
  </si>
  <si>
    <t>R8P23FA</t>
  </si>
  <si>
    <t>PeWP 06_CCT2</t>
  </si>
  <si>
    <t>Not Active</t>
  </si>
  <si>
    <t>Win10</t>
  </si>
  <si>
    <t>No</t>
  </si>
  <si>
    <t>Upgraded to Win 10 July 26 2022;  after upgrdaede to win 10 the laptop is not working with NI hardwers not installing the driver properly. Visa isssue</t>
  </si>
  <si>
    <t>NATC-WP002</t>
  </si>
  <si>
    <t>T410  2537-R99</t>
  </si>
  <si>
    <t>R8P25PG</t>
  </si>
  <si>
    <t>No Need to update</t>
  </si>
  <si>
    <t>With Said ( Not working )</t>
  </si>
  <si>
    <t>NATC-WP003</t>
  </si>
  <si>
    <t>NATC-WP003-PeWP12-C1</t>
  </si>
  <si>
    <t>A4-C4-94-7B-A5-89</t>
  </si>
  <si>
    <t>DDR3L</t>
  </si>
  <si>
    <t>T540</t>
  </si>
  <si>
    <t>20BE00BTUS (T540)</t>
  </si>
  <si>
    <t xml:space="preserve">R90HHSS9 </t>
  </si>
  <si>
    <t>PeWP 12_CCT1</t>
  </si>
  <si>
    <t>Active</t>
  </si>
  <si>
    <t>Win 10</t>
  </si>
  <si>
    <t>Yes</t>
  </si>
  <si>
    <t>NATC-WP004</t>
  </si>
  <si>
    <t>NATC-WP004-PeWP12-C2</t>
  </si>
  <si>
    <t>A4-C4-94-7B-A6-06</t>
  </si>
  <si>
    <t xml:space="preserve">R90HHSRT </t>
  </si>
  <si>
    <t>PeWP 12_CCT2</t>
  </si>
  <si>
    <t>NATC-WP005</t>
  </si>
  <si>
    <t>R83WMGH</t>
  </si>
  <si>
    <t>With Said ( laptop will freez) Key board not working</t>
  </si>
  <si>
    <t>NATC-WP006</t>
  </si>
  <si>
    <t>T410  2537-LD4</t>
  </si>
  <si>
    <t>R82RP2E</t>
  </si>
  <si>
    <t xml:space="preserve">Not Active </t>
  </si>
  <si>
    <t xml:space="preserve"> (Could  Not update driveres) it does freazez </t>
  </si>
  <si>
    <t>NATC-WP007</t>
  </si>
  <si>
    <t>NATC-WP007-PeWP17-C1</t>
  </si>
  <si>
    <t>A4-C4-94-7B-A8-8B</t>
  </si>
  <si>
    <t xml:space="preserve">R90HHSS0 </t>
  </si>
  <si>
    <t>PeWP 17_CCT1</t>
  </si>
  <si>
    <t>Updated to Win 10 May 5 2022</t>
  </si>
  <si>
    <t>Laptop was useb by Yibing</t>
  </si>
  <si>
    <t>NATC-WP008</t>
  </si>
  <si>
    <t>NATC-WP008-PeWP17-C2</t>
  </si>
  <si>
    <t>50-3E-AA-35-46-38</t>
  </si>
  <si>
    <t>R90HHSS2</t>
  </si>
  <si>
    <t>PeWP 17_CCT2</t>
  </si>
  <si>
    <t>180 265 871</t>
  </si>
  <si>
    <t>NATC-WP009</t>
  </si>
  <si>
    <t>NATC-WP009-PeWP9-C1</t>
  </si>
  <si>
    <t>60-67-20-36-17-38</t>
  </si>
  <si>
    <t>DDR3</t>
  </si>
  <si>
    <t>Dec 7 2023</t>
  </si>
  <si>
    <t>T420</t>
  </si>
  <si>
    <t>(T420)  4180-AP4</t>
  </si>
  <si>
    <t>PBKANBX</t>
  </si>
  <si>
    <t>PeWP 09_CCT1</t>
  </si>
  <si>
    <t>NATC-WP010</t>
  </si>
  <si>
    <t>2537-LD4</t>
  </si>
  <si>
    <t>R89F9GC</t>
  </si>
  <si>
    <t>NATC-WP011</t>
  </si>
  <si>
    <t>(T410)  2537-R99</t>
  </si>
  <si>
    <t>R8M13FB</t>
  </si>
  <si>
    <t>NATC-WP012</t>
  </si>
  <si>
    <t>NATC-WP012-PeWP8-C1</t>
  </si>
  <si>
    <t>84-3A-4B-2B-5C-56</t>
  </si>
  <si>
    <t>T430S</t>
  </si>
  <si>
    <t xml:space="preserve"> (T430S)</t>
  </si>
  <si>
    <t>R9WRRZ3</t>
  </si>
  <si>
    <t>PeWP 08_CCT1</t>
  </si>
  <si>
    <t>Updated to Win 10  May 4 2022</t>
  </si>
  <si>
    <t>NATC-WP013</t>
  </si>
  <si>
    <t>(T420) 4236-AQ8</t>
  </si>
  <si>
    <t>R8KN64B</t>
  </si>
  <si>
    <t>NATC-WP014</t>
  </si>
  <si>
    <t xml:space="preserve">Dell Laptop </t>
  </si>
  <si>
    <t>FPCTL0006</t>
  </si>
  <si>
    <t>00-22-68-B3-2F-0C</t>
  </si>
  <si>
    <t>D630</t>
  </si>
  <si>
    <t>LatitudeD630</t>
  </si>
  <si>
    <t>6BQZW3J</t>
  </si>
  <si>
    <t>Teardown station</t>
  </si>
  <si>
    <t>Can not update, We do not have win 10 License (Vista operating systems)</t>
  </si>
  <si>
    <t>NATC-WP015</t>
  </si>
  <si>
    <t>NATC-WP015-Harness</t>
  </si>
  <si>
    <t>08-11-96-49-5A-F0</t>
  </si>
  <si>
    <t>(T420) 4178-6UU</t>
  </si>
  <si>
    <t>R8PK1P9</t>
  </si>
  <si>
    <t>Harness tester Cabinet</t>
  </si>
  <si>
    <t>Converted to Win10 and used for Harnes test Cabinet</t>
  </si>
  <si>
    <t xml:space="preserve">lap top freezez after few hours (before converting to win10) </t>
  </si>
  <si>
    <t>NATC-WP016</t>
  </si>
  <si>
    <t>NATC-WP016-PeWP3-C1</t>
  </si>
  <si>
    <t>58-94-6B-B5-ED-28</t>
  </si>
  <si>
    <t>(T420)  2537-R99</t>
  </si>
  <si>
    <t>R8P27KR</t>
  </si>
  <si>
    <t>PeWP 03_CCT1</t>
  </si>
  <si>
    <t>Updated to Win 10 Apr 13 2022</t>
  </si>
  <si>
    <t>NATC-WP017</t>
  </si>
  <si>
    <t>NATC-WP017-PeWP18-C1</t>
  </si>
  <si>
    <t>6C-88-14-BE-97-BC</t>
  </si>
  <si>
    <t>R9WBYAN</t>
  </si>
  <si>
    <t>PeWP 18_CCT1</t>
  </si>
  <si>
    <t>Updated to Win 10 Aug 10 2022</t>
  </si>
  <si>
    <t>keyboard not working well</t>
  </si>
  <si>
    <t>NATC-WP018</t>
  </si>
  <si>
    <t>NATC-WP18-PeWP18-C2</t>
  </si>
  <si>
    <t>Y</t>
  </si>
  <si>
    <t>60-67-20-F7-2A-54</t>
  </si>
  <si>
    <t>R9WBYB5</t>
  </si>
  <si>
    <t>PeWP 18_CCT2</t>
  </si>
  <si>
    <t>Updated to Win 10 Aug 8 2022</t>
  </si>
  <si>
    <t>NATC-WP019</t>
  </si>
  <si>
    <t>NATC-WP019-MedAux2</t>
  </si>
  <si>
    <t>A4-4E-31-B4-5B-A0</t>
  </si>
  <si>
    <t>Sep 22 2023</t>
  </si>
  <si>
    <t>PK1N9FL</t>
  </si>
  <si>
    <t>Med Aux 02</t>
  </si>
  <si>
    <t>Updated to Win 10 July 5 2022</t>
  </si>
  <si>
    <t>Jan 16 2023 Jiya stopped Win upgrdad after laptop upgraded on Jan 16th 2023</t>
  </si>
  <si>
    <t>NATC-WP020</t>
  </si>
  <si>
    <t>NATC-WP020-PeWP11-C1</t>
  </si>
  <si>
    <t>A4-C4-94-7B-A6-4C</t>
  </si>
  <si>
    <t xml:space="preserve">R90HHSRE  </t>
  </si>
  <si>
    <t>PeWP 11_CCT1</t>
  </si>
  <si>
    <t>Converted to Win10 Mar 23 2022</t>
  </si>
  <si>
    <t>have loos USB port causing some communication issues</t>
  </si>
  <si>
    <t>NATC-WP021</t>
  </si>
  <si>
    <t>NATC-WP021-PeWP11-C2</t>
  </si>
  <si>
    <t>A4-C4-94-7B-A5-61</t>
  </si>
  <si>
    <t xml:space="preserve">R90HHSSA </t>
  </si>
  <si>
    <t>PeWP 11_CCT2</t>
  </si>
  <si>
    <t xml:space="preserve">Keyboard repalced Apr 2024 from Amazon order will need to replace pad as well </t>
  </si>
  <si>
    <t>NATC-WP022</t>
  </si>
  <si>
    <t>NATC-WP022-PeWP10-C1</t>
  </si>
  <si>
    <t>A4-C4-94-7B-A5-93</t>
  </si>
  <si>
    <t xml:space="preserve">R90HHSRF </t>
  </si>
  <si>
    <t>PeWP 10_CCT1</t>
  </si>
  <si>
    <t>Converted to Win10 Apr7 2022</t>
  </si>
  <si>
    <t>NATC-WP023</t>
  </si>
  <si>
    <t>NATC-WP023-PeWP10-C2</t>
  </si>
  <si>
    <t>A4-C4-94-7B-A5-7A</t>
  </si>
  <si>
    <t xml:space="preserve">R90HHSRM </t>
  </si>
  <si>
    <t>PeWP 10_CCT2</t>
  </si>
  <si>
    <t>NATC-WP024</t>
  </si>
  <si>
    <t>NATC-WP024-PeWP5-C1</t>
  </si>
  <si>
    <t>6C-88-14-FF-13-F0</t>
  </si>
  <si>
    <t>PK08XCK</t>
  </si>
  <si>
    <t>Converted to Win 10 June 24 2022</t>
  </si>
  <si>
    <t>removed</t>
  </si>
  <si>
    <t>NATC-WP025</t>
  </si>
  <si>
    <t>PK1NA5X</t>
  </si>
  <si>
    <t>PeWP 25_CCT2</t>
  </si>
  <si>
    <t>Converted to Win10 Mar 1st 2021</t>
  </si>
  <si>
    <t xml:space="preserve">keyboard and mouse not working </t>
  </si>
  <si>
    <t>NATC-WP026</t>
  </si>
  <si>
    <t>NATC-WP26-PeWP15-C1</t>
  </si>
  <si>
    <t>A4-C4-94-7B-A5-F2</t>
  </si>
  <si>
    <t xml:space="preserve">R90HHSRN </t>
  </si>
  <si>
    <t>PeWP 15_CCT1</t>
  </si>
  <si>
    <t>Converted to Win10 Feb 9 2022</t>
  </si>
  <si>
    <t>NATC-WP027</t>
  </si>
  <si>
    <t>NATC-WP027-PeWP-15-C2</t>
  </si>
  <si>
    <t>A4-C4-94-46-D3-22</t>
  </si>
  <si>
    <t>R90HHSSQ</t>
  </si>
  <si>
    <t>PeWP 15_CCT2</t>
  </si>
  <si>
    <t>NATC-WP028</t>
  </si>
  <si>
    <t>NATC-WP028-PeWP9-C2</t>
  </si>
  <si>
    <t>84-3A-4B-2B-88-AE</t>
  </si>
  <si>
    <t>R9WRT3H</t>
  </si>
  <si>
    <t>PeWP 09_CCT2</t>
  </si>
  <si>
    <t>Had starting issue , used to be withMedAux1 DAR, Feb 4 2022 renstalled fresh copy of win 10 with all driver . Replaced with NATC-WP087</t>
  </si>
  <si>
    <t>NATC-WP029</t>
  </si>
  <si>
    <t>NATC-WP029-PeWP7-C2</t>
  </si>
  <si>
    <t>F0-7B-CB-9E-B5-0B</t>
  </si>
  <si>
    <t>(T410) 2516-ADU</t>
  </si>
  <si>
    <t>R80ZYC7</t>
  </si>
  <si>
    <t>PeWP 07_CCT2</t>
  </si>
  <si>
    <t>converted to Win10 May 7 2020 then placed in PeWP07 cct2</t>
  </si>
  <si>
    <t>NATC-WP030</t>
  </si>
  <si>
    <t>T400</t>
  </si>
  <si>
    <t xml:space="preserve"> (T400) 2768-GV2</t>
  </si>
  <si>
    <t>R8TTMK8</t>
  </si>
  <si>
    <t>Upgraded to win 10 Mar 24th 2021/ Have coolant spill and not working May 13 2021</t>
  </si>
  <si>
    <t>Very Old Laptop and not working properly (will not response)</t>
  </si>
  <si>
    <t>NATC-WP031</t>
  </si>
  <si>
    <t>NATC-WP031-PeWP21-C1</t>
  </si>
  <si>
    <t>84-3A-4B-50-7A-4C</t>
  </si>
  <si>
    <t xml:space="preserve"> (T430S) 2356-HBU</t>
  </si>
  <si>
    <t>R9X4V3F</t>
  </si>
  <si>
    <t>PeWP 21_CCT1</t>
  </si>
  <si>
    <t>493 104 754</t>
  </si>
  <si>
    <t>Upgraded to Win 10 May 27 2022</t>
  </si>
  <si>
    <t>NATC-WP032</t>
  </si>
  <si>
    <t>NATC-WP32-PeWP21-C2</t>
  </si>
  <si>
    <t>84-3A-4B-16-C8-70</t>
  </si>
  <si>
    <t>R9WBYF3</t>
  </si>
  <si>
    <t>PeWP 21_CCT2</t>
  </si>
  <si>
    <t>144 070 051</t>
  </si>
  <si>
    <t>Upgraded to Win 10 Apr 28 2022; Changed from PeWP 11_CCT2 to PeWP11_CCT2</t>
  </si>
  <si>
    <t>NATC-WP033</t>
  </si>
  <si>
    <t>NATC-WP033-PeWP19-cct1</t>
  </si>
  <si>
    <t>60-67-20-AD-F9-68</t>
  </si>
  <si>
    <t>R9TPEVE</t>
  </si>
  <si>
    <t>will go to MedAux7 for Hanon Image testing</t>
  </si>
  <si>
    <t>1 682 970 391</t>
  </si>
  <si>
    <t>applied GP to disable Windowes Antivirus  (Hanon Imag installed and that will be controled by IT)</t>
  </si>
  <si>
    <t>NATC-WP034</t>
  </si>
  <si>
    <t>NATC-WP034-MedAux3</t>
  </si>
  <si>
    <t>84-3A-4B-2B-55-80</t>
  </si>
  <si>
    <t>Sept 29,2023-16</t>
  </si>
  <si>
    <t>R9WRTH6</t>
  </si>
  <si>
    <t>Med Aux 03</t>
  </si>
  <si>
    <t>NATC-WP035</t>
  </si>
  <si>
    <t>NATC-WP035-PeWP3-C2</t>
  </si>
  <si>
    <t>10-0B-A9-97-05-58</t>
  </si>
  <si>
    <t>(T420)  4236-AQ8</t>
  </si>
  <si>
    <t>PBBBC84</t>
  </si>
  <si>
    <t>PeWP 03_CCT2</t>
  </si>
  <si>
    <t>NATC-WP036</t>
  </si>
  <si>
    <t>NATC-WP036-PeWP05-C2</t>
  </si>
  <si>
    <t>A0-88-B4-B3-19-BC</t>
  </si>
  <si>
    <t>R8AW05H</t>
  </si>
  <si>
    <t>PeWP 05_CCT2</t>
  </si>
  <si>
    <t>Updated to Win 10 June 24 2022</t>
  </si>
  <si>
    <t>NATC-WP037</t>
  </si>
  <si>
    <t>NATC-WP037-assm-Line</t>
  </si>
  <si>
    <t>08-11-96-C7-2E-5C</t>
  </si>
  <si>
    <t>R8TA1N9</t>
  </si>
  <si>
    <t>Assembly line</t>
  </si>
  <si>
    <t>Updated to Win 10 Oct 25, 2022</t>
  </si>
  <si>
    <t>NATC-WP038</t>
  </si>
  <si>
    <t>NATC-WP038-PeWP8-C2</t>
  </si>
  <si>
    <t>A4-4E-31-B4-CF-94</t>
  </si>
  <si>
    <t>PK1N9E0</t>
  </si>
  <si>
    <t>PeWP 08_CCT2</t>
  </si>
  <si>
    <t>NATC-WP039</t>
  </si>
  <si>
    <t>NATC-WP039-PeWP1</t>
  </si>
  <si>
    <t>6C-88-14-36-84-A0</t>
  </si>
  <si>
    <t>R9YWTP3</t>
  </si>
  <si>
    <t>PeWP 01</t>
  </si>
  <si>
    <t>updated Aug 18 2022</t>
  </si>
  <si>
    <t>Updated to Win 10 (Aug 18, 2022)</t>
  </si>
  <si>
    <t>NATC-WP040</t>
  </si>
  <si>
    <t>NATC-Wp040-PeWP20-C1</t>
  </si>
  <si>
    <t>60-67-20-AE-20-10</t>
  </si>
  <si>
    <t>R9TPEPD</t>
  </si>
  <si>
    <t>PeWP 20_CCT1</t>
  </si>
  <si>
    <t>Updated to Win 10  May 9 2022</t>
  </si>
  <si>
    <t>NATC-WP041</t>
  </si>
  <si>
    <t>NATC-WP041-PeWP20-C2</t>
  </si>
  <si>
    <t>60-67-20-AE-20-88</t>
  </si>
  <si>
    <t>R9TPETA</t>
  </si>
  <si>
    <t>PeWP 20_CCT2</t>
  </si>
  <si>
    <t>NATC-WP042</t>
  </si>
  <si>
    <t>Leneovo Laptop (T410)</t>
  </si>
  <si>
    <t>(T410)   2537R99</t>
  </si>
  <si>
    <t>R80WYFV</t>
  </si>
  <si>
    <t>With Said ( Not working ) had spill June 2020</t>
  </si>
  <si>
    <t xml:space="preserve"> had spill June 2020 / not working</t>
  </si>
  <si>
    <t>NATC-WP043</t>
  </si>
  <si>
    <t>NATC-WP043-PeWP4-C2</t>
  </si>
  <si>
    <t>00-27-10-DA-77-20</t>
  </si>
  <si>
    <t>2537R99</t>
  </si>
  <si>
    <t>R83WGFH</t>
  </si>
  <si>
    <t>PeWP 04_CCT2</t>
  </si>
  <si>
    <t>Updated to Win 10  May 13 2022</t>
  </si>
  <si>
    <t>NATC-WP044</t>
  </si>
  <si>
    <t>WP044-Decay-Tst</t>
  </si>
  <si>
    <t>84-3A-4B-5C-5B-04</t>
  </si>
  <si>
    <t xml:space="preserve"> (T430S) 2356H8U</t>
  </si>
  <si>
    <t>R9X4264</t>
  </si>
  <si>
    <t>Decay tester</t>
  </si>
  <si>
    <t>DO NOT Upgrade to Win10</t>
  </si>
  <si>
    <t xml:space="preserve"> with Said (proluced program) Decay tester</t>
  </si>
  <si>
    <t>NATC-WP045</t>
  </si>
  <si>
    <t>NATC-WP045-PeWP13-C1</t>
  </si>
  <si>
    <t>A4-C4-94-7B-A5-75</t>
  </si>
  <si>
    <t xml:space="preserve">R90HHSSC </t>
  </si>
  <si>
    <t>PeWP 13_CCT1</t>
  </si>
  <si>
    <t>NATC-WP046</t>
  </si>
  <si>
    <t>NATC-WP046-PeWP13-C2</t>
  </si>
  <si>
    <t>A4-C4-94-46-D2-EB</t>
  </si>
  <si>
    <t xml:space="preserve">R90HHSSK </t>
  </si>
  <si>
    <t>PeWP 13_CCT2</t>
  </si>
  <si>
    <t>NATC-WP047</t>
  </si>
  <si>
    <t>NATC-WP047-PeWP25-C1</t>
  </si>
  <si>
    <t>60-67-20-DD-46-B0</t>
  </si>
  <si>
    <t>R9VDDR2</t>
  </si>
  <si>
    <t>PeWP 25_CCT1</t>
  </si>
  <si>
    <t>NATC-WP048</t>
  </si>
  <si>
    <t>T410 -2537-LD4</t>
  </si>
  <si>
    <t>R8G5ZD0</t>
  </si>
  <si>
    <t>NATC-WP049</t>
  </si>
  <si>
    <t>FFLNDF1</t>
  </si>
  <si>
    <t>With Said (Dell Laptop - Not  working)</t>
  </si>
  <si>
    <t>NATC-WP050</t>
  </si>
  <si>
    <t>JXWBZD1</t>
  </si>
  <si>
    <t>With Daved (Dell)</t>
  </si>
  <si>
    <t>NATC-WP051</t>
  </si>
  <si>
    <t>(T410) 2537-LB9</t>
  </si>
  <si>
    <t>R80VN2X</t>
  </si>
  <si>
    <t>NATC-WP052</t>
  </si>
  <si>
    <t>08-11-96-CA-C9-B4</t>
  </si>
  <si>
    <t>R8TB7TK</t>
  </si>
  <si>
    <t>With Said</t>
  </si>
  <si>
    <t xml:space="preserve">Updated to Win10 on Dec 14th 2022 by Said </t>
  </si>
  <si>
    <t>NATC-WP053</t>
  </si>
  <si>
    <t>R8TC2AC</t>
  </si>
  <si>
    <t>With Said ( Not working ) Coolant spill</t>
  </si>
  <si>
    <t>NATC-WP054</t>
  </si>
  <si>
    <t xml:space="preserve">Send it Outside </t>
  </si>
  <si>
    <t>(T410)  2537R99</t>
  </si>
  <si>
    <t>R89XNKV</t>
  </si>
  <si>
    <t>MTCU1  (Mobile tester1)</t>
  </si>
  <si>
    <t>413 621 385</t>
  </si>
  <si>
    <t>Sci-Lab (updated Win 10 Oct 25, 2022)</t>
  </si>
  <si>
    <t>NATC-WP055</t>
  </si>
  <si>
    <t>NATC-WP055-P2</t>
  </si>
  <si>
    <t>A0-88-B4-6D-22-C4</t>
  </si>
  <si>
    <t>(T420)  4236AQ8</t>
  </si>
  <si>
    <t>R8L3XEY</t>
  </si>
  <si>
    <t>P2 Cabinet</t>
  </si>
  <si>
    <t>Win 7 HD cloned and upgraded to win 10 on Jan 10 2023</t>
  </si>
  <si>
    <t>NATC-WP056</t>
  </si>
  <si>
    <t>T440</t>
  </si>
  <si>
    <t xml:space="preserve"> (T440P) 20AN0069US</t>
  </si>
  <si>
    <t>PB-01GHAQ</t>
  </si>
  <si>
    <t>MTCU2</t>
  </si>
  <si>
    <t>NATC-WP057</t>
  </si>
  <si>
    <t>NATC-WP057-MTCU1-48</t>
  </si>
  <si>
    <t>9C-4E-36-A8-06-4C</t>
  </si>
  <si>
    <t>T430</t>
  </si>
  <si>
    <t xml:space="preserve"> (T430) 23426QU</t>
  </si>
  <si>
    <t>PB8L7LZ</t>
  </si>
  <si>
    <t>Mobile Test Control Unit 1 (48V-DC</t>
  </si>
  <si>
    <t>Error massage (real time clock error)</t>
  </si>
  <si>
    <t>NATC-WP058</t>
  </si>
  <si>
    <t>NATC-WP058-MedAux6</t>
  </si>
  <si>
    <t>44-85-00-52-98-60</t>
  </si>
  <si>
    <t>T460</t>
  </si>
  <si>
    <t>20FM-S15V00</t>
  </si>
  <si>
    <t>PCOCJFN1</t>
  </si>
  <si>
    <t>Med Aux 06</t>
  </si>
  <si>
    <t>353 874 096</t>
  </si>
  <si>
    <t>Upgraded to Win 10 Apr 25 2022</t>
  </si>
  <si>
    <t>NATC-WP059</t>
  </si>
  <si>
    <t>F0-D5-BF-26-AE-FD</t>
  </si>
  <si>
    <t>Sept 20,2023-16</t>
  </si>
  <si>
    <t>PCOGWLYK</t>
  </si>
  <si>
    <t>This was sent By Lenovo ( we did not pay for it)when WP058 was not working; Need Hard Drive</t>
  </si>
  <si>
    <t>Installed New SSD EVO870 (We purchessed from Canada computers)</t>
  </si>
  <si>
    <t>NATC-WP060</t>
  </si>
  <si>
    <t>NATC-WP060-PeWP14-C1</t>
  </si>
  <si>
    <t>A4-C4-94-46-D2-E1</t>
  </si>
  <si>
    <t>R90HHSSJ</t>
  </si>
  <si>
    <t>PeWP 14_CCT1</t>
  </si>
  <si>
    <t>NATC-WP061</t>
  </si>
  <si>
    <t>NATC-WP061-PeWP22-C1</t>
  </si>
  <si>
    <t>A4-C4-94-7B-A5-B6</t>
  </si>
  <si>
    <t xml:space="preserve">R90HHSRK </t>
  </si>
  <si>
    <t>PeWP 22_CCT1</t>
  </si>
  <si>
    <t>604 795 583</t>
  </si>
  <si>
    <t>Converted to Win 10 Jun 22 2022</t>
  </si>
  <si>
    <t>NATC-WP062</t>
  </si>
  <si>
    <t>Leneovo Laptop (T420)</t>
  </si>
  <si>
    <t>Missing</t>
  </si>
  <si>
    <t xml:space="preserve"> (T420) </t>
  </si>
  <si>
    <t>R8RZ84F</t>
  </si>
  <si>
    <t xml:space="preserve">Oct 20th 2022 Laptop could not be located; an email sent on Oct 20th 2022 to test department asking if any one has it (no response from any one) </t>
  </si>
  <si>
    <t>NATC-WP063</t>
  </si>
  <si>
    <t>Leneovo Laptop (T430S)</t>
  </si>
  <si>
    <t>NATC-WP063-PeWP14-C2</t>
  </si>
  <si>
    <t>A4-4E-31-B3-E6-88</t>
  </si>
  <si>
    <t>PK1N9BR</t>
  </si>
  <si>
    <t>PeWP 14_CCT2</t>
  </si>
  <si>
    <t>NATC-WP064</t>
  </si>
  <si>
    <t>Not  existed</t>
  </si>
  <si>
    <t>Returned back to vender for a crack in the chassis and replaced with new one NATC-WP0071</t>
  </si>
  <si>
    <t>NATC-WP065</t>
  </si>
  <si>
    <t>NATC-WP065-AIR-CCT-PGM</t>
  </si>
  <si>
    <t>60-67-20-D8-B3-80</t>
  </si>
  <si>
    <t xml:space="preserve"> (T430S) 2355-HJU</t>
  </si>
  <si>
    <t xml:space="preserve">R9VDD87 </t>
  </si>
  <si>
    <t>With Mike used for Air cct programming // Upgraded to win 10 Dec 16, 2022</t>
  </si>
  <si>
    <t>NATC-WP066</t>
  </si>
  <si>
    <t>NATC-WP066-MeWP4</t>
  </si>
  <si>
    <t>60-67-20-D8-BD-D4</t>
  </si>
  <si>
    <t>Sept 21,2023-16</t>
  </si>
  <si>
    <t xml:space="preserve">R9VDD8L </t>
  </si>
  <si>
    <t>Med Aux 04</t>
  </si>
  <si>
    <t>upgraded to win 10 Nov 10 2022 (windows update was showing not up to date)</t>
  </si>
  <si>
    <t>NATC-WP067</t>
  </si>
  <si>
    <t xml:space="preserve">R9-YWTLL </t>
  </si>
  <si>
    <t>HLIM printer laptop</t>
  </si>
  <si>
    <t>Keyboard have issue and not working/ Jan 9th 2023 Hard drive 320G been taken to clone P2 Laptop before upgrading to Win10.</t>
  </si>
  <si>
    <t>Sep 29 2023 installed 2 new 8G RAM and SSD HD from IT , Clean Win 10 installation by IT, need keyboard</t>
  </si>
  <si>
    <t>NATC-WP068</t>
  </si>
  <si>
    <t>NATC-WP068-CanoeFlash</t>
  </si>
  <si>
    <t>84-3A-4B-17-2B-E8</t>
  </si>
  <si>
    <t>R9WBYBP</t>
  </si>
  <si>
    <t xml:space="preserve">for Vector and CANOE  flashing </t>
  </si>
  <si>
    <t>Upgraded to win10 Nov 2022</t>
  </si>
  <si>
    <t>NATC-WP069</t>
  </si>
  <si>
    <t>Leneovo Laptop (T430)</t>
  </si>
  <si>
    <t>NATC-WP069-PeWP07-C1</t>
  </si>
  <si>
    <t>9C-4E-36-C3-94-34</t>
  </si>
  <si>
    <t>23426QU</t>
  </si>
  <si>
    <t>PBH732R</t>
  </si>
  <si>
    <t>PeWP 07_CCT1</t>
  </si>
  <si>
    <t>615 162 771</t>
  </si>
  <si>
    <t>Updgraded to Win 10 Apr 25 2022, Reinstalled Win 10 Jun 23 2022</t>
  </si>
  <si>
    <t>NATC-WP070</t>
  </si>
  <si>
    <t>CALLTESTLAB</t>
  </si>
  <si>
    <t>58-94-6B-DE-38-7C</t>
  </si>
  <si>
    <t>T410 2537-LD4</t>
  </si>
  <si>
    <t>R8E9F52</t>
  </si>
  <si>
    <t>PeWP 19_CCT2</t>
  </si>
  <si>
    <t>1980 852 769 (IT WIN10 installation)</t>
  </si>
  <si>
    <t>Upgraded to win 10 Mar  2021</t>
  </si>
  <si>
    <t xml:space="preserve">IT reinstalled WIn10 from their image and they used 1G brand new Hard drive we provided them to install </t>
  </si>
  <si>
    <t>NATC-WP071</t>
  </si>
  <si>
    <t>NATC-WP071-MedAux5</t>
  </si>
  <si>
    <t>84-3A-4B-09-25-88</t>
  </si>
  <si>
    <t xml:space="preserve"> (T430S) 2355-AC3</t>
  </si>
  <si>
    <t>R9VY2Y4</t>
  </si>
  <si>
    <t>Med Aux 05</t>
  </si>
  <si>
    <t>356 840 822</t>
  </si>
  <si>
    <t>Updgraded to Win 10 Apr 26 2022</t>
  </si>
  <si>
    <t>NATC-WP072</t>
  </si>
  <si>
    <t>NATC-WP072-PeWP22-C2</t>
  </si>
  <si>
    <t>84-3A-4B-50-77-7C</t>
  </si>
  <si>
    <t>R9X4V64</t>
  </si>
  <si>
    <t>PeWP 22_CCT2</t>
  </si>
  <si>
    <t>435 567 985</t>
  </si>
  <si>
    <t>NATC-WP073</t>
  </si>
  <si>
    <t>NATC-WP073-PeWP2-C1</t>
  </si>
  <si>
    <t>08-11-96-26-2A-C8</t>
  </si>
  <si>
    <t>R8LR4K6</t>
  </si>
  <si>
    <t>PeWP 2_CCT1</t>
  </si>
  <si>
    <t>Upgraded to Win 10 May 13 2022</t>
  </si>
  <si>
    <t>changed Key board Jan 3rd 2021</t>
  </si>
  <si>
    <t>Battrey taken from NATC-WP13 (not working laptop)</t>
  </si>
  <si>
    <t>NATC-WP074</t>
  </si>
  <si>
    <t>NATC-WP074-PeWP23-C1</t>
  </si>
  <si>
    <t>A4-4E-31-38-2C-4C</t>
  </si>
  <si>
    <t>T430s (2356H8U)</t>
  </si>
  <si>
    <t>PK0V21V</t>
  </si>
  <si>
    <t>PeWP 23_CCT1</t>
  </si>
  <si>
    <t>372 274 300</t>
  </si>
  <si>
    <t>Upgraded to Win 10 Apr 18 2022</t>
  </si>
  <si>
    <t>NATC-WP075</t>
  </si>
  <si>
    <t>PeWP 6 Cabinet-Send to IT</t>
  </si>
  <si>
    <t>R9YWTME</t>
  </si>
  <si>
    <t>PeWP 23_CCT2</t>
  </si>
  <si>
    <t>372 281 338</t>
  </si>
  <si>
    <t>NATC-WP076</t>
  </si>
  <si>
    <t>NATC-WP076-U-Vibration</t>
  </si>
  <si>
    <t>6C-88-14-DE-D6-7C</t>
  </si>
  <si>
    <t>Sep 18 2023</t>
  </si>
  <si>
    <t>PK04YGD</t>
  </si>
  <si>
    <t>Vibration Setup</t>
  </si>
  <si>
    <t xml:space="preserve">upgraded to Win 10 Nov 17 2022/  Memory uodated from 8 to 16G Sep 18 using CC 1st batch </t>
  </si>
  <si>
    <t>NATC-WP077</t>
  </si>
  <si>
    <t>NATC-WP077-ETS12</t>
  </si>
  <si>
    <t>10-0B-A9-63-FE-30</t>
  </si>
  <si>
    <t>T(420)    4236</t>
  </si>
  <si>
    <t>R8RAN1T</t>
  </si>
  <si>
    <t>ETS 12</t>
  </si>
  <si>
    <t>Upgraded to Win 10 July 28 2022</t>
  </si>
  <si>
    <t>NATC-WP078</t>
  </si>
  <si>
    <t>NATC-WP078-PeWP16-C1</t>
  </si>
  <si>
    <t>A4-C4-94-7B-A9-6C</t>
  </si>
  <si>
    <t xml:space="preserve">R90HHSRD </t>
  </si>
  <si>
    <t>PeWP 16_CCT1</t>
  </si>
  <si>
    <t>Upgraded to Win 10 July 5 2022</t>
  </si>
  <si>
    <t>NATC-WP079</t>
  </si>
  <si>
    <t>NATC-WP079-PeWP16-C2</t>
  </si>
  <si>
    <t>A4-C4-94-46-D2-F0</t>
  </si>
  <si>
    <t xml:space="preserve">R90HHSSL </t>
  </si>
  <si>
    <t>PeWP 16_CCT2</t>
  </si>
  <si>
    <t>Upgraded to Win 10 July 7 2022</t>
  </si>
  <si>
    <t>NATC-WP080</t>
  </si>
  <si>
    <t>NATC-WP080-MedAux7</t>
  </si>
  <si>
    <t>7C-7A-91-A9-E9-FD</t>
  </si>
  <si>
    <t>T440s</t>
  </si>
  <si>
    <t>PF00YWU6</t>
  </si>
  <si>
    <t>Med Aux 07</t>
  </si>
  <si>
    <t>NATC-WP081</t>
  </si>
  <si>
    <t>NATC-WP081-eCF-Cabinet</t>
  </si>
  <si>
    <t>7C-7A-91-AA-05-5F</t>
  </si>
  <si>
    <t>T440s (20AQ-005TUS)</t>
  </si>
  <si>
    <t>PF00YY0J</t>
  </si>
  <si>
    <t>eCF Cabinet</t>
  </si>
  <si>
    <t>1 393 249 726</t>
  </si>
  <si>
    <t>Upgraded to Win 10 June 2</t>
  </si>
  <si>
    <t>NATC-WP082</t>
  </si>
  <si>
    <t>18-5E-0F-6A-7F-61</t>
  </si>
  <si>
    <t>T450s</t>
  </si>
  <si>
    <t>T450s (20BW-S1A100)</t>
  </si>
  <si>
    <t>PC09LVWG</t>
  </si>
  <si>
    <t>PeWP9-cct1</t>
  </si>
  <si>
    <t>used to be atMed Aux 22 &amp; PeWP 19.</t>
  </si>
  <si>
    <t xml:space="preserve">Issues related to Timer and Clock </t>
  </si>
  <si>
    <t>NATC-WP083</t>
  </si>
  <si>
    <t>NATC-WP083-PeWP26</t>
  </si>
  <si>
    <t>18-5E-0F-6A-85-B5</t>
  </si>
  <si>
    <t>T450s (20BWS1A100)</t>
  </si>
  <si>
    <t>PC09LVX8</t>
  </si>
  <si>
    <t>PeWP 26 (Master)</t>
  </si>
  <si>
    <t>500 271 609</t>
  </si>
  <si>
    <t>Upgraded to Win 10 May 31</t>
  </si>
  <si>
    <t>NATC-WP084</t>
  </si>
  <si>
    <t>NATC-WP084-PeWP30</t>
  </si>
  <si>
    <t>DC-53-60-F3-B2-95</t>
  </si>
  <si>
    <t>PC08Z7SN</t>
  </si>
  <si>
    <t>PeWP 30</t>
  </si>
  <si>
    <t>Cabinet #3 cct1 (upgraged to win 10 on Aug 23, 2022)</t>
  </si>
  <si>
    <t>NATC-WP085</t>
  </si>
  <si>
    <t>NATC-WP085-PeWP4-C1</t>
  </si>
  <si>
    <t>10-02-B5-7F-5D-50</t>
  </si>
  <si>
    <t>T450s (20BWS5NL08)</t>
  </si>
  <si>
    <t>PC0ARRGX</t>
  </si>
  <si>
    <t>PeWP4 C1</t>
  </si>
  <si>
    <t>Ready but Not Active</t>
  </si>
  <si>
    <t>294 556 279</t>
  </si>
  <si>
    <t>NATC-WP086</t>
  </si>
  <si>
    <t>NATC-WP086-ETEST</t>
  </si>
  <si>
    <t>10-02-B5-80-A5-BB</t>
  </si>
  <si>
    <t>PC0ARLP6</t>
  </si>
  <si>
    <t xml:space="preserve">E-tester </t>
  </si>
  <si>
    <t>with Yibing  (upgraded to win 10 on Aug 12, 2022)</t>
  </si>
  <si>
    <t>NATC-WP087</t>
  </si>
  <si>
    <t>NATC-WP087-MeWP1</t>
  </si>
  <si>
    <t>4C-34-88-2A-08-05</t>
  </si>
  <si>
    <t>Sept 29,2023-12</t>
  </si>
  <si>
    <t>PC06Y96K</t>
  </si>
  <si>
    <t xml:space="preserve">Med Aux 01 </t>
  </si>
  <si>
    <t>MedAux1 used on Feb4th 2022</t>
  </si>
  <si>
    <t>NATC-WP088</t>
  </si>
  <si>
    <t>10-02-B5-7F-4F-FE</t>
  </si>
  <si>
    <t>T450s (20BW-S5NL08)</t>
  </si>
  <si>
    <t>PC0ARL09</t>
  </si>
  <si>
    <t>Upgraded performance rig2</t>
  </si>
  <si>
    <t>P1 Upgraded Cabinet ( upgraded to win 10 Sep 20 2022</t>
  </si>
  <si>
    <t>NATC-WP089</t>
  </si>
  <si>
    <t>10-02-B5-80-0F-16</t>
  </si>
  <si>
    <t>PC0ARLNX</t>
  </si>
  <si>
    <t>Was at PeWP #3 cct1 , found damaged/ broken secreen on Jan 7th 2022 (Not Working)/  it has been fixed Feb 2023 an workin</t>
  </si>
  <si>
    <t>NATC-WP090</t>
  </si>
  <si>
    <t>NATC-WP090-ETS19</t>
  </si>
  <si>
    <t>18-5E-0F-A6-83-AD</t>
  </si>
  <si>
    <t>PC0A6360</t>
  </si>
  <si>
    <t>ETS19</t>
  </si>
  <si>
    <r>
      <rPr>
        <sz val="11"/>
        <color rgb="FFFF0000"/>
        <rFont val="Calibri"/>
        <family val="2"/>
        <scheme val="minor"/>
      </rPr>
      <t>1336179396</t>
    </r>
    <r>
      <rPr>
        <sz val="11"/>
        <color theme="1"/>
        <rFont val="Calibri"/>
        <family val="2"/>
        <scheme val="minor"/>
      </rPr>
      <t xml:space="preserve">
1295713762</t>
    </r>
  </si>
  <si>
    <t>ETS19 // upgraded to Win 10 Nov 25, 2022</t>
  </si>
  <si>
    <t>NATC-WP091</t>
  </si>
  <si>
    <t>PC0ARRH8</t>
  </si>
  <si>
    <t>PeWP 6 CCT1</t>
  </si>
  <si>
    <t>Upgraded to Win 10 July 20 2022</t>
  </si>
  <si>
    <t>NATC-WP092</t>
  </si>
  <si>
    <t>NATC-WP92-PeWP24-C1</t>
  </si>
  <si>
    <t>6C-88-14-B4-AE-84</t>
  </si>
  <si>
    <t>R9ZK5Y7</t>
  </si>
  <si>
    <t>PeWP 24_CCT1</t>
  </si>
  <si>
    <t>Updated April 5th 2022</t>
  </si>
  <si>
    <t>NATC-WP093</t>
  </si>
  <si>
    <t>NATC-WP093-PeWP24-C2</t>
  </si>
  <si>
    <t>A4-4E-31-36-FF-74</t>
  </si>
  <si>
    <t>R9YWTWH</t>
  </si>
  <si>
    <t>PeWP 24_CCT2</t>
  </si>
  <si>
    <t>Pump B</t>
  </si>
  <si>
    <t xml:space="preserve">(T420) 4180-B95 </t>
  </si>
  <si>
    <t>R8-RZ84F 11/09</t>
  </si>
  <si>
    <t>LAP4</t>
  </si>
  <si>
    <t>R8-9397E</t>
  </si>
  <si>
    <t xml:space="preserve">converted to win 10 but not responding </t>
  </si>
  <si>
    <t>ETS14</t>
  </si>
  <si>
    <t>ETS-14</t>
  </si>
  <si>
    <t>2537-R99</t>
  </si>
  <si>
    <t>R8-P31EZ  11/02</t>
  </si>
  <si>
    <t xml:space="preserve">Brother printer </t>
  </si>
  <si>
    <t>NATC-WP094</t>
  </si>
  <si>
    <t>34-02-86-17-B6-37</t>
  </si>
  <si>
    <t>T450s (20BX001AUS)</t>
  </si>
  <si>
    <t>PC04P1G3</t>
  </si>
  <si>
    <t>updated to win 10 Sep 22 2022</t>
  </si>
  <si>
    <t>NATC-WP095</t>
  </si>
  <si>
    <t>NATC-WPo95-PeWP31</t>
  </si>
  <si>
    <t>34-02-86-17-B6-41</t>
  </si>
  <si>
    <t>PC04P1G1</t>
  </si>
  <si>
    <t>PeWP 31</t>
  </si>
  <si>
    <t>NATC-WP096</t>
  </si>
  <si>
    <t>NATC-WP096-PeWP32</t>
  </si>
  <si>
    <t>18-5E-0F-72-8D-2D</t>
  </si>
  <si>
    <t>PC09S7QU</t>
  </si>
  <si>
    <t>PeWP 32</t>
  </si>
  <si>
    <t>NATC-WP097</t>
  </si>
  <si>
    <t>NATC-WP097-MedAux21</t>
  </si>
  <si>
    <t>18-5E-0F-72-49-FD</t>
  </si>
  <si>
    <t>PC-09S7QD    15/12</t>
  </si>
  <si>
    <t xml:space="preserve">Med Aux 21 </t>
  </si>
  <si>
    <t>NATC-WP098</t>
  </si>
  <si>
    <t>NATC-WP098-PeWP25-C2</t>
  </si>
  <si>
    <t>94-65-9C-0C-B5-2F</t>
  </si>
  <si>
    <t>PC06TQTH</t>
  </si>
  <si>
    <t>PeWP25 ct</t>
  </si>
  <si>
    <t>Feb 4 2022 renstalled fresh copy of win 10 with all driver , need to check the clock 
(used to be on Med Aux 22) processor time was not correct and have delay /replaced with WP082. need trubleshooting</t>
  </si>
  <si>
    <t>had issue with clock timing / reformated and installed new Win 10 need to be checked feb 4 2022</t>
  </si>
  <si>
    <t>NATC-WP099</t>
  </si>
  <si>
    <t>NATC-WP099-MeWP20</t>
  </si>
  <si>
    <t>10-02-B5-38-8C-81</t>
  </si>
  <si>
    <t>PC0APS3P</t>
  </si>
  <si>
    <t>Med Aux 20</t>
  </si>
  <si>
    <t>NATC-WP100</t>
  </si>
  <si>
    <t>NATC-WP100-HV-DAR1</t>
  </si>
  <si>
    <t>5C-E0-C5-A2-46-E4</t>
  </si>
  <si>
    <t>PC06PUGV</t>
  </si>
  <si>
    <t>HV DAR 1 PeWP</t>
  </si>
  <si>
    <t>NO</t>
  </si>
  <si>
    <t>NATC-WP101</t>
  </si>
  <si>
    <t>NATC-WP101-CCM3</t>
  </si>
  <si>
    <t>5C-5F-67-4D-D5-F0</t>
  </si>
  <si>
    <t>DDR4</t>
  </si>
  <si>
    <t>T470</t>
  </si>
  <si>
    <t>T470 (20JN-S1SQ0B</t>
  </si>
  <si>
    <t>PF-11BT1C  18/04</t>
  </si>
  <si>
    <t>CCM3</t>
  </si>
  <si>
    <t>Setup complete June 21 2022</t>
  </si>
  <si>
    <t>Referbished received Feb 8 2022</t>
  </si>
  <si>
    <t>NATC-WP102</t>
  </si>
  <si>
    <t>NATC-WP102-CCM6</t>
  </si>
  <si>
    <t>5C-5F-67-4D-C7-CC</t>
  </si>
  <si>
    <t>PF-11BT1C  18/05</t>
  </si>
  <si>
    <t>CCM6</t>
  </si>
  <si>
    <t>Setup complete July 15 2022</t>
  </si>
  <si>
    <t>NATC-WP103</t>
  </si>
  <si>
    <t>NATC-WP103-CCM5</t>
  </si>
  <si>
    <t>7C-2A-31-9D-9C-CA</t>
  </si>
  <si>
    <t>T470 (20JN-S0TM00</t>
  </si>
  <si>
    <t>PF-17GAAZ  18/07</t>
  </si>
  <si>
    <t>CCM5</t>
  </si>
  <si>
    <t>Setup complete July 14 2022</t>
  </si>
  <si>
    <t>NATC-WP104</t>
  </si>
  <si>
    <t>NATC-WP104-MedAux22</t>
  </si>
  <si>
    <t>00-23-15-D4-9E-82</t>
  </si>
  <si>
    <t>T470 (20HD-000WUS</t>
  </si>
  <si>
    <t>PF-135CDQ  18/02</t>
  </si>
  <si>
    <t>MedAux 22</t>
  </si>
  <si>
    <t>Setup complete June 13 2022</t>
  </si>
  <si>
    <t>NATC-WP105</t>
  </si>
  <si>
    <t>NATC-WP105-CCM4</t>
  </si>
  <si>
    <t>7C-76-35-62-8A-95</t>
  </si>
  <si>
    <t>T470 (20JN-S0UD08</t>
  </si>
  <si>
    <t>PF-12SY0L   18/04</t>
  </si>
  <si>
    <t>CCM4</t>
  </si>
  <si>
    <t>Setup complete June 14 2022</t>
  </si>
  <si>
    <t>NATC-WP106</t>
  </si>
  <si>
    <t>5C-5F-67-4E-04-71</t>
  </si>
  <si>
    <t>PF11LYQS   18/04</t>
  </si>
  <si>
    <t>CCM1</t>
  </si>
  <si>
    <t>Setup complete June 16 2022</t>
  </si>
  <si>
    <t xml:space="preserve">assaigned to CCM1 Mar 18 2024 </t>
  </si>
  <si>
    <t>NATC-WP107</t>
  </si>
  <si>
    <t>NATC-WP107-CCM1</t>
  </si>
  <si>
    <t>5C-5F-67-4E-16-00</t>
  </si>
  <si>
    <t>PF-11BS7D   18/04</t>
  </si>
  <si>
    <t>not assigned</t>
  </si>
  <si>
    <t>Setup complete June 10 2022</t>
  </si>
  <si>
    <t>was on CCM1, it was keep rebooting at night during test therfor replaced with WP106</t>
  </si>
  <si>
    <t>NATC-WP108</t>
  </si>
  <si>
    <t>NATC-WP108-CCM2</t>
  </si>
  <si>
    <t>5C-5F-67-4D-C6-C3</t>
  </si>
  <si>
    <t>PF-11BSM4   18/04</t>
  </si>
  <si>
    <t>CCM2</t>
  </si>
  <si>
    <t>Setup complete June 9 2022</t>
  </si>
  <si>
    <t>NATC-WP109</t>
  </si>
  <si>
    <t xml:space="preserve">HP mini Desktop </t>
  </si>
  <si>
    <t>NATC-WP109-10-Head-Tester</t>
  </si>
  <si>
    <t>7C-B0-C2-8B-9C-23</t>
  </si>
  <si>
    <t>Hp Mini</t>
  </si>
  <si>
    <t>HP ProDesk400 G2 Mini</t>
  </si>
  <si>
    <t>MXL6493LW6</t>
  </si>
  <si>
    <t>10 Head DAR</t>
  </si>
  <si>
    <t>NATC-WP110</t>
  </si>
  <si>
    <t>34-02-86-E1-57-E9</t>
  </si>
  <si>
    <t xml:space="preserve">T450 </t>
  </si>
  <si>
    <t>T450 (20BV000BUS)</t>
  </si>
  <si>
    <t>PC05N8X5</t>
  </si>
  <si>
    <t>500462537</t>
  </si>
  <si>
    <t>Received from Hanon IT Sep 21st 2022</t>
  </si>
  <si>
    <t xml:space="preserve">Apr 202024 reinstalled Win10, Keysight USB was not recognized </t>
  </si>
  <si>
    <t>NATC-WP111</t>
  </si>
  <si>
    <t>60-57-18-A7-FC-B0</t>
  </si>
  <si>
    <t>T450 (20BV000CUS)</t>
  </si>
  <si>
    <t>PC046QFL</t>
  </si>
  <si>
    <t>NATC-WP112</t>
  </si>
  <si>
    <t>5C-E0-C5-99-75-6E</t>
  </si>
  <si>
    <t>T450</t>
  </si>
  <si>
    <t>PC06M34D</t>
  </si>
  <si>
    <t>MedAux20</t>
  </si>
  <si>
    <t>YEs</t>
  </si>
  <si>
    <t>Received from Hanon IT Sep 21st 2022 ( SSD 128 and Installed New SSD EVO870 (We purchessed from Canada computers)</t>
  </si>
  <si>
    <t>NATC-WP113</t>
  </si>
  <si>
    <t>NATC-WP113-WPP1</t>
  </si>
  <si>
    <t>4C-1D-96-12-4F-E9</t>
  </si>
  <si>
    <t>P43s</t>
  </si>
  <si>
    <t>P43s (20RH-CT01WW)</t>
  </si>
  <si>
    <t>PF-1Y8RVB</t>
  </si>
  <si>
    <t>Performance rig1</t>
  </si>
  <si>
    <t>NATC-WP114</t>
  </si>
  <si>
    <t>Laptop</t>
  </si>
  <si>
    <t>NATC-WP114-DropTest-Vibration</t>
  </si>
  <si>
    <t>00-22-FA-C7-E4-92</t>
  </si>
  <si>
    <t>T500</t>
  </si>
  <si>
    <t>T500(2082.93U)</t>
  </si>
  <si>
    <t>L3ALCOR</t>
  </si>
  <si>
    <t>Drop Test-Vibration</t>
  </si>
  <si>
    <t>WinXP</t>
  </si>
  <si>
    <t>Drop Test-Viration-Shaker Cabinet</t>
  </si>
  <si>
    <t>NATC-WP115</t>
  </si>
  <si>
    <t>NATC-WP115-Print</t>
  </si>
  <si>
    <t>Empty slots</t>
  </si>
  <si>
    <t xml:space="preserve">total 8G needed is </t>
  </si>
  <si>
    <t>Needed DDR3L only</t>
  </si>
  <si>
    <t>To get same without sticker, open cmd and type "wmic bios get name"</t>
  </si>
  <si>
    <t>To get SN without sticker, open cmd and type "wmic bios get serialnumber"</t>
  </si>
  <si>
    <t>16GB -Desktop</t>
  </si>
  <si>
    <t>Laptops need LVRT2018 update</t>
  </si>
  <si>
    <t>Computers that has empty slots</t>
  </si>
  <si>
    <t>LVRT2018 installed</t>
  </si>
  <si>
    <t>Total</t>
  </si>
  <si>
    <t>% Complete</t>
  </si>
  <si>
    <t xml:space="preserve"> </t>
  </si>
  <si>
    <t>Last update Sep 22 2022</t>
  </si>
  <si>
    <t>check status</t>
  </si>
  <si>
    <t>Maintenance done</t>
  </si>
  <si>
    <t>date</t>
  </si>
  <si>
    <t>yibing</t>
  </si>
  <si>
    <t>PeWP 19_CCT1</t>
  </si>
  <si>
    <t>Med Aux 22</t>
  </si>
  <si>
    <t>Upgraded performance rig1</t>
  </si>
  <si>
    <t>Will be assigned to CCM DAR</t>
  </si>
  <si>
    <t>laptops need's Maintenance</t>
  </si>
  <si>
    <t xml:space="preserve">LVRT laptops update </t>
  </si>
  <si>
    <t>total Laptops</t>
  </si>
  <si>
    <t>LVRT 2018 pdated %</t>
  </si>
  <si>
    <t>Device Name</t>
  </si>
  <si>
    <t>User Name</t>
  </si>
  <si>
    <t>Computer type</t>
  </si>
  <si>
    <t>Computer Model</t>
  </si>
  <si>
    <t>Computer S/N</t>
  </si>
  <si>
    <t>MAC Address
(Wi-Fi)</t>
  </si>
  <si>
    <t>Computer 
Year</t>
  </si>
  <si>
    <t>Work for 
ETS Cabinet #</t>
  </si>
  <si>
    <t>Team Viewer ID</t>
  </si>
  <si>
    <t>Brand Name</t>
  </si>
  <si>
    <t>Processor(GHz)</t>
  </si>
  <si>
    <t>Maximum Upgradable</t>
  </si>
  <si>
    <t>8GB Chips needed</t>
  </si>
  <si>
    <t>RAM (GB)</t>
  </si>
  <si>
    <t>BIOS Ver/Date</t>
  </si>
  <si>
    <t>BIOS Mode</t>
  </si>
  <si>
    <t>System Type</t>
  </si>
  <si>
    <t>OP</t>
  </si>
  <si>
    <t>LabView
Driver Version</t>
  </si>
  <si>
    <t>NATC Label #</t>
  </si>
  <si>
    <t>others</t>
  </si>
  <si>
    <t>Desktop-MDSEQDM</t>
  </si>
  <si>
    <t>NATC ETS-00</t>
  </si>
  <si>
    <t>CF-52</t>
  </si>
  <si>
    <t>0KTSA69204</t>
  </si>
  <si>
    <t>58-94-6B-13-AF-E4</t>
  </si>
  <si>
    <t>ETS-00</t>
  </si>
  <si>
    <t>Panasonic</t>
  </si>
  <si>
    <t>6  (2/2 slots used)</t>
  </si>
  <si>
    <t>AMI 3.00L 14, 8/24/2010</t>
  </si>
  <si>
    <t>legacy</t>
  </si>
  <si>
    <t>x64-based PC</t>
  </si>
  <si>
    <t>Windows 10</t>
  </si>
  <si>
    <t>ETS-PC11</t>
  </si>
  <si>
    <t>Test</t>
  </si>
  <si>
    <t>PC (Mini)</t>
  </si>
  <si>
    <t>HP ProDesk 400 G2 Mini</t>
  </si>
  <si>
    <t>MXL5520BTL</t>
  </si>
  <si>
    <t>DC-53-60-58-5F-39</t>
  </si>
  <si>
    <t>ETS-02</t>
  </si>
  <si>
    <t>HP</t>
  </si>
  <si>
    <t>8 (2/2 slots used)</t>
  </si>
  <si>
    <t>HP N23 V02.03, 11/11/2015</t>
  </si>
  <si>
    <t>Unknown</t>
  </si>
  <si>
    <t>Windows 7</t>
  </si>
  <si>
    <t>NATC ETS-02</t>
  </si>
  <si>
    <t>keep as it is</t>
  </si>
  <si>
    <t>Desktop-8974M9F</t>
  </si>
  <si>
    <t>NATC ETS-04</t>
  </si>
  <si>
    <t>HP ProDesk 400 G1 DM</t>
  </si>
  <si>
    <t>MXL5390DH8</t>
  </si>
  <si>
    <t>10-4A-7D-E4-34-F0</t>
  </si>
  <si>
    <t>2015.10</t>
  </si>
  <si>
    <t>ETS-04</t>
  </si>
  <si>
    <t>AMI 02.18, 8/20/2015</t>
  </si>
  <si>
    <t>UEFI</t>
  </si>
  <si>
    <t>Deskyop-THUA3SP</t>
  </si>
  <si>
    <t>NATC ETS-05</t>
  </si>
  <si>
    <t>CF-53</t>
  </si>
  <si>
    <t>4FTSA07928</t>
  </si>
  <si>
    <t>C4-D9-87-EF-7B-B2</t>
  </si>
  <si>
    <t>ETS-05</t>
  </si>
  <si>
    <t>4 (1/2 slots used)</t>
  </si>
  <si>
    <t>AMI 03.00L10, 6/14/2013</t>
  </si>
  <si>
    <t>Desktop-113A4M6</t>
  </si>
  <si>
    <t>NATC ETS-06</t>
  </si>
  <si>
    <t>4ETSA95919</t>
  </si>
  <si>
    <t>C4-D9-87-C6-5D-54</t>
  </si>
  <si>
    <t>ETS-06</t>
  </si>
  <si>
    <t>AMI 3.00L10, 6/14/2013</t>
  </si>
  <si>
    <t>Desktop-RJ5TKPM</t>
  </si>
  <si>
    <t>NATC ETS-07</t>
  </si>
  <si>
    <t>1KTSA45973</t>
  </si>
  <si>
    <t>08-11-96-BC-82-00</t>
  </si>
  <si>
    <t>2011.11</t>
  </si>
  <si>
    <t>ETS-07</t>
  </si>
  <si>
    <t>AMI 1.00L14, 7/12/2011</t>
  </si>
  <si>
    <t>Legacy</t>
  </si>
  <si>
    <t>Desktop-ULQR69P</t>
  </si>
  <si>
    <t>NATC ETS-08</t>
  </si>
  <si>
    <t>MXL5520BSG</t>
  </si>
  <si>
    <t>DC-53-60-58-36-71</t>
  </si>
  <si>
    <t>2015.12</t>
  </si>
  <si>
    <t>ETS-08</t>
  </si>
  <si>
    <t>Desktop-NCMOA2U</t>
  </si>
  <si>
    <t>NATC ETS-09</t>
  </si>
  <si>
    <t>MXL5390DHQ</t>
  </si>
  <si>
    <t>10-4A-7D-E4-38_D3</t>
  </si>
  <si>
    <t>ETS-09</t>
  </si>
  <si>
    <t>NATC-WP77</t>
  </si>
  <si>
    <t xml:space="preserve">R8-RAN1T </t>
  </si>
  <si>
    <t>ETS-12</t>
  </si>
  <si>
    <t>Lenovo</t>
  </si>
  <si>
    <t>eWP</t>
  </si>
  <si>
    <t>DESKTOP-B970FQS</t>
  </si>
  <si>
    <t>NATC ETS-13</t>
  </si>
  <si>
    <t>MXL5390DHJ</t>
  </si>
  <si>
    <t>10-4A-7D-E4-2C-17</t>
  </si>
  <si>
    <t>ETS-13</t>
  </si>
  <si>
    <t>used for 16ch data logger</t>
  </si>
  <si>
    <t>Desktop-G5GNJPM</t>
  </si>
  <si>
    <t>Test Lab</t>
  </si>
  <si>
    <t>MXL6493LW2</t>
  </si>
  <si>
    <t>7C-B0-C2-8B-9D-22</t>
  </si>
  <si>
    <t>NATC ETS-14</t>
  </si>
  <si>
    <t>NATC-ETS15</t>
  </si>
  <si>
    <t>4ETSA95884</t>
  </si>
  <si>
    <t>C4-D9-87-CA-85-B9</t>
  </si>
  <si>
    <t>2014.05</t>
  </si>
  <si>
    <t>ETS-15</t>
  </si>
  <si>
    <t>NATC ETS-15</t>
  </si>
  <si>
    <t>used with ETS-21</t>
  </si>
  <si>
    <t>Desktop-TGSHLMA</t>
  </si>
  <si>
    <t>NATC ETS-16</t>
  </si>
  <si>
    <t>MXL5390DHF</t>
  </si>
  <si>
    <t>10-4A-7D-E4-2B-D6</t>
  </si>
  <si>
    <t>ETS-16</t>
  </si>
  <si>
    <t>Desktop-H4S64UB</t>
  </si>
  <si>
    <t>NATC ETS-17</t>
  </si>
  <si>
    <t>MXL5390DHK</t>
  </si>
  <si>
    <t>10-4A-7D-E4-34-FF</t>
  </si>
  <si>
    <t>ETS-17</t>
  </si>
  <si>
    <t>Desktop-PRLILPV</t>
  </si>
  <si>
    <t>NATC ETS-18</t>
  </si>
  <si>
    <t>MXL5390DHP</t>
  </si>
  <si>
    <t>10-4A-7D-E4-34-F5</t>
  </si>
  <si>
    <t>ETS-18</t>
  </si>
  <si>
    <t>Desktop-OURDC5S</t>
  </si>
  <si>
    <t>NATC ETS-19</t>
  </si>
  <si>
    <t>MXL5390DHM</t>
  </si>
  <si>
    <t>10-4A7D-E4-2F-D7</t>
  </si>
  <si>
    <t>ETS-19</t>
  </si>
  <si>
    <t>spare</t>
  </si>
  <si>
    <t>Desktop-AKA0BVD</t>
  </si>
  <si>
    <t>NATC ETS-20</t>
  </si>
  <si>
    <t>MXL62327YZ</t>
  </si>
  <si>
    <t>48-45-20-67-EC-38</t>
  </si>
  <si>
    <t>2016.05</t>
  </si>
  <si>
    <t>ETS-20</t>
  </si>
  <si>
    <t>HP N23 V02.06, 4/28/2016</t>
  </si>
  <si>
    <t xml:space="preserve">R8-3WBEY </t>
  </si>
  <si>
    <t>2010.10</t>
  </si>
  <si>
    <t>ETS-21</t>
  </si>
  <si>
    <t>6IET85WW(1.45)</t>
  </si>
  <si>
    <t>NATC ETS-21</t>
  </si>
  <si>
    <t>DESKTOP-8V7COUO</t>
  </si>
  <si>
    <t>NATC ETS-XX</t>
  </si>
  <si>
    <t>1KTSA46091</t>
  </si>
  <si>
    <t xml:space="preserve"> 08-11-96-BC-D0-C0</t>
  </si>
  <si>
    <t>used</t>
  </si>
  <si>
    <t>used for 28ch data logger</t>
  </si>
  <si>
    <t>Desktop-G18HNTI</t>
  </si>
  <si>
    <t>ETS-PC00-Test</t>
  </si>
  <si>
    <t>MXL5390DHD</t>
  </si>
  <si>
    <t>10-4A-7D-E4-2C-08</t>
  </si>
  <si>
    <t>AMI 02.21.3/8/2017</t>
  </si>
  <si>
    <t>NATC ETS-YY</t>
  </si>
  <si>
    <t>DESKTOP-CKCMIMI</t>
  </si>
  <si>
    <t>NATC ETS-ZZ</t>
  </si>
  <si>
    <t>1KTSA46024</t>
  </si>
  <si>
    <t>08-11-96-BC-E6-90</t>
  </si>
  <si>
    <t>SPARE</t>
  </si>
  <si>
    <t>used for 32ch data logger</t>
  </si>
  <si>
    <t>DESKTOP-N4UE6NJ</t>
  </si>
  <si>
    <t>NATC ETS-WW</t>
  </si>
  <si>
    <t>4FTSA08101</t>
  </si>
  <si>
    <t>C4-D9-87-EF-A4-93</t>
  </si>
  <si>
    <t>2014.06</t>
  </si>
  <si>
    <t>AMI 3.00L14, 8/29/2018</t>
  </si>
  <si>
    <t>used for ATEQ, shut down issue</t>
  </si>
  <si>
    <t>8GB Laptop</t>
  </si>
  <si>
    <t xml:space="preserve">Created Aug 25 2023 </t>
  </si>
  <si>
    <t>8GB Desktop</t>
  </si>
  <si>
    <t>16GB Ram Desktop</t>
  </si>
  <si>
    <t>Sept 20,2023</t>
  </si>
  <si>
    <t xml:space="preserve"> Apr 19 2024</t>
  </si>
  <si>
    <t>Oct 24,2023</t>
  </si>
  <si>
    <t>Sept 29,2023</t>
  </si>
  <si>
    <t>October 3,2023</t>
  </si>
  <si>
    <t>Replaced the 2 4G memory with 1 8G so we can use the 4G to upgrade other laptop</t>
  </si>
  <si>
    <t>Apr 11 th 2024</t>
  </si>
  <si>
    <t>used to be at PeWP 19_CCT1 and been taken for MedAux 7 for Hanon doamin testing because it is T430S. upgraded to 16 GB to be used with MedAux 7 for Hanon system image testing 
Jan 3 2024 added 4G</t>
  </si>
  <si>
    <t>Mar 19 2024</t>
  </si>
  <si>
    <t>Apr 18  2024</t>
  </si>
  <si>
    <t>Converted to Win10 Mar 23 2022, updated to 8G</t>
  </si>
  <si>
    <t>Converted to Win10 Apr7 2022, updated to 8G</t>
  </si>
  <si>
    <t>1721093780</t>
  </si>
  <si>
    <t>1188538924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</si>
</sst>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trike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5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1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wrapText="1"/>
    </xf>
    <xf numFmtId="0" fontId="0" fillId="0" borderId="0" xfId="0" applyAlignment="1">
      <alignment horizontal="left" wrapText="1"/>
    </xf>
    <xf numFmtId="0" fontId="8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10" borderId="0" xfId="0" applyFill="1" applyAlignment="1">
      <alignment horizontal="left" wrapText="1"/>
    </xf>
    <xf numFmtId="0" fontId="8" fillId="3" borderId="3" xfId="0" applyFont="1" applyFill="1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left" vertical="top"/>
    </xf>
    <xf numFmtId="14" fontId="0" fillId="12" borderId="3" xfId="0" applyNumberFormat="1" applyFill="1" applyBorder="1" applyAlignment="1">
      <alignment horizontal="left"/>
    </xf>
    <xf numFmtId="0" fontId="0" fillId="0" borderId="3" xfId="0" applyBorder="1"/>
    <xf numFmtId="0" fontId="0" fillId="1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left"/>
    </xf>
    <xf numFmtId="49" fontId="0" fillId="0" borderId="3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left"/>
    </xf>
    <xf numFmtId="0" fontId="0" fillId="16" borderId="0" xfId="0" applyFill="1"/>
    <xf numFmtId="0" fontId="0" fillId="16" borderId="3" xfId="0" applyFill="1" applyBorder="1"/>
    <xf numFmtId="0" fontId="0" fillId="16" borderId="3" xfId="0" applyFill="1" applyBorder="1" applyAlignment="1">
      <alignment horizontal="center"/>
    </xf>
    <xf numFmtId="0" fontId="0" fillId="16" borderId="3" xfId="0" applyFill="1" applyBorder="1" applyAlignment="1">
      <alignment horizontal="left"/>
    </xf>
    <xf numFmtId="49" fontId="0" fillId="16" borderId="3" xfId="0" applyNumberForma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12" borderId="0" xfId="0" applyFill="1"/>
    <xf numFmtId="0" fontId="0" fillId="12" borderId="3" xfId="0" applyFill="1" applyBorder="1" applyAlignment="1">
      <alignment horizontal="left"/>
    </xf>
    <xf numFmtId="0" fontId="0" fillId="12" borderId="3" xfId="0" applyFill="1" applyBorder="1"/>
    <xf numFmtId="49" fontId="0" fillId="12" borderId="3" xfId="0" applyNumberForma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15" fillId="12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vertical="top"/>
    </xf>
    <xf numFmtId="0" fontId="8" fillId="0" borderId="3" xfId="0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vertical="top" wrapText="1"/>
    </xf>
    <xf numFmtId="0" fontId="8" fillId="0" borderId="3" xfId="0" applyFont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5" borderId="0" xfId="0" applyFill="1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 vertical="top" wrapText="1"/>
    </xf>
    <xf numFmtId="0" fontId="0" fillId="4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horizontal="center" vertical="top" wrapText="1"/>
    </xf>
    <xf numFmtId="49" fontId="0" fillId="5" borderId="0" xfId="0" applyNumberFormat="1" applyFill="1" applyAlignment="1">
      <alignment horizontal="center" vertical="top" wrapText="1"/>
    </xf>
    <xf numFmtId="0" fontId="0" fillId="5" borderId="4" xfId="0" applyFill="1" applyBorder="1" applyAlignment="1">
      <alignment vertical="top" wrapText="1"/>
    </xf>
    <xf numFmtId="0" fontId="0" fillId="5" borderId="3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49" fontId="0" fillId="0" borderId="0" xfId="0" applyNumberFormat="1" applyAlignment="1">
      <alignment horizontal="center" vertical="top" wrapText="1"/>
    </xf>
    <xf numFmtId="0" fontId="0" fillId="3" borderId="3" xfId="0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0" fillId="8" borderId="3" xfId="0" applyFill="1" applyBorder="1" applyAlignment="1">
      <alignment vertical="top" wrapText="1"/>
    </xf>
    <xf numFmtId="0" fontId="0" fillId="9" borderId="3" xfId="0" applyFill="1" applyBorder="1" applyAlignment="1">
      <alignment vertical="top" wrapText="1"/>
    </xf>
    <xf numFmtId="0" fontId="0" fillId="5" borderId="0" xfId="0" applyFill="1" applyAlignment="1">
      <alignment horizontal="left" vertical="top" wrapText="1"/>
    </xf>
    <xf numFmtId="0" fontId="0" fillId="3" borderId="0" xfId="0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49" fontId="0" fillId="3" borderId="0" xfId="0" applyNumberFormat="1" applyFill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8" borderId="4" xfId="0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49" fontId="0" fillId="2" borderId="0" xfId="0" applyNumberFormat="1" applyFill="1" applyAlignment="1">
      <alignment horizontal="center" vertical="top" wrapText="1"/>
    </xf>
    <xf numFmtId="0" fontId="0" fillId="2" borderId="1" xfId="0" applyFill="1" applyBorder="1" applyAlignment="1">
      <alignment horizontal="left" vertical="top" wrapText="1"/>
    </xf>
    <xf numFmtId="0" fontId="3" fillId="3" borderId="0" xfId="0" applyFont="1" applyFill="1" applyAlignment="1">
      <alignment vertical="top" wrapText="1"/>
    </xf>
    <xf numFmtId="0" fontId="2" fillId="15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left" vertical="top" wrapText="1"/>
    </xf>
    <xf numFmtId="0" fontId="13" fillId="0" borderId="0" xfId="0" applyFont="1" applyAlignment="1">
      <alignment vertical="top" wrapText="1"/>
    </xf>
    <xf numFmtId="0" fontId="13" fillId="5" borderId="0" xfId="0" applyFont="1" applyFill="1" applyAlignment="1">
      <alignment vertical="top" wrapText="1"/>
    </xf>
    <xf numFmtId="0" fontId="13" fillId="12" borderId="0" xfId="0" applyFont="1" applyFill="1" applyAlignment="1">
      <alignment vertical="top"/>
    </xf>
    <xf numFmtId="0" fontId="13" fillId="12" borderId="0" xfId="0" applyFont="1" applyFill="1" applyAlignment="1">
      <alignment vertical="top" wrapText="1"/>
    </xf>
    <xf numFmtId="0" fontId="2" fillId="12" borderId="0" xfId="0" applyFont="1" applyFill="1" applyAlignment="1">
      <alignment horizontal="center" vertical="top" wrapText="1"/>
    </xf>
    <xf numFmtId="0" fontId="8" fillId="2" borderId="0" xfId="0" applyFont="1" applyFill="1" applyAlignment="1">
      <alignment vertical="top" wrapText="1"/>
    </xf>
    <xf numFmtId="0" fontId="9" fillId="2" borderId="3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1" fillId="5" borderId="0" xfId="0" applyFont="1" applyFill="1" applyAlignment="1">
      <alignment vertical="top" wrapText="1"/>
    </xf>
    <xf numFmtId="0" fontId="0" fillId="7" borderId="0" xfId="0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13" fillId="15" borderId="0" xfId="0" applyFont="1" applyFill="1" applyAlignment="1">
      <alignment vertical="top" wrapText="1"/>
    </xf>
    <xf numFmtId="0" fontId="2" fillId="7" borderId="0" xfId="0" applyFont="1" applyFill="1" applyAlignment="1">
      <alignment horizontal="center" vertical="top" wrapText="1"/>
    </xf>
    <xf numFmtId="49" fontId="0" fillId="7" borderId="0" xfId="0" applyNumberFormat="1" applyFill="1" applyAlignment="1">
      <alignment horizontal="center" vertical="top" wrapText="1"/>
    </xf>
    <xf numFmtId="0" fontId="0" fillId="7" borderId="3" xfId="0" applyFill="1" applyBorder="1" applyAlignment="1">
      <alignment vertical="top" wrapText="1"/>
    </xf>
    <xf numFmtId="0" fontId="12" fillId="3" borderId="0" xfId="0" applyFont="1" applyFill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0" fillId="7" borderId="0" xfId="0" applyFill="1" applyAlignment="1">
      <alignment horizontal="center" vertical="top" wrapText="1"/>
    </xf>
    <xf numFmtId="0" fontId="0" fillId="7" borderId="1" xfId="0" applyFill="1" applyBorder="1" applyAlignment="1">
      <alignment horizontal="left" vertical="top" wrapText="1"/>
    </xf>
    <xf numFmtId="0" fontId="2" fillId="4" borderId="0" xfId="0" applyFont="1" applyFill="1" applyAlignment="1">
      <alignment vertical="top" wrapText="1"/>
    </xf>
    <xf numFmtId="0" fontId="2" fillId="4" borderId="0" xfId="0" applyFont="1" applyFill="1" applyAlignment="1">
      <alignment horizontal="center" vertical="top" wrapText="1"/>
    </xf>
    <xf numFmtId="0" fontId="0" fillId="4" borderId="0" xfId="0" applyFill="1" applyAlignment="1">
      <alignment horizontal="left" vertical="top" wrapText="1"/>
    </xf>
    <xf numFmtId="49" fontId="0" fillId="4" borderId="0" xfId="0" applyNumberFormat="1" applyFill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3" fillId="6" borderId="0" xfId="0" applyFont="1" applyFill="1" applyAlignment="1">
      <alignment vertical="top" wrapText="1"/>
    </xf>
    <xf numFmtId="0" fontId="14" fillId="0" borderId="0" xfId="0" applyFont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6" borderId="0" xfId="0" applyFont="1" applyFill="1" applyAlignment="1">
      <alignment horizontal="center" vertical="top" wrapText="1"/>
    </xf>
    <xf numFmtId="49" fontId="0" fillId="6" borderId="0" xfId="0" applyNumberFormat="1" applyFill="1" applyAlignment="1">
      <alignment horizontal="center" vertical="top" wrapText="1"/>
    </xf>
    <xf numFmtId="0" fontId="0" fillId="6" borderId="0" xfId="0" applyFill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0" fillId="6" borderId="0" xfId="0" applyFill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17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/>
    </xf>
    <xf numFmtId="0" fontId="0" fillId="0" borderId="2" xfId="0" applyBorder="1" applyAlignment="1">
      <alignment horizontal="left" vertical="top" wrapText="1"/>
    </xf>
    <xf numFmtId="0" fontId="0" fillId="11" borderId="3" xfId="0" applyFill="1" applyBorder="1" applyAlignment="1">
      <alignment vertical="top" wrapText="1"/>
    </xf>
    <xf numFmtId="0" fontId="0" fillId="5" borderId="0" xfId="0" applyFill="1" applyAlignment="1">
      <alignment vertical="top"/>
    </xf>
    <xf numFmtId="0" fontId="0" fillId="0" borderId="0" xfId="0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center" vertical="top"/>
    </xf>
    <xf numFmtId="0" fontId="11" fillId="5" borderId="0" xfId="0" applyFont="1" applyFill="1" applyAlignment="1">
      <alignment vertical="top"/>
    </xf>
    <xf numFmtId="0" fontId="11" fillId="5" borderId="0" xfId="0" applyFont="1" applyFill="1" applyAlignment="1">
      <alignment horizontal="center" vertical="top"/>
    </xf>
    <xf numFmtId="0" fontId="2" fillId="13" borderId="0" xfId="0" applyFont="1" applyFill="1" applyAlignment="1">
      <alignment horizontal="center" vertical="top" wrapText="1"/>
    </xf>
    <xf numFmtId="0" fontId="0" fillId="14" borderId="0" xfId="0" applyFill="1" applyAlignment="1">
      <alignment vertical="top" wrapText="1"/>
    </xf>
    <xf numFmtId="0" fontId="2" fillId="14" borderId="0" xfId="0" applyFont="1" applyFill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0" fillId="13" borderId="0" xfId="0" applyFill="1" applyAlignment="1">
      <alignment vertical="top" wrapText="1"/>
    </xf>
    <xf numFmtId="0" fontId="0" fillId="13" borderId="0" xfId="0" applyFill="1" applyAlignment="1">
      <alignment horizontal="center" vertical="top" wrapText="1"/>
    </xf>
    <xf numFmtId="9" fontId="0" fillId="0" borderId="0" xfId="1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17" fontId="2" fillId="5" borderId="0" xfId="0" applyNumberFormat="1" applyFont="1" applyFill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46">
    <dxf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outline="0">
        <right style="thin">
          <color indexed="64"/>
        </right>
      </border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top" textRotation="0" wrapText="1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top" textRotation="0" wrapText="1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top" textRotation="0" wrapText="1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center" vertical="top" textRotation="0" wrapText="1" indent="0" justifyLastLine="0" shrinkToFit="0" readingOrder="0"/>
    </dxf>
    <dxf>
      <numFmt numFmtId="0" formatCode="General"/>
      <fill>
        <patternFill patternType="solid">
          <fgColor indexed="64"/>
          <bgColor rgb="FF00B0F0"/>
        </patternFill>
      </fill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1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outline="0">
        <right style="thin">
          <color indexed="64"/>
        </right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1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1" justifyLastLine="0" shrinkToFit="0" readingOrder="0"/>
    </dxf>
    <dxf>
      <fill>
        <patternFill patternType="none">
          <fgColor indexed="64"/>
          <bgColor auto="1"/>
        </patternFill>
      </fill>
      <alignment textRotation="0" wrapText="1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1" justifyLastLine="0" shrinkToFit="0" readingOrder="0"/>
    </dxf>
    <dxf>
      <fill>
        <patternFill patternType="none">
          <fgColor indexed="64"/>
          <bgColor auto="1"/>
        </patternFill>
      </fill>
      <alignment textRotation="0" wrapText="1" justifyLastLine="0" shrinkToFit="0" readingOrder="0"/>
    </dxf>
    <dxf>
      <fill>
        <patternFill patternType="none">
          <fgColor indexed="64"/>
          <bgColor auto="1"/>
        </patternFill>
      </fill>
      <alignment textRotation="0" wrapText="1" justifyLastLine="0" shrinkToFit="0" readingOrder="0"/>
    </dxf>
    <dxf>
      <fill>
        <patternFill patternType="none">
          <fgColor indexed="64"/>
          <bgColor auto="1"/>
        </patternFill>
      </fill>
      <alignment textRotation="0" wrapText="1" justifyLastLine="0" shrinkToFit="0" readingOrder="0"/>
    </dxf>
    <dxf>
      <fill>
        <patternFill patternType="none">
          <fgColor indexed="64"/>
          <bgColor auto="1"/>
        </patternFill>
      </fill>
      <alignment textRotation="0" wrapText="1" justifyLastLine="0" shrinkToFit="0" readingOrder="0"/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5:AB157" totalsRowShown="0" headerRowDxfId="1" dataDxfId="0">
  <autoFilter ref="A5:AB157"/>
  <tableColumns count="28">
    <tableColumn id="1" name="Laptop ID" dataDxfId="29"/>
    <tableColumn id="8" name="Brand" dataDxfId="28"/>
    <tableColumn id="21" name="Computer Name" dataDxfId="27"/>
    <tableColumn id="22" name="Hanon Control Wi-Fi" dataDxfId="26"/>
    <tableColumn id="23" name="MAC Address" dataDxfId="25"/>
    <tableColumn id="17" name="ProssesorSystem Type (32 or64)" dataDxfId="24"/>
    <tableColumn id="19" name="Memory slot1-GB" dataDxfId="23"/>
    <tableColumn id="20" name="Memory slot2-GB" dataDxfId="22"/>
    <tableColumn id="24" name="Upgradable to 8, 12 or 16 GB" dataDxfId="21">
      <calculatedColumnFormula>IF(OR(O6={"T410","T420","T400"}), "Y", "N")</calculatedColumnFormula>
    </tableColumn>
    <tableColumn id="26" name="Total mem" dataDxfId="20">
      <calculatedColumnFormula>Table1[[#This Row],[Memory slot2-GB]]+Table1[[#This Row],[Memory slot1-GB]]</calculatedColumnFormula>
    </tableColumn>
    <tableColumn id="27" name="How many 8GB needed" dataDxfId="19"/>
    <tableColumn id="25" name="Memory Type" dataDxfId="18"/>
    <tableColumn id="28" name="Date upgraded the Memory" dataDxfId="17"/>
    <tableColumn id="5" name="MFG Year" dataDxfId="16"/>
    <tableColumn id="12" name="Model" dataDxfId="15"/>
    <tableColumn id="6" name="Model #" dataDxfId="14"/>
    <tableColumn id="7" name="Serial #" dataDxfId="13"/>
    <tableColumn id="2" name="eWP Cabinet" dataDxfId="12"/>
    <tableColumn id="3" name="Status" dataDxfId="11"/>
    <tableColumn id="13" name="TeamViwer ID" dataDxfId="10"/>
    <tableColumn id="14" name="Operating system" dataDxfId="9"/>
    <tableColumn id="15" name="win10 upgrade " dataDxfId="8"/>
    <tableColumn id="18" name="LVRT2018" dataDxfId="7"/>
    <tableColumn id="11" name="Keyboard cover" dataDxfId="6"/>
    <tableColumn id="16" name="Windows 10 Sticker" dataDxfId="5"/>
    <tableColumn id="4" name="Note" dataDxfId="4"/>
    <tableColumn id="9" name="Column1" dataDxfId="3"/>
    <tableColumn id="10" name="Column2" dataDxfId="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5:N144" totalsRowShown="0" headerRowDxfId="45" dataDxfId="44">
  <autoFilter ref="A5:N144"/>
  <tableColumns count="14">
    <tableColumn id="1" name="Laptop ID" dataDxfId="43"/>
    <tableColumn id="12" name="Model" dataDxfId="42"/>
    <tableColumn id="6" name="Model #" dataDxfId="41"/>
    <tableColumn id="7" name="Serial #" dataDxfId="40"/>
    <tableColumn id="2" name="eWP Cabinet" dataDxfId="39"/>
    <tableColumn id="3" name="Status" dataDxfId="38"/>
    <tableColumn id="13" name="TeamViwer ID" dataDxfId="37"/>
    <tableColumn id="18" name="LVRT2018" dataDxfId="36"/>
    <tableColumn id="11" name="Keyboard cover" dataDxfId="35"/>
    <tableColumn id="5" name="Maintenance done" dataDxfId="34"/>
    <tableColumn id="8" name="date" dataDxfId="33"/>
    <tableColumn id="4" name="Note" dataDxfId="32"/>
    <tableColumn id="9" name="Column1" dataDxfId="31"/>
    <tableColumn id="10" name="Column2" dataDxfId="3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AC158"/>
  <sheetViews>
    <sheetView tabSelected="1" topLeftCell="A7" zoomScale="80" zoomScaleNormal="80" workbookViewId="0">
      <pane xSplit="1" topLeftCell="G1" activePane="topRight" state="frozen"/>
      <selection activeCell="A10" sqref="A10"/>
      <selection pane="topRight" activeCell="S122" sqref="S6:S122"/>
    </sheetView>
  </sheetViews>
  <sheetFormatPr defaultColWidth="9.109375" defaultRowHeight="14.4" x14ac:dyDescent="0.3"/>
  <cols>
    <col min="1" max="1" width="18.44140625" style="57" customWidth="1"/>
    <col min="2" max="2" width="12.6640625" style="57" customWidth="1"/>
    <col min="3" max="3" width="27.44140625" style="58" customWidth="1"/>
    <col min="4" max="4" width="9" style="58" customWidth="1"/>
    <col min="5" max="5" width="21" style="58" customWidth="1"/>
    <col min="6" max="6" width="13.44140625" style="58" customWidth="1"/>
    <col min="7" max="7" width="19.109375" style="58" customWidth="1"/>
    <col min="8" max="8" width="16.6640625" style="57" customWidth="1"/>
    <col min="9" max="9" width="18" style="57" customWidth="1"/>
    <col min="10" max="10" width="14.5546875" style="57" customWidth="1"/>
    <col min="11" max="12" width="12.44140625" style="57" customWidth="1"/>
    <col min="13" max="13" width="19.109375" style="57" customWidth="1"/>
    <col min="14" max="14" width="11.33203125" style="57" customWidth="1"/>
    <col min="15" max="15" width="14.6640625" style="57" customWidth="1"/>
    <col min="16" max="16" width="29.109375" style="57" customWidth="1"/>
    <col min="17" max="17" width="17.6640625" style="57" customWidth="1"/>
    <col min="18" max="18" width="20.88671875" style="57" customWidth="1"/>
    <col min="19" max="19" width="17.109375" style="57" customWidth="1"/>
    <col min="20" max="20" width="17.6640625" style="57" customWidth="1"/>
    <col min="21" max="21" width="12.88671875" style="57" customWidth="1"/>
    <col min="22" max="23" width="12.109375" style="59" customWidth="1"/>
    <col min="24" max="24" width="8.33203125" style="60" customWidth="1"/>
    <col min="25" max="25" width="18.33203125" style="57" customWidth="1"/>
    <col min="26" max="26" width="75.5546875" style="57" customWidth="1"/>
    <col min="27" max="27" width="22.5546875" style="57" customWidth="1"/>
    <col min="28" max="16384" width="9.109375" style="57"/>
  </cols>
  <sheetData>
    <row r="1" spans="1:28" x14ac:dyDescent="0.3">
      <c r="A1" s="57" t="s">
        <v>0</v>
      </c>
    </row>
    <row r="2" spans="1:28" ht="28.8" x14ac:dyDescent="0.3">
      <c r="A2" s="61" t="s">
        <v>1</v>
      </c>
      <c r="B2" s="62" t="s">
        <v>2</v>
      </c>
      <c r="C2" s="63"/>
      <c r="D2" s="63"/>
      <c r="E2" s="63"/>
      <c r="F2" s="63"/>
      <c r="G2" s="63"/>
      <c r="H2" s="64" t="s">
        <v>3</v>
      </c>
      <c r="I2" s="64"/>
      <c r="J2" s="64"/>
      <c r="K2" s="64"/>
      <c r="L2" s="64"/>
      <c r="M2" s="64"/>
      <c r="N2" s="65" t="s">
        <v>4</v>
      </c>
      <c r="P2" s="66" t="s">
        <v>5</v>
      </c>
    </row>
    <row r="5" spans="1:28" ht="43.2" x14ac:dyDescent="0.3">
      <c r="A5" s="57" t="s">
        <v>6</v>
      </c>
      <c r="B5" s="57" t="s">
        <v>7</v>
      </c>
      <c r="C5" s="57" t="s">
        <v>8</v>
      </c>
      <c r="D5" s="57" t="s">
        <v>9</v>
      </c>
      <c r="E5" s="57" t="s">
        <v>10</v>
      </c>
      <c r="F5" s="63" t="s">
        <v>11</v>
      </c>
      <c r="G5" s="58" t="s">
        <v>12</v>
      </c>
      <c r="H5" s="58" t="s">
        <v>13</v>
      </c>
      <c r="I5" s="58" t="s">
        <v>14</v>
      </c>
      <c r="J5" s="58" t="s">
        <v>15</v>
      </c>
      <c r="K5" s="58" t="s">
        <v>16</v>
      </c>
      <c r="L5" s="58" t="s">
        <v>17</v>
      </c>
      <c r="M5" s="58" t="s">
        <v>18</v>
      </c>
      <c r="N5" s="57" t="s">
        <v>19</v>
      </c>
      <c r="O5" s="57" t="s">
        <v>20</v>
      </c>
      <c r="P5" s="57" t="s">
        <v>21</v>
      </c>
      <c r="Q5" s="57" t="s">
        <v>22</v>
      </c>
      <c r="R5" s="57" t="s">
        <v>23</v>
      </c>
      <c r="S5" s="57" t="s">
        <v>24</v>
      </c>
      <c r="T5" s="57" t="s">
        <v>25</v>
      </c>
      <c r="U5" s="57" t="s">
        <v>26</v>
      </c>
      <c r="V5" s="57" t="s">
        <v>27</v>
      </c>
      <c r="W5" s="57" t="s">
        <v>28</v>
      </c>
      <c r="X5" s="57" t="s">
        <v>29</v>
      </c>
      <c r="Y5" s="57" t="s">
        <v>30</v>
      </c>
      <c r="Z5" s="59" t="s">
        <v>31</v>
      </c>
      <c r="AA5" s="60" t="s">
        <v>32</v>
      </c>
      <c r="AB5" s="57" t="s">
        <v>33</v>
      </c>
    </row>
    <row r="6" spans="1:28" s="61" customFormat="1" ht="28.8" x14ac:dyDescent="0.3">
      <c r="A6" s="61" t="s">
        <v>34</v>
      </c>
      <c r="B6" s="67" t="s">
        <v>35</v>
      </c>
      <c r="C6" s="67"/>
      <c r="D6" s="67"/>
      <c r="E6" s="67"/>
      <c r="F6" s="68"/>
      <c r="G6" s="68"/>
      <c r="H6" s="68"/>
      <c r="I6" s="68" t="str">
        <f>IF(OR(O6={"T410","T420","T400"}), "Y", "N")</f>
        <v>Y</v>
      </c>
      <c r="J6" s="68">
        <f>Table1[[#This Row],[Memory slot2-GB]]+Table1[[#This Row],[Memory slot1-GB]]</f>
        <v>0</v>
      </c>
      <c r="K6" s="68"/>
      <c r="L6" s="68"/>
      <c r="M6" s="68"/>
      <c r="N6" s="67">
        <v>2010</v>
      </c>
      <c r="O6" s="67" t="s">
        <v>36</v>
      </c>
      <c r="P6" s="67" t="s">
        <v>37</v>
      </c>
      <c r="Q6" s="68" t="s">
        <v>38</v>
      </c>
      <c r="R6" s="61" t="s">
        <v>39</v>
      </c>
      <c r="S6" s="62" t="s">
        <v>40</v>
      </c>
      <c r="T6" s="69">
        <v>834532168</v>
      </c>
      <c r="U6" s="70" t="s">
        <v>41</v>
      </c>
      <c r="V6" s="71">
        <v>0</v>
      </c>
      <c r="W6" s="72">
        <v>0</v>
      </c>
      <c r="X6" s="61" t="s">
        <v>42</v>
      </c>
      <c r="Z6" s="73" t="s">
        <v>43</v>
      </c>
      <c r="AA6" s="74"/>
    </row>
    <row r="7" spans="1:28" ht="31.2" x14ac:dyDescent="0.3">
      <c r="A7" s="57" t="s">
        <v>44</v>
      </c>
      <c r="B7" s="75" t="s">
        <v>35</v>
      </c>
      <c r="C7" s="75"/>
      <c r="D7" s="75"/>
      <c r="E7" s="75"/>
      <c r="F7" s="76"/>
      <c r="G7" s="76"/>
      <c r="H7" s="76"/>
      <c r="I7" s="76" t="str">
        <f>IF(OR(O7={"T410","T420","T400"}), "Y", "N")</f>
        <v>Y</v>
      </c>
      <c r="J7" s="76">
        <f>Table1[[#This Row],[Memory slot2-GB]]+Table1[[#This Row],[Memory slot1-GB]]</f>
        <v>0</v>
      </c>
      <c r="K7" s="76"/>
      <c r="L7" s="76"/>
      <c r="M7" s="76"/>
      <c r="N7" s="77">
        <v>2011</v>
      </c>
      <c r="O7" s="78" t="s">
        <v>36</v>
      </c>
      <c r="P7" s="78" t="s">
        <v>45</v>
      </c>
      <c r="Q7" s="79" t="s">
        <v>46</v>
      </c>
      <c r="S7" s="62" t="s">
        <v>40</v>
      </c>
      <c r="T7" s="80"/>
      <c r="U7" s="81" t="s">
        <v>47</v>
      </c>
      <c r="V7" s="81">
        <v>0</v>
      </c>
      <c r="W7" s="82">
        <v>0</v>
      </c>
      <c r="X7" s="57"/>
      <c r="Z7" s="59" t="s">
        <v>48</v>
      </c>
      <c r="AA7" s="60"/>
    </row>
    <row r="8" spans="1:28" s="61" customFormat="1" ht="28.8" x14ac:dyDescent="0.3">
      <c r="A8" s="61" t="s">
        <v>49</v>
      </c>
      <c r="B8" s="67" t="s">
        <v>35</v>
      </c>
      <c r="C8" s="78" t="s">
        <v>50</v>
      </c>
      <c r="D8" s="78"/>
      <c r="E8" s="78" t="s">
        <v>51</v>
      </c>
      <c r="F8" s="79">
        <v>64</v>
      </c>
      <c r="G8" s="79">
        <v>4</v>
      </c>
      <c r="H8" s="79">
        <v>0</v>
      </c>
      <c r="I8" s="79" t="str">
        <f>IF(OR(O8={"T410","T420","T400"}), "8", "16")</f>
        <v>16</v>
      </c>
      <c r="J8" s="79">
        <f>Table1[[#This Row],[Memory slot2-GB]]+Table1[[#This Row],[Memory slot1-GB]]</f>
        <v>4</v>
      </c>
      <c r="K8" s="79">
        <v>2</v>
      </c>
      <c r="L8" s="79" t="s">
        <v>52</v>
      </c>
      <c r="M8" s="79"/>
      <c r="N8" s="67">
        <v>2015</v>
      </c>
      <c r="O8" s="67" t="s">
        <v>53</v>
      </c>
      <c r="P8" s="67" t="s">
        <v>54</v>
      </c>
      <c r="Q8" s="68" t="s">
        <v>55</v>
      </c>
      <c r="R8" s="61" t="s">
        <v>56</v>
      </c>
      <c r="S8" s="61" t="s">
        <v>57</v>
      </c>
      <c r="T8" s="69">
        <v>789843396</v>
      </c>
      <c r="U8" s="83" t="s">
        <v>58</v>
      </c>
      <c r="V8" s="84">
        <v>0</v>
      </c>
      <c r="W8" s="72">
        <v>1</v>
      </c>
      <c r="X8" s="61" t="s">
        <v>59</v>
      </c>
      <c r="Z8" s="85"/>
      <c r="AA8" s="74"/>
    </row>
    <row r="9" spans="1:28" s="61" customFormat="1" ht="28.8" x14ac:dyDescent="0.3">
      <c r="A9" s="61" t="s">
        <v>60</v>
      </c>
      <c r="B9" s="67" t="s">
        <v>35</v>
      </c>
      <c r="C9" s="78" t="s">
        <v>61</v>
      </c>
      <c r="D9" s="78"/>
      <c r="E9" s="78" t="s">
        <v>62</v>
      </c>
      <c r="F9" s="79">
        <v>64</v>
      </c>
      <c r="G9" s="79">
        <v>4</v>
      </c>
      <c r="H9" s="79">
        <v>0</v>
      </c>
      <c r="I9" s="79" t="str">
        <f>IF(OR(O9={"T410","T420","T400"}), "8", "16")</f>
        <v>16</v>
      </c>
      <c r="J9" s="79">
        <f>Table1[[#This Row],[Memory slot2-GB]]+Table1[[#This Row],[Memory slot1-GB]]</f>
        <v>4</v>
      </c>
      <c r="K9" s="79">
        <v>2</v>
      </c>
      <c r="L9" s="79" t="s">
        <v>52</v>
      </c>
      <c r="M9" s="79"/>
      <c r="N9" s="67">
        <v>2015</v>
      </c>
      <c r="O9" s="67" t="s">
        <v>53</v>
      </c>
      <c r="P9" s="67" t="s">
        <v>54</v>
      </c>
      <c r="Q9" s="68" t="s">
        <v>63</v>
      </c>
      <c r="R9" s="61" t="s">
        <v>64</v>
      </c>
      <c r="S9" s="61" t="s">
        <v>57</v>
      </c>
      <c r="T9" s="69">
        <v>789866268</v>
      </c>
      <c r="U9" s="83" t="s">
        <v>58</v>
      </c>
      <c r="V9" s="84">
        <v>0</v>
      </c>
      <c r="W9" s="72">
        <v>1</v>
      </c>
      <c r="X9" s="61" t="s">
        <v>59</v>
      </c>
      <c r="Z9" s="85"/>
      <c r="AA9" s="74"/>
    </row>
    <row r="10" spans="1:28" s="86" customFormat="1" ht="15" customHeight="1" x14ac:dyDescent="0.3">
      <c r="A10" s="86" t="s">
        <v>65</v>
      </c>
      <c r="B10" s="87" t="s">
        <v>35</v>
      </c>
      <c r="C10" s="87"/>
      <c r="D10" s="87"/>
      <c r="E10" s="87"/>
      <c r="F10" s="88"/>
      <c r="G10" s="88"/>
      <c r="H10" s="88"/>
      <c r="I10" s="88" t="str">
        <f>IF(OR(O10={"T410","T420","T400"}), "Y", "N")</f>
        <v>Y</v>
      </c>
      <c r="J10" s="88">
        <f>Table1[[#This Row],[Memory slot2-GB]]+Table1[[#This Row],[Memory slot1-GB]]</f>
        <v>0</v>
      </c>
      <c r="K10" s="88"/>
      <c r="L10" s="88"/>
      <c r="M10" s="88"/>
      <c r="N10" s="87">
        <v>2010</v>
      </c>
      <c r="O10" s="87" t="s">
        <v>36</v>
      </c>
      <c r="P10" s="87" t="s">
        <v>37</v>
      </c>
      <c r="Q10" s="88" t="s">
        <v>66</v>
      </c>
      <c r="S10" s="62" t="s">
        <v>40</v>
      </c>
      <c r="T10" s="89"/>
      <c r="U10" s="84"/>
      <c r="V10" s="84">
        <v>0</v>
      </c>
      <c r="W10" s="82">
        <v>0</v>
      </c>
      <c r="Z10" s="90" t="s">
        <v>67</v>
      </c>
      <c r="AA10" s="91"/>
    </row>
    <row r="11" spans="1:28" ht="15.75" customHeight="1" x14ac:dyDescent="0.3">
      <c r="A11" s="57" t="s">
        <v>68</v>
      </c>
      <c r="B11" s="75" t="s">
        <v>35</v>
      </c>
      <c r="C11" s="75"/>
      <c r="D11" s="75"/>
      <c r="E11" s="75"/>
      <c r="F11" s="76"/>
      <c r="G11" s="76"/>
      <c r="H11" s="76"/>
      <c r="I11" s="76" t="str">
        <f>IF(OR(O11={"T410","T420","T400"}), "Y", "N")</f>
        <v>Y</v>
      </c>
      <c r="J11" s="76">
        <f>Table1[[#This Row],[Memory slot2-GB]]+Table1[[#This Row],[Memory slot1-GB]]</f>
        <v>0</v>
      </c>
      <c r="K11" s="76"/>
      <c r="L11" s="76"/>
      <c r="M11" s="76"/>
      <c r="N11" s="77">
        <v>2010</v>
      </c>
      <c r="O11" s="77" t="s">
        <v>36</v>
      </c>
      <c r="P11" s="78" t="s">
        <v>69</v>
      </c>
      <c r="Q11" s="79" t="s">
        <v>70</v>
      </c>
      <c r="S11" s="57" t="s">
        <v>71</v>
      </c>
      <c r="T11" s="80">
        <v>1044211323</v>
      </c>
      <c r="U11" s="84" t="s">
        <v>58</v>
      </c>
      <c r="V11" s="84">
        <v>0</v>
      </c>
      <c r="W11" s="82">
        <v>0</v>
      </c>
      <c r="X11" s="57"/>
      <c r="Y11" s="57" t="s">
        <v>59</v>
      </c>
      <c r="Z11" s="59" t="s">
        <v>72</v>
      </c>
      <c r="AA11" s="60"/>
    </row>
    <row r="12" spans="1:28" s="61" customFormat="1" ht="15" customHeight="1" x14ac:dyDescent="0.3">
      <c r="A12" s="61" t="s">
        <v>73</v>
      </c>
      <c r="B12" s="67" t="s">
        <v>35</v>
      </c>
      <c r="C12" s="78" t="s">
        <v>74</v>
      </c>
      <c r="D12" s="78"/>
      <c r="E12" s="78" t="s">
        <v>75</v>
      </c>
      <c r="F12" s="79">
        <v>64</v>
      </c>
      <c r="G12" s="79">
        <v>4</v>
      </c>
      <c r="H12" s="79">
        <v>0</v>
      </c>
      <c r="I12" s="79" t="str">
        <f>IF(OR(O12={"T410","T420","T400"}), "8", "16")</f>
        <v>16</v>
      </c>
      <c r="J12" s="79">
        <f>Table1[[#This Row],[Memory slot2-GB]]+Table1[[#This Row],[Memory slot1-GB]]</f>
        <v>4</v>
      </c>
      <c r="K12" s="79">
        <v>2</v>
      </c>
      <c r="L12" s="79" t="s">
        <v>52</v>
      </c>
      <c r="M12" s="79"/>
      <c r="N12" s="67">
        <v>2015</v>
      </c>
      <c r="O12" s="67" t="s">
        <v>53</v>
      </c>
      <c r="P12" s="67" t="s">
        <v>54</v>
      </c>
      <c r="Q12" s="68" t="s">
        <v>76</v>
      </c>
      <c r="R12" s="61" t="s">
        <v>77</v>
      </c>
      <c r="S12" s="61" t="s">
        <v>57</v>
      </c>
      <c r="T12" s="69">
        <v>180065251</v>
      </c>
      <c r="U12" s="92" t="s">
        <v>41</v>
      </c>
      <c r="V12" s="83">
        <v>0</v>
      </c>
      <c r="W12" s="72">
        <v>1</v>
      </c>
      <c r="X12" s="61" t="s">
        <v>59</v>
      </c>
      <c r="Z12" s="85" t="s">
        <v>78</v>
      </c>
      <c r="AA12" s="74"/>
      <c r="AB12" s="61" t="s">
        <v>79</v>
      </c>
    </row>
    <row r="13" spans="1:28" s="61" customFormat="1" ht="15" customHeight="1" x14ac:dyDescent="0.3">
      <c r="A13" s="61" t="s">
        <v>80</v>
      </c>
      <c r="B13" s="67" t="s">
        <v>35</v>
      </c>
      <c r="C13" s="78" t="s">
        <v>81</v>
      </c>
      <c r="D13" s="78"/>
      <c r="E13" s="78" t="s">
        <v>82</v>
      </c>
      <c r="F13" s="79">
        <v>64</v>
      </c>
      <c r="G13" s="79">
        <v>4</v>
      </c>
      <c r="H13" s="79">
        <v>0</v>
      </c>
      <c r="I13" s="79" t="str">
        <f>IF(OR(O13={"T410","T420","T400"}), "8", "16")</f>
        <v>16</v>
      </c>
      <c r="J13" s="79">
        <f>Table1[[#This Row],[Memory slot2-GB]]+Table1[[#This Row],[Memory slot1-GB]]</f>
        <v>4</v>
      </c>
      <c r="K13" s="79">
        <v>2</v>
      </c>
      <c r="L13" s="79" t="s">
        <v>52</v>
      </c>
      <c r="M13" s="79"/>
      <c r="N13" s="67">
        <v>2015</v>
      </c>
      <c r="O13" s="67" t="s">
        <v>53</v>
      </c>
      <c r="P13" s="67" t="s">
        <v>54</v>
      </c>
      <c r="Q13" s="68" t="s">
        <v>83</v>
      </c>
      <c r="R13" s="61" t="s">
        <v>84</v>
      </c>
      <c r="S13" s="61" t="s">
        <v>57</v>
      </c>
      <c r="T13" s="69" t="s">
        <v>85</v>
      </c>
      <c r="U13" s="92" t="s">
        <v>41</v>
      </c>
      <c r="V13" s="83">
        <v>0</v>
      </c>
      <c r="W13" s="72">
        <v>1</v>
      </c>
      <c r="X13" s="61" t="s">
        <v>59</v>
      </c>
      <c r="Z13" s="85" t="s">
        <v>78</v>
      </c>
      <c r="AA13" s="74"/>
    </row>
    <row r="14" spans="1:28" s="86" customFormat="1" ht="15" customHeight="1" x14ac:dyDescent="0.3">
      <c r="A14" s="86" t="s">
        <v>86</v>
      </c>
      <c r="B14" s="87" t="s">
        <v>35</v>
      </c>
      <c r="C14" s="78" t="s">
        <v>87</v>
      </c>
      <c r="D14" s="78"/>
      <c r="E14" s="78" t="s">
        <v>88</v>
      </c>
      <c r="F14" s="79">
        <v>64</v>
      </c>
      <c r="G14" s="79">
        <v>2</v>
      </c>
      <c r="H14" s="79">
        <v>4</v>
      </c>
      <c r="I14" s="79" t="str">
        <f>IF(OR(O14={"T410","T420","T400"}), "8", "16")</f>
        <v>8</v>
      </c>
      <c r="J14" s="79">
        <f>Table1[[#This Row],[Memory slot2-GB]]+Table1[[#This Row],[Memory slot1-GB]]</f>
        <v>6</v>
      </c>
      <c r="K14" s="79">
        <v>0</v>
      </c>
      <c r="L14" s="79" t="s">
        <v>89</v>
      </c>
      <c r="M14" s="79" t="s">
        <v>90</v>
      </c>
      <c r="N14" s="87">
        <v>2012</v>
      </c>
      <c r="O14" s="87" t="s">
        <v>91</v>
      </c>
      <c r="P14" s="87" t="s">
        <v>92</v>
      </c>
      <c r="Q14" s="88" t="s">
        <v>93</v>
      </c>
      <c r="R14" s="86" t="s">
        <v>94</v>
      </c>
      <c r="S14" s="86" t="s">
        <v>57</v>
      </c>
      <c r="T14" s="89"/>
      <c r="U14" s="83" t="s">
        <v>58</v>
      </c>
      <c r="V14" s="83">
        <v>0</v>
      </c>
      <c r="W14" s="72">
        <v>1</v>
      </c>
      <c r="X14" s="86" t="s">
        <v>42</v>
      </c>
      <c r="Y14" s="86" t="s">
        <v>59</v>
      </c>
      <c r="Z14" s="90"/>
      <c r="AA14" s="91"/>
    </row>
    <row r="15" spans="1:28" ht="15" customHeight="1" x14ac:dyDescent="0.3">
      <c r="A15" s="57" t="s">
        <v>95</v>
      </c>
      <c r="B15" s="78" t="s">
        <v>35</v>
      </c>
      <c r="C15" s="78"/>
      <c r="D15" s="78"/>
      <c r="E15" s="78"/>
      <c r="F15" s="79"/>
      <c r="G15" s="79"/>
      <c r="H15" s="79"/>
      <c r="I15" s="79" t="str">
        <f>IF(OR(O15={"T410","T420","T400"}), "Y", "N")</f>
        <v>Y</v>
      </c>
      <c r="J15" s="79">
        <f>Table1[[#This Row],[Memory slot2-GB]]+Table1[[#This Row],[Memory slot1-GB]]</f>
        <v>0</v>
      </c>
      <c r="K15" s="79"/>
      <c r="L15" s="79"/>
      <c r="M15" s="79"/>
      <c r="N15" s="78">
        <v>2010</v>
      </c>
      <c r="O15" s="78" t="s">
        <v>36</v>
      </c>
      <c r="P15" s="78" t="s">
        <v>96</v>
      </c>
      <c r="Q15" s="79" t="s">
        <v>97</v>
      </c>
      <c r="S15" s="62" t="s">
        <v>71</v>
      </c>
      <c r="T15" s="80"/>
      <c r="U15" s="81" t="s">
        <v>47</v>
      </c>
      <c r="V15" s="81">
        <v>0</v>
      </c>
      <c r="W15" s="82">
        <v>0</v>
      </c>
      <c r="X15" s="57"/>
      <c r="Z15" s="59" t="s">
        <v>48</v>
      </c>
      <c r="AA15" s="60"/>
    </row>
    <row r="16" spans="1:28" ht="15" customHeight="1" x14ac:dyDescent="0.3">
      <c r="A16" s="57" t="s">
        <v>98</v>
      </c>
      <c r="B16" s="78" t="s">
        <v>35</v>
      </c>
      <c r="C16" s="78"/>
      <c r="D16" s="78"/>
      <c r="E16" s="78"/>
      <c r="F16" s="79"/>
      <c r="G16" s="79"/>
      <c r="H16" s="79"/>
      <c r="I16" s="79" t="str">
        <f>IF(OR(O16={"T410","T420","T400"}), "Y", "N")</f>
        <v>Y</v>
      </c>
      <c r="J16" s="79">
        <f>Table1[[#This Row],[Memory slot2-GB]]+Table1[[#This Row],[Memory slot1-GB]]</f>
        <v>0</v>
      </c>
      <c r="K16" s="79"/>
      <c r="L16" s="79"/>
      <c r="M16" s="79"/>
      <c r="N16" s="78">
        <v>2010</v>
      </c>
      <c r="O16" s="77" t="s">
        <v>36</v>
      </c>
      <c r="P16" s="78" t="s">
        <v>99</v>
      </c>
      <c r="Q16" s="79" t="s">
        <v>100</v>
      </c>
      <c r="S16" s="62" t="s">
        <v>71</v>
      </c>
      <c r="T16" s="80"/>
      <c r="U16" s="81" t="s">
        <v>47</v>
      </c>
      <c r="V16" s="81">
        <v>0</v>
      </c>
      <c r="W16" s="82">
        <v>0</v>
      </c>
      <c r="X16" s="57"/>
      <c r="Z16" s="59" t="s">
        <v>48</v>
      </c>
      <c r="AA16" s="60"/>
    </row>
    <row r="17" spans="1:27" s="62" customFormat="1" ht="15" customHeight="1" x14ac:dyDescent="0.3">
      <c r="A17" s="62" t="s">
        <v>101</v>
      </c>
      <c r="B17" s="93" t="s">
        <v>35</v>
      </c>
      <c r="C17" s="78" t="s">
        <v>102</v>
      </c>
      <c r="D17" s="78"/>
      <c r="E17" s="78" t="s">
        <v>103</v>
      </c>
      <c r="F17" s="79">
        <v>64</v>
      </c>
      <c r="G17" s="79">
        <v>4</v>
      </c>
      <c r="H17" s="79">
        <v>0</v>
      </c>
      <c r="I17" s="79" t="str">
        <f>IF(OR(O17={"T410","T420","T400"}), "8", "16")</f>
        <v>16</v>
      </c>
      <c r="J17" s="79">
        <f>Table1[[#This Row],[Memory slot2-GB]]+Table1[[#This Row],[Memory slot1-GB]]</f>
        <v>4</v>
      </c>
      <c r="K17" s="79">
        <v>2</v>
      </c>
      <c r="L17" s="79" t="s">
        <v>89</v>
      </c>
      <c r="M17" s="79"/>
      <c r="N17" s="93">
        <v>2013</v>
      </c>
      <c r="O17" s="93" t="s">
        <v>104</v>
      </c>
      <c r="P17" s="93" t="s">
        <v>105</v>
      </c>
      <c r="Q17" s="94" t="s">
        <v>106</v>
      </c>
      <c r="R17" s="62" t="s">
        <v>107</v>
      </c>
      <c r="S17" s="62" t="s">
        <v>57</v>
      </c>
      <c r="T17" s="95">
        <v>177404820</v>
      </c>
      <c r="U17" s="83" t="s">
        <v>58</v>
      </c>
      <c r="V17" s="83">
        <v>0</v>
      </c>
      <c r="W17" s="72">
        <v>1</v>
      </c>
      <c r="Z17" s="73" t="s">
        <v>108</v>
      </c>
      <c r="AA17" s="96"/>
    </row>
    <row r="18" spans="1:27" ht="15" customHeight="1" x14ac:dyDescent="0.3">
      <c r="A18" s="57" t="s">
        <v>109</v>
      </c>
      <c r="B18" s="78" t="s">
        <v>35</v>
      </c>
      <c r="C18" s="78"/>
      <c r="D18" s="78"/>
      <c r="E18" s="78"/>
      <c r="F18" s="79"/>
      <c r="G18" s="79"/>
      <c r="H18" s="79"/>
      <c r="I18" s="79" t="str">
        <f>IF(OR(O18={"T410","T420","T400"}), "Y", "N")</f>
        <v>Y</v>
      </c>
      <c r="J18" s="79">
        <f>Table1[[#This Row],[Memory slot2-GB]]+Table1[[#This Row],[Memory slot1-GB]]</f>
        <v>0</v>
      </c>
      <c r="K18" s="79"/>
      <c r="L18" s="79"/>
      <c r="M18" s="79"/>
      <c r="N18" s="78">
        <v>2011</v>
      </c>
      <c r="O18" s="78" t="s">
        <v>91</v>
      </c>
      <c r="P18" s="78" t="s">
        <v>110</v>
      </c>
      <c r="Q18" s="79" t="s">
        <v>111</v>
      </c>
      <c r="S18" s="62" t="s">
        <v>71</v>
      </c>
      <c r="T18" s="80"/>
      <c r="U18" s="81" t="s">
        <v>47</v>
      </c>
      <c r="V18" s="81">
        <v>0</v>
      </c>
      <c r="W18" s="82">
        <v>0</v>
      </c>
      <c r="X18" s="57"/>
      <c r="Z18" s="59" t="s">
        <v>48</v>
      </c>
      <c r="AA18" s="60"/>
    </row>
    <row r="19" spans="1:27" s="86" customFormat="1" ht="15.75" customHeight="1" x14ac:dyDescent="0.3">
      <c r="A19" s="86" t="s">
        <v>112</v>
      </c>
      <c r="B19" s="97" t="s">
        <v>113</v>
      </c>
      <c r="C19" s="75" t="s">
        <v>114</v>
      </c>
      <c r="D19" s="75"/>
      <c r="E19" s="75" t="s">
        <v>115</v>
      </c>
      <c r="F19" s="76">
        <v>32</v>
      </c>
      <c r="G19" s="76">
        <v>1</v>
      </c>
      <c r="H19" s="76">
        <v>2</v>
      </c>
      <c r="I19" s="79">
        <v>8</v>
      </c>
      <c r="J19" s="79">
        <f>Table1[[#This Row],[Memory slot2-GB]]+Table1[[#This Row],[Memory slot1-GB]]</f>
        <v>3</v>
      </c>
      <c r="K19" s="79">
        <v>0</v>
      </c>
      <c r="L19" s="98"/>
      <c r="M19" s="98"/>
      <c r="N19" s="87">
        <v>2008</v>
      </c>
      <c r="O19" s="87" t="s">
        <v>116</v>
      </c>
      <c r="P19" s="99" t="s">
        <v>117</v>
      </c>
      <c r="Q19" s="88" t="s">
        <v>118</v>
      </c>
      <c r="R19" s="86" t="s">
        <v>119</v>
      </c>
      <c r="S19" s="86" t="s">
        <v>57</v>
      </c>
      <c r="T19" s="89"/>
      <c r="U19" s="81" t="s">
        <v>47</v>
      </c>
      <c r="V19" s="84">
        <v>0</v>
      </c>
      <c r="W19" s="72">
        <v>1</v>
      </c>
      <c r="Z19" s="73" t="s">
        <v>120</v>
      </c>
      <c r="AA19" s="91"/>
    </row>
    <row r="20" spans="1:27" s="86" customFormat="1" ht="15" customHeight="1" x14ac:dyDescent="0.3">
      <c r="A20" s="86" t="s">
        <v>121</v>
      </c>
      <c r="B20" s="87" t="s">
        <v>35</v>
      </c>
      <c r="C20" s="78" t="s">
        <v>122</v>
      </c>
      <c r="D20" s="78"/>
      <c r="E20" s="78" t="s">
        <v>123</v>
      </c>
      <c r="F20" s="79">
        <v>64</v>
      </c>
      <c r="G20" s="79">
        <v>4</v>
      </c>
      <c r="H20" s="79">
        <v>0</v>
      </c>
      <c r="I20" s="79" t="str">
        <f>IF(OR(O20={"T410","T420","T400"}), "8", "16")</f>
        <v>8</v>
      </c>
      <c r="J20" s="79">
        <f>Table1[[#This Row],[Memory slot2-GB]]+Table1[[#This Row],[Memory slot1-GB]]</f>
        <v>4</v>
      </c>
      <c r="K20" s="79">
        <v>0</v>
      </c>
      <c r="L20" s="79" t="s">
        <v>89</v>
      </c>
      <c r="M20" s="79"/>
      <c r="N20" s="87">
        <v>2011</v>
      </c>
      <c r="O20" s="87" t="s">
        <v>91</v>
      </c>
      <c r="P20" s="87" t="s">
        <v>124</v>
      </c>
      <c r="Q20" s="88" t="s">
        <v>125</v>
      </c>
      <c r="R20" s="86" t="s">
        <v>126</v>
      </c>
      <c r="S20" s="86" t="s">
        <v>57</v>
      </c>
      <c r="T20" s="89"/>
      <c r="U20" s="83" t="s">
        <v>58</v>
      </c>
      <c r="V20" s="83">
        <v>0</v>
      </c>
      <c r="W20" s="72">
        <v>1</v>
      </c>
      <c r="Z20" s="90" t="s">
        <v>127</v>
      </c>
      <c r="AA20" s="91" t="s">
        <v>128</v>
      </c>
    </row>
    <row r="21" spans="1:27" s="86" customFormat="1" ht="15" customHeight="1" x14ac:dyDescent="0.3">
      <c r="A21" s="86" t="s">
        <v>129</v>
      </c>
      <c r="B21" s="87" t="s">
        <v>35</v>
      </c>
      <c r="C21" s="78" t="s">
        <v>130</v>
      </c>
      <c r="D21" s="78"/>
      <c r="E21" s="78" t="s">
        <v>131</v>
      </c>
      <c r="F21" s="79">
        <v>64</v>
      </c>
      <c r="G21" s="79">
        <v>2</v>
      </c>
      <c r="H21" s="79">
        <v>2</v>
      </c>
      <c r="I21" s="79" t="str">
        <f>IF(OR(O21={"T410","T420","T400"}), "8", "16")</f>
        <v>8</v>
      </c>
      <c r="J21" s="79">
        <f>Table1[[#This Row],[Memory slot2-GB]]+Table1[[#This Row],[Memory slot1-GB]]</f>
        <v>4</v>
      </c>
      <c r="K21" s="79">
        <v>0</v>
      </c>
      <c r="L21" s="79" t="s">
        <v>89</v>
      </c>
      <c r="M21" s="79"/>
      <c r="N21" s="87">
        <v>2011</v>
      </c>
      <c r="O21" s="87" t="s">
        <v>91</v>
      </c>
      <c r="P21" s="87" t="s">
        <v>132</v>
      </c>
      <c r="Q21" s="88" t="s">
        <v>133</v>
      </c>
      <c r="R21" s="86" t="s">
        <v>134</v>
      </c>
      <c r="S21" s="86" t="s">
        <v>57</v>
      </c>
      <c r="T21" s="89">
        <v>360876056</v>
      </c>
      <c r="U21" s="92" t="s">
        <v>58</v>
      </c>
      <c r="V21" s="83">
        <v>0</v>
      </c>
      <c r="W21" s="72">
        <v>1</v>
      </c>
      <c r="Y21" s="86" t="s">
        <v>59</v>
      </c>
      <c r="Z21" s="90" t="s">
        <v>135</v>
      </c>
      <c r="AA21" s="91"/>
    </row>
    <row r="22" spans="1:27" s="61" customFormat="1" ht="15" customHeight="1" x14ac:dyDescent="0.3">
      <c r="A22" s="61" t="s">
        <v>136</v>
      </c>
      <c r="B22" s="67" t="s">
        <v>35</v>
      </c>
      <c r="C22" s="78" t="s">
        <v>137</v>
      </c>
      <c r="D22" s="78"/>
      <c r="E22" s="78" t="s">
        <v>138</v>
      </c>
      <c r="F22" s="79">
        <v>64</v>
      </c>
      <c r="G22" s="79">
        <v>4</v>
      </c>
      <c r="H22" s="79">
        <v>0</v>
      </c>
      <c r="I22" s="79" t="str">
        <f>IF(OR(O22={"T410","T420","T400"}), "8", "16")</f>
        <v>16</v>
      </c>
      <c r="J22" s="79">
        <f>Table1[[#This Row],[Memory slot2-GB]]+Table1[[#This Row],[Memory slot1-GB]]</f>
        <v>4</v>
      </c>
      <c r="K22" s="79">
        <v>2</v>
      </c>
      <c r="L22" s="79" t="s">
        <v>89</v>
      </c>
      <c r="M22" s="79"/>
      <c r="N22" s="67">
        <v>2012</v>
      </c>
      <c r="O22" s="67" t="s">
        <v>104</v>
      </c>
      <c r="P22" s="67" t="s">
        <v>105</v>
      </c>
      <c r="Q22" s="68" t="s">
        <v>139</v>
      </c>
      <c r="R22" s="61" t="s">
        <v>140</v>
      </c>
      <c r="S22" s="61" t="s">
        <v>57</v>
      </c>
      <c r="T22" s="69">
        <v>908245437</v>
      </c>
      <c r="U22" s="92" t="s">
        <v>58</v>
      </c>
      <c r="V22" s="83">
        <v>0</v>
      </c>
      <c r="W22" s="72">
        <v>1</v>
      </c>
      <c r="X22" s="61" t="s">
        <v>59</v>
      </c>
      <c r="Z22" s="85" t="s">
        <v>141</v>
      </c>
      <c r="AA22" s="74" t="s">
        <v>142</v>
      </c>
    </row>
    <row r="23" spans="1:27" s="61" customFormat="1" ht="15" customHeight="1" x14ac:dyDescent="0.3">
      <c r="A23" s="61" t="s">
        <v>143</v>
      </c>
      <c r="B23" s="67" t="s">
        <v>35</v>
      </c>
      <c r="C23" s="78" t="s">
        <v>144</v>
      </c>
      <c r="D23" s="78" t="s">
        <v>145</v>
      </c>
      <c r="E23" s="78" t="s">
        <v>146</v>
      </c>
      <c r="F23" s="79">
        <v>64</v>
      </c>
      <c r="G23" s="79">
        <v>4</v>
      </c>
      <c r="H23" s="79">
        <v>0</v>
      </c>
      <c r="I23" s="79" t="str">
        <f>IF(OR(O23={"T410","T420","T400"}), "8", "16")</f>
        <v>16</v>
      </c>
      <c r="J23" s="79">
        <f>Table1[[#This Row],[Memory slot2-GB]]+Table1[[#This Row],[Memory slot1-GB]]</f>
        <v>4</v>
      </c>
      <c r="K23" s="79">
        <v>2</v>
      </c>
      <c r="L23" s="79" t="s">
        <v>89</v>
      </c>
      <c r="M23" s="79"/>
      <c r="N23" s="67">
        <v>2012</v>
      </c>
      <c r="O23" s="67" t="s">
        <v>104</v>
      </c>
      <c r="P23" s="67" t="s">
        <v>105</v>
      </c>
      <c r="Q23" s="68" t="s">
        <v>147</v>
      </c>
      <c r="R23" s="61" t="s">
        <v>148</v>
      </c>
      <c r="S23" s="61" t="s">
        <v>57</v>
      </c>
      <c r="T23" s="69">
        <v>969973396</v>
      </c>
      <c r="U23" s="92" t="s">
        <v>58</v>
      </c>
      <c r="V23" s="83">
        <v>0</v>
      </c>
      <c r="W23" s="72">
        <v>1</v>
      </c>
      <c r="X23" s="61" t="s">
        <v>59</v>
      </c>
      <c r="Z23" s="85" t="s">
        <v>149</v>
      </c>
      <c r="AA23" s="74"/>
    </row>
    <row r="24" spans="1:27" s="61" customFormat="1" ht="15" customHeight="1" x14ac:dyDescent="0.3">
      <c r="A24" s="61" t="s">
        <v>150</v>
      </c>
      <c r="B24" s="67" t="s">
        <v>35</v>
      </c>
      <c r="C24" s="67" t="s">
        <v>151</v>
      </c>
      <c r="D24" s="67" t="s">
        <v>145</v>
      </c>
      <c r="E24" s="67" t="s">
        <v>152</v>
      </c>
      <c r="F24" s="68">
        <v>64</v>
      </c>
      <c r="G24" s="68">
        <v>4</v>
      </c>
      <c r="H24" s="68">
        <v>4</v>
      </c>
      <c r="I24" s="68" t="str">
        <f>IF(OR(O24={"T410","T420","T400"}), "8", "16")</f>
        <v>16</v>
      </c>
      <c r="J24" s="68">
        <f>Table1[[#This Row],[Memory slot2-GB]]+Table1[[#This Row],[Memory slot1-GB]]</f>
        <v>8</v>
      </c>
      <c r="K24" s="68">
        <v>2</v>
      </c>
      <c r="L24" s="68" t="s">
        <v>89</v>
      </c>
      <c r="M24" s="68" t="s">
        <v>153</v>
      </c>
      <c r="N24" s="67">
        <v>2013</v>
      </c>
      <c r="O24" s="67" t="s">
        <v>104</v>
      </c>
      <c r="P24" s="67" t="s">
        <v>105</v>
      </c>
      <c r="Q24" s="68" t="s">
        <v>154</v>
      </c>
      <c r="R24" s="61" t="s">
        <v>155</v>
      </c>
      <c r="S24" s="61" t="s">
        <v>57</v>
      </c>
      <c r="T24" s="69">
        <v>494549281</v>
      </c>
      <c r="U24" s="83" t="s">
        <v>58</v>
      </c>
      <c r="V24" s="83">
        <v>0</v>
      </c>
      <c r="W24" s="83">
        <v>0</v>
      </c>
      <c r="X24" s="61" t="s">
        <v>59</v>
      </c>
      <c r="Z24" s="85" t="s">
        <v>156</v>
      </c>
      <c r="AA24" s="74" t="s">
        <v>157</v>
      </c>
    </row>
    <row r="25" spans="1:27" s="61" customFormat="1" ht="15" customHeight="1" x14ac:dyDescent="0.3">
      <c r="A25" s="61" t="s">
        <v>158</v>
      </c>
      <c r="B25" s="67" t="s">
        <v>35</v>
      </c>
      <c r="C25" s="100" t="s">
        <v>159</v>
      </c>
      <c r="D25" s="100"/>
      <c r="E25" s="100" t="s">
        <v>160</v>
      </c>
      <c r="F25" s="79">
        <v>64</v>
      </c>
      <c r="G25" s="79">
        <v>4</v>
      </c>
      <c r="H25" s="79">
        <v>0</v>
      </c>
      <c r="I25" s="79" t="str">
        <f>IF(OR(O25={"T410","T420","T400"}), "8", "16")</f>
        <v>16</v>
      </c>
      <c r="J25" s="79">
        <f>Table1[[#This Row],[Memory slot2-GB]]+Table1[[#This Row],[Memory slot1-GB]]</f>
        <v>4</v>
      </c>
      <c r="K25" s="79">
        <v>2</v>
      </c>
      <c r="L25" s="79" t="s">
        <v>52</v>
      </c>
      <c r="M25" s="79"/>
      <c r="N25" s="67">
        <v>2015</v>
      </c>
      <c r="O25" s="67" t="s">
        <v>53</v>
      </c>
      <c r="P25" s="67" t="s">
        <v>54</v>
      </c>
      <c r="Q25" s="68" t="s">
        <v>161</v>
      </c>
      <c r="R25" s="61" t="s">
        <v>162</v>
      </c>
      <c r="S25" s="61" t="s">
        <v>57</v>
      </c>
      <c r="T25" s="69">
        <v>936355448</v>
      </c>
      <c r="U25" s="83" t="s">
        <v>58</v>
      </c>
      <c r="V25" s="83">
        <v>0</v>
      </c>
      <c r="W25" s="72">
        <v>1</v>
      </c>
      <c r="X25" s="61" t="s">
        <v>59</v>
      </c>
      <c r="Z25" s="85" t="s">
        <v>163</v>
      </c>
      <c r="AA25" s="74" t="s">
        <v>164</v>
      </c>
    </row>
    <row r="26" spans="1:27" s="61" customFormat="1" ht="15" customHeight="1" x14ac:dyDescent="0.3">
      <c r="A26" s="61" t="s">
        <v>165</v>
      </c>
      <c r="B26" s="67" t="s">
        <v>35</v>
      </c>
      <c r="C26" s="101" t="s">
        <v>166</v>
      </c>
      <c r="D26" s="101"/>
      <c r="E26" s="101" t="s">
        <v>167</v>
      </c>
      <c r="F26" s="68">
        <v>64</v>
      </c>
      <c r="G26" s="68">
        <v>4</v>
      </c>
      <c r="H26" s="68">
        <v>4</v>
      </c>
      <c r="I26" s="68" t="str">
        <f>IF(OR(O26={"T410","T420","T400"}), "8", "16")</f>
        <v>16</v>
      </c>
      <c r="J26" s="68">
        <f>Table1[[#This Row],[Memory slot2-GB]]+Table1[[#This Row],[Memory slot1-GB]]</f>
        <v>8</v>
      </c>
      <c r="K26" s="68">
        <v>2</v>
      </c>
      <c r="L26" s="68" t="s">
        <v>52</v>
      </c>
      <c r="M26" s="68" t="s">
        <v>968</v>
      </c>
      <c r="N26" s="67">
        <v>2015</v>
      </c>
      <c r="O26" s="67" t="s">
        <v>53</v>
      </c>
      <c r="P26" s="67" t="s">
        <v>54</v>
      </c>
      <c r="Q26" s="68" t="s">
        <v>168</v>
      </c>
      <c r="R26" s="61" t="s">
        <v>169</v>
      </c>
      <c r="S26" s="61" t="s">
        <v>57</v>
      </c>
      <c r="T26" s="69">
        <v>936304373</v>
      </c>
      <c r="U26" s="83" t="s">
        <v>58</v>
      </c>
      <c r="V26" s="83">
        <v>0</v>
      </c>
      <c r="W26" s="72">
        <v>1</v>
      </c>
      <c r="X26" s="61" t="s">
        <v>59</v>
      </c>
      <c r="Z26" s="85" t="s">
        <v>969</v>
      </c>
      <c r="AA26" s="74" t="s">
        <v>170</v>
      </c>
    </row>
    <row r="27" spans="1:27" s="61" customFormat="1" ht="15" customHeight="1" x14ac:dyDescent="0.3">
      <c r="A27" s="61" t="s">
        <v>171</v>
      </c>
      <c r="B27" s="67" t="s">
        <v>35</v>
      </c>
      <c r="C27" s="101" t="s">
        <v>172</v>
      </c>
      <c r="D27" s="101"/>
      <c r="E27" s="101" t="s">
        <v>173</v>
      </c>
      <c r="F27" s="68">
        <v>64</v>
      </c>
      <c r="G27" s="68">
        <v>4</v>
      </c>
      <c r="H27" s="68">
        <v>4</v>
      </c>
      <c r="I27" s="68" t="str">
        <f>IF(OR(O27={"T410","T420","T400"}), "8", "16")</f>
        <v>16</v>
      </c>
      <c r="J27" s="68">
        <v>8</v>
      </c>
      <c r="K27" s="68">
        <v>2</v>
      </c>
      <c r="L27" s="68" t="s">
        <v>52</v>
      </c>
      <c r="M27" s="68" t="s">
        <v>967</v>
      </c>
      <c r="N27" s="67">
        <v>2015</v>
      </c>
      <c r="O27" s="67" t="s">
        <v>53</v>
      </c>
      <c r="P27" s="67" t="s">
        <v>54</v>
      </c>
      <c r="Q27" s="68" t="s">
        <v>174</v>
      </c>
      <c r="R27" s="61" t="s">
        <v>175</v>
      </c>
      <c r="S27" s="61" t="s">
        <v>57</v>
      </c>
      <c r="T27" s="69">
        <v>981034947</v>
      </c>
      <c r="U27" s="83" t="s">
        <v>58</v>
      </c>
      <c r="V27" s="83">
        <v>0</v>
      </c>
      <c r="W27" s="72">
        <v>1</v>
      </c>
      <c r="X27" s="61" t="s">
        <v>59</v>
      </c>
      <c r="Y27" s="61" t="s">
        <v>59</v>
      </c>
      <c r="Z27" s="85" t="s">
        <v>970</v>
      </c>
      <c r="AA27" s="74"/>
    </row>
    <row r="28" spans="1:27" s="61" customFormat="1" ht="15" customHeight="1" x14ac:dyDescent="0.3">
      <c r="A28" s="61" t="s">
        <v>177</v>
      </c>
      <c r="B28" s="67" t="s">
        <v>35</v>
      </c>
      <c r="C28" s="101" t="s">
        <v>178</v>
      </c>
      <c r="D28" s="101"/>
      <c r="E28" s="101" t="s">
        <v>179</v>
      </c>
      <c r="F28" s="68">
        <v>64</v>
      </c>
      <c r="G28" s="68">
        <v>4</v>
      </c>
      <c r="H28" s="68">
        <v>4</v>
      </c>
      <c r="I28" s="68" t="str">
        <f>IF(OR(O28={"T410","T420","T400"}), "8", "16")</f>
        <v>16</v>
      </c>
      <c r="J28" s="68">
        <f>Table1[[#This Row],[Memory slot2-GB]]+Table1[[#This Row],[Memory slot1-GB]]</f>
        <v>8</v>
      </c>
      <c r="K28" s="68">
        <v>2</v>
      </c>
      <c r="L28" s="68" t="s">
        <v>52</v>
      </c>
      <c r="M28" s="68" t="s">
        <v>967</v>
      </c>
      <c r="N28" s="67">
        <v>2015</v>
      </c>
      <c r="O28" s="67" t="s">
        <v>53</v>
      </c>
      <c r="P28" s="67" t="s">
        <v>54</v>
      </c>
      <c r="Q28" s="68" t="s">
        <v>180</v>
      </c>
      <c r="R28" s="61" t="s">
        <v>181</v>
      </c>
      <c r="S28" s="61" t="s">
        <v>57</v>
      </c>
      <c r="T28" s="69">
        <v>977759087</v>
      </c>
      <c r="U28" s="83" t="s">
        <v>58</v>
      </c>
      <c r="V28" s="83">
        <v>0</v>
      </c>
      <c r="W28" s="72">
        <v>1</v>
      </c>
      <c r="X28" s="61" t="s">
        <v>59</v>
      </c>
      <c r="Y28" s="61" t="s">
        <v>59</v>
      </c>
      <c r="Z28" s="85" t="s">
        <v>970</v>
      </c>
      <c r="AA28" s="74"/>
    </row>
    <row r="29" spans="1:27" s="61" customFormat="1" ht="15" customHeight="1" x14ac:dyDescent="0.3">
      <c r="A29" s="61" t="s">
        <v>182</v>
      </c>
      <c r="B29" s="67" t="s">
        <v>35</v>
      </c>
      <c r="C29" s="100" t="s">
        <v>183</v>
      </c>
      <c r="D29" s="100" t="s">
        <v>145</v>
      </c>
      <c r="E29" s="100" t="s">
        <v>184</v>
      </c>
      <c r="F29" s="79">
        <v>64</v>
      </c>
      <c r="G29" s="79">
        <v>4</v>
      </c>
      <c r="H29" s="79">
        <v>4</v>
      </c>
      <c r="I29" s="79" t="str">
        <f>IF(OR(O29={"T410","T420","T400"}), "8", "16")</f>
        <v>16</v>
      </c>
      <c r="J29" s="79">
        <f>Table1[[#This Row],[Memory slot2-GB]]+Table1[[#This Row],[Memory slot1-GB]]</f>
        <v>8</v>
      </c>
      <c r="K29" s="79">
        <v>2</v>
      </c>
      <c r="L29" s="79" t="s">
        <v>89</v>
      </c>
      <c r="M29" s="79"/>
      <c r="N29" s="67">
        <v>2013</v>
      </c>
      <c r="O29" s="67" t="s">
        <v>104</v>
      </c>
      <c r="P29" s="67" t="s">
        <v>105</v>
      </c>
      <c r="Q29" s="68" t="s">
        <v>185</v>
      </c>
      <c r="S29" s="61" t="s">
        <v>57</v>
      </c>
      <c r="T29" s="69">
        <v>616607680</v>
      </c>
      <c r="U29" s="83" t="s">
        <v>58</v>
      </c>
      <c r="V29" s="83">
        <v>0</v>
      </c>
      <c r="W29" s="72">
        <v>1</v>
      </c>
      <c r="X29" s="61" t="s">
        <v>59</v>
      </c>
      <c r="Z29" s="85" t="s">
        <v>186</v>
      </c>
      <c r="AA29" s="61" t="s">
        <v>187</v>
      </c>
    </row>
    <row r="30" spans="1:27" s="61" customFormat="1" ht="15" customHeight="1" x14ac:dyDescent="0.3">
      <c r="A30" s="61" t="s">
        <v>188</v>
      </c>
      <c r="B30" s="67" t="s">
        <v>35</v>
      </c>
      <c r="C30" s="93"/>
      <c r="D30" s="93"/>
      <c r="E30" s="93"/>
      <c r="F30" s="94"/>
      <c r="G30" s="94"/>
      <c r="H30" s="94"/>
      <c r="I30" s="94" t="str">
        <f>IF(OR(O30={"T410","T420","T400"}), "Y", "N")</f>
        <v>N</v>
      </c>
      <c r="J30" s="94">
        <f>Table1[[#This Row],[Memory slot2-GB]]+Table1[[#This Row],[Memory slot1-GB]]</f>
        <v>0</v>
      </c>
      <c r="K30" s="94"/>
      <c r="L30" s="94"/>
      <c r="M30" s="94"/>
      <c r="N30" s="67">
        <v>2013</v>
      </c>
      <c r="O30" s="67" t="s">
        <v>104</v>
      </c>
      <c r="P30" s="67" t="s">
        <v>105</v>
      </c>
      <c r="Q30" s="68" t="s">
        <v>189</v>
      </c>
      <c r="R30" s="61" t="s">
        <v>190</v>
      </c>
      <c r="S30" s="62" t="s">
        <v>71</v>
      </c>
      <c r="T30" s="69">
        <v>852116416</v>
      </c>
      <c r="U30" s="83" t="s">
        <v>58</v>
      </c>
      <c r="V30" s="83">
        <v>0</v>
      </c>
      <c r="W30" s="82">
        <v>0</v>
      </c>
      <c r="X30" s="62" t="s">
        <v>59</v>
      </c>
      <c r="Y30" s="62"/>
      <c r="Z30" s="73" t="s">
        <v>191</v>
      </c>
      <c r="AA30" s="96" t="s">
        <v>192</v>
      </c>
    </row>
    <row r="31" spans="1:27" s="61" customFormat="1" ht="15" customHeight="1" x14ac:dyDescent="0.3">
      <c r="A31" s="61" t="s">
        <v>193</v>
      </c>
      <c r="B31" s="67" t="s">
        <v>35</v>
      </c>
      <c r="C31" s="102" t="s">
        <v>194</v>
      </c>
      <c r="D31" s="103"/>
      <c r="E31" s="103" t="s">
        <v>195</v>
      </c>
      <c r="F31" s="104">
        <v>64</v>
      </c>
      <c r="G31" s="104">
        <v>4</v>
      </c>
      <c r="H31" s="104">
        <v>0</v>
      </c>
      <c r="I31" s="79" t="str">
        <f>IF(OR(O31={"T410","T420","T400"}), "8", "16")</f>
        <v>16</v>
      </c>
      <c r="J31" s="79">
        <f>Table1[[#This Row],[Memory slot2-GB]]+Table1[[#This Row],[Memory slot1-GB]]</f>
        <v>4</v>
      </c>
      <c r="K31" s="79">
        <v>2</v>
      </c>
      <c r="L31" s="79" t="s">
        <v>52</v>
      </c>
      <c r="M31" s="79"/>
      <c r="N31" s="67">
        <v>2015</v>
      </c>
      <c r="O31" s="67" t="s">
        <v>53</v>
      </c>
      <c r="P31" s="67" t="s">
        <v>54</v>
      </c>
      <c r="Q31" s="68" t="s">
        <v>196</v>
      </c>
      <c r="R31" s="61" t="s">
        <v>197</v>
      </c>
      <c r="S31" s="61" t="s">
        <v>57</v>
      </c>
      <c r="T31" s="69">
        <v>838944147</v>
      </c>
      <c r="U31" s="83" t="s">
        <v>58</v>
      </c>
      <c r="V31" s="83">
        <v>0</v>
      </c>
      <c r="W31" s="72">
        <v>1</v>
      </c>
      <c r="X31" s="61" t="s">
        <v>59</v>
      </c>
      <c r="Z31" s="85" t="s">
        <v>198</v>
      </c>
      <c r="AA31" s="74"/>
    </row>
    <row r="32" spans="1:27" s="61" customFormat="1" ht="15" customHeight="1" x14ac:dyDescent="0.3">
      <c r="A32" s="61" t="s">
        <v>199</v>
      </c>
      <c r="B32" s="67" t="s">
        <v>35</v>
      </c>
      <c r="C32" s="103" t="s">
        <v>200</v>
      </c>
      <c r="D32" s="103" t="s">
        <v>145</v>
      </c>
      <c r="E32" s="103" t="s">
        <v>201</v>
      </c>
      <c r="F32" s="104">
        <v>64</v>
      </c>
      <c r="G32" s="104">
        <v>4</v>
      </c>
      <c r="H32" s="104">
        <v>0</v>
      </c>
      <c r="I32" s="79" t="str">
        <f>IF(OR(O32={"T410","T420","T400"}), "8", "16")</f>
        <v>16</v>
      </c>
      <c r="J32" s="79">
        <f>Table1[[#This Row],[Memory slot2-GB]]+Table1[[#This Row],[Memory slot1-GB]]</f>
        <v>4</v>
      </c>
      <c r="K32" s="79">
        <v>2</v>
      </c>
      <c r="L32" s="79" t="s">
        <v>52</v>
      </c>
      <c r="M32" s="79"/>
      <c r="N32" s="67">
        <v>2015</v>
      </c>
      <c r="O32" s="67" t="s">
        <v>53</v>
      </c>
      <c r="P32" s="67" t="s">
        <v>54</v>
      </c>
      <c r="Q32" s="68" t="s">
        <v>202</v>
      </c>
      <c r="R32" s="61" t="s">
        <v>203</v>
      </c>
      <c r="S32" s="61" t="s">
        <v>57</v>
      </c>
      <c r="T32" s="69">
        <v>838857508</v>
      </c>
      <c r="U32" s="83" t="s">
        <v>58</v>
      </c>
      <c r="V32" s="83">
        <v>0</v>
      </c>
      <c r="W32" s="72">
        <v>1</v>
      </c>
      <c r="X32" s="61" t="s">
        <v>59</v>
      </c>
      <c r="Z32" s="85" t="s">
        <v>198</v>
      </c>
      <c r="AA32" s="74"/>
    </row>
    <row r="33" spans="1:27" s="61" customFormat="1" ht="18" customHeight="1" x14ac:dyDescent="0.3">
      <c r="A33" s="61" t="s">
        <v>204</v>
      </c>
      <c r="B33" s="67" t="s">
        <v>35</v>
      </c>
      <c r="C33" s="100" t="s">
        <v>205</v>
      </c>
      <c r="D33" s="100"/>
      <c r="E33" s="100" t="s">
        <v>206</v>
      </c>
      <c r="F33" s="79">
        <v>64</v>
      </c>
      <c r="G33" s="79">
        <v>4</v>
      </c>
      <c r="H33" s="79">
        <v>2</v>
      </c>
      <c r="I33" s="79" t="str">
        <f>IF(OR(O33={"T410","T420","T400"}), "8", "16")</f>
        <v>16</v>
      </c>
      <c r="J33" s="79">
        <f>Table1[[#This Row],[Memory slot2-GB]]+Table1[[#This Row],[Memory slot1-GB]]</f>
        <v>6</v>
      </c>
      <c r="K33" s="79">
        <v>2</v>
      </c>
      <c r="L33" s="79" t="s">
        <v>89</v>
      </c>
      <c r="M33" s="79"/>
      <c r="N33" s="67">
        <v>2013</v>
      </c>
      <c r="O33" s="67" t="s">
        <v>104</v>
      </c>
      <c r="P33" s="67" t="s">
        <v>105</v>
      </c>
      <c r="Q33" s="68" t="s">
        <v>207</v>
      </c>
      <c r="R33" s="61" t="s">
        <v>208</v>
      </c>
      <c r="S33" s="61" t="s">
        <v>57</v>
      </c>
      <c r="T33" s="69">
        <v>982874662</v>
      </c>
      <c r="U33" s="83" t="s">
        <v>58</v>
      </c>
      <c r="V33" s="83">
        <v>0</v>
      </c>
      <c r="W33" s="72">
        <v>1</v>
      </c>
      <c r="X33" s="61" t="s">
        <v>59</v>
      </c>
      <c r="Z33" s="85" t="s">
        <v>209</v>
      </c>
      <c r="AA33" s="74"/>
    </row>
    <row r="34" spans="1:27" s="86" customFormat="1" ht="15" customHeight="1" x14ac:dyDescent="0.3">
      <c r="A34" s="86" t="s">
        <v>210</v>
      </c>
      <c r="B34" s="87" t="s">
        <v>35</v>
      </c>
      <c r="C34" s="100" t="s">
        <v>211</v>
      </c>
      <c r="D34" s="100" t="s">
        <v>145</v>
      </c>
      <c r="E34" s="100" t="s">
        <v>212</v>
      </c>
      <c r="F34" s="79">
        <v>64</v>
      </c>
      <c r="G34" s="79">
        <v>2</v>
      </c>
      <c r="H34" s="79">
        <v>4</v>
      </c>
      <c r="I34" s="79" t="str">
        <f>IF(OR(O34={"T410","T420","T400"}), "8", "16")</f>
        <v>8</v>
      </c>
      <c r="J34" s="79">
        <f>Table1[[#This Row],[Memory slot2-GB]]+Table1[[#This Row],[Memory slot1-GB]]</f>
        <v>6</v>
      </c>
      <c r="K34" s="79">
        <v>0</v>
      </c>
      <c r="L34" s="79" t="s">
        <v>89</v>
      </c>
      <c r="M34" s="79"/>
      <c r="N34" s="87">
        <v>2010</v>
      </c>
      <c r="O34" s="87" t="s">
        <v>36</v>
      </c>
      <c r="P34" s="87" t="s">
        <v>213</v>
      </c>
      <c r="Q34" s="88" t="s">
        <v>214</v>
      </c>
      <c r="R34" s="86" t="s">
        <v>215</v>
      </c>
      <c r="S34" s="86" t="s">
        <v>57</v>
      </c>
      <c r="T34" s="89">
        <v>1661101892</v>
      </c>
      <c r="U34" s="83" t="s">
        <v>58</v>
      </c>
      <c r="V34" s="83">
        <v>0</v>
      </c>
      <c r="W34" s="72">
        <v>1</v>
      </c>
      <c r="X34" s="86" t="s">
        <v>42</v>
      </c>
      <c r="Y34" s="86" t="s">
        <v>59</v>
      </c>
      <c r="Z34" s="90" t="s">
        <v>216</v>
      </c>
      <c r="AA34" s="91"/>
    </row>
    <row r="35" spans="1:27" s="86" customFormat="1" ht="15" customHeight="1" x14ac:dyDescent="0.3">
      <c r="A35" s="86" t="s">
        <v>217</v>
      </c>
      <c r="B35" s="87" t="s">
        <v>35</v>
      </c>
      <c r="C35" s="87"/>
      <c r="D35" s="87"/>
      <c r="E35" s="87"/>
      <c r="F35" s="88"/>
      <c r="G35" s="88"/>
      <c r="H35" s="88"/>
      <c r="I35" s="88" t="str">
        <f>IF(OR(O35={"T410","T420","T400"}), "Y", "N")</f>
        <v>Y</v>
      </c>
      <c r="J35" s="88">
        <f>Table1[[#This Row],[Memory slot2-GB]]+Table1[[#This Row],[Memory slot1-GB]]</f>
        <v>0</v>
      </c>
      <c r="K35" s="88"/>
      <c r="L35" s="88"/>
      <c r="M35" s="88"/>
      <c r="N35" s="87">
        <v>2009</v>
      </c>
      <c r="O35" s="87" t="s">
        <v>218</v>
      </c>
      <c r="P35" s="87" t="s">
        <v>219</v>
      </c>
      <c r="Q35" s="88" t="s">
        <v>220</v>
      </c>
      <c r="R35" s="86" t="s">
        <v>208</v>
      </c>
      <c r="S35" s="86" t="s">
        <v>71</v>
      </c>
      <c r="T35" s="89"/>
      <c r="U35" s="83" t="s">
        <v>58</v>
      </c>
      <c r="V35" s="83">
        <v>0</v>
      </c>
      <c r="W35" s="82">
        <v>0</v>
      </c>
      <c r="X35" s="86" t="s">
        <v>42</v>
      </c>
      <c r="Y35" s="86" t="s">
        <v>59</v>
      </c>
      <c r="Z35" s="90" t="s">
        <v>221</v>
      </c>
      <c r="AA35" s="91" t="s">
        <v>222</v>
      </c>
    </row>
    <row r="36" spans="1:27" s="62" customFormat="1" ht="15" customHeight="1" x14ac:dyDescent="0.3">
      <c r="A36" s="62" t="s">
        <v>223</v>
      </c>
      <c r="B36" s="93" t="s">
        <v>35</v>
      </c>
      <c r="C36" s="100" t="s">
        <v>224</v>
      </c>
      <c r="D36" s="100"/>
      <c r="E36" s="100" t="s">
        <v>225</v>
      </c>
      <c r="F36" s="79">
        <v>64</v>
      </c>
      <c r="G36" s="79">
        <v>4</v>
      </c>
      <c r="H36" s="79">
        <v>0</v>
      </c>
      <c r="I36" s="79" t="str">
        <f>IF(OR(O36={"T410","T420","T400"}), "8", "16")</f>
        <v>16</v>
      </c>
      <c r="J36" s="79">
        <f>Table1[[#This Row],[Memory slot2-GB]]+Table1[[#This Row],[Memory slot1-GB]]</f>
        <v>4</v>
      </c>
      <c r="K36" s="79">
        <v>2</v>
      </c>
      <c r="L36" s="79" t="s">
        <v>89</v>
      </c>
      <c r="M36" s="79"/>
      <c r="N36" s="93">
        <v>2013</v>
      </c>
      <c r="O36" s="93" t="s">
        <v>104</v>
      </c>
      <c r="P36" s="93" t="s">
        <v>226</v>
      </c>
      <c r="Q36" s="94" t="s">
        <v>227</v>
      </c>
      <c r="R36" s="62" t="s">
        <v>228</v>
      </c>
      <c r="S36" s="62" t="s">
        <v>57</v>
      </c>
      <c r="T36" s="95" t="s">
        <v>229</v>
      </c>
      <c r="U36" s="83" t="s">
        <v>58</v>
      </c>
      <c r="V36" s="83">
        <v>0</v>
      </c>
      <c r="W36" s="72">
        <v>1</v>
      </c>
      <c r="Z36" s="73" t="s">
        <v>230</v>
      </c>
      <c r="AA36" s="96"/>
    </row>
    <row r="37" spans="1:27" s="62" customFormat="1" ht="15" customHeight="1" x14ac:dyDescent="0.3">
      <c r="A37" s="62" t="s">
        <v>231</v>
      </c>
      <c r="B37" s="93" t="s">
        <v>35</v>
      </c>
      <c r="C37" s="100" t="s">
        <v>232</v>
      </c>
      <c r="D37" s="100"/>
      <c r="E37" s="100" t="s">
        <v>233</v>
      </c>
      <c r="F37" s="79">
        <v>64</v>
      </c>
      <c r="G37" s="79">
        <v>4</v>
      </c>
      <c r="H37" s="79">
        <v>0</v>
      </c>
      <c r="I37" s="79" t="str">
        <f>IF(OR(O37={"T410","T420","T400"}), "8", "16")</f>
        <v>16</v>
      </c>
      <c r="J37" s="79">
        <f>Table1[[#This Row],[Memory slot2-GB]]+Table1[[#This Row],[Memory slot1-GB]]</f>
        <v>4</v>
      </c>
      <c r="K37" s="79">
        <v>2</v>
      </c>
      <c r="L37" s="79" t="s">
        <v>89</v>
      </c>
      <c r="M37" s="79"/>
      <c r="N37" s="93">
        <v>2012</v>
      </c>
      <c r="O37" s="93" t="s">
        <v>104</v>
      </c>
      <c r="P37" s="93" t="s">
        <v>105</v>
      </c>
      <c r="Q37" s="94" t="s">
        <v>234</v>
      </c>
      <c r="R37" s="62" t="s">
        <v>235</v>
      </c>
      <c r="S37" s="62" t="s">
        <v>57</v>
      </c>
      <c r="T37" s="95" t="s">
        <v>236</v>
      </c>
      <c r="U37" s="83" t="s">
        <v>58</v>
      </c>
      <c r="V37" s="83">
        <v>0</v>
      </c>
      <c r="W37" s="72">
        <v>1</v>
      </c>
      <c r="Z37" s="73" t="s">
        <v>237</v>
      </c>
      <c r="AA37" s="96"/>
    </row>
    <row r="38" spans="1:27" s="61" customFormat="1" ht="23.25" customHeight="1" x14ac:dyDescent="0.3">
      <c r="A38" s="61" t="s">
        <v>238</v>
      </c>
      <c r="B38" s="67" t="s">
        <v>35</v>
      </c>
      <c r="C38" s="101" t="s">
        <v>239</v>
      </c>
      <c r="D38" s="101"/>
      <c r="E38" s="101" t="s">
        <v>240</v>
      </c>
      <c r="F38" s="68">
        <v>64</v>
      </c>
      <c r="G38" s="68">
        <v>8</v>
      </c>
      <c r="H38" s="68">
        <v>8</v>
      </c>
      <c r="I38" s="68" t="str">
        <f>IF(OR(O38={"T410","T420","T400"}), "8", "16")</f>
        <v>16</v>
      </c>
      <c r="J38" s="68">
        <f>Table1[[#This Row],[Memory slot2-GB]]+Table1[[#This Row],[Memory slot1-GB]]</f>
        <v>16</v>
      </c>
      <c r="K38" s="68">
        <v>2</v>
      </c>
      <c r="L38" s="68" t="s">
        <v>89</v>
      </c>
      <c r="M38" s="68" t="s">
        <v>965</v>
      </c>
      <c r="N38" s="67">
        <v>2012</v>
      </c>
      <c r="O38" s="67" t="s">
        <v>104</v>
      </c>
      <c r="P38" s="67" t="s">
        <v>105</v>
      </c>
      <c r="Q38" s="68" t="s">
        <v>241</v>
      </c>
      <c r="R38" s="61" t="s">
        <v>242</v>
      </c>
      <c r="S38" s="61" t="s">
        <v>57</v>
      </c>
      <c r="T38" s="69" t="s">
        <v>243</v>
      </c>
      <c r="U38" s="83" t="s">
        <v>58</v>
      </c>
      <c r="V38" s="83">
        <v>0</v>
      </c>
      <c r="W38" s="72">
        <v>1</v>
      </c>
      <c r="X38" s="61" t="s">
        <v>59</v>
      </c>
      <c r="Z38" s="85" t="s">
        <v>966</v>
      </c>
      <c r="AA38" s="74" t="s">
        <v>244</v>
      </c>
    </row>
    <row r="39" spans="1:27" s="61" customFormat="1" ht="15" customHeight="1" x14ac:dyDescent="0.3">
      <c r="A39" s="61" t="s">
        <v>245</v>
      </c>
      <c r="B39" s="67" t="s">
        <v>35</v>
      </c>
      <c r="C39" s="101" t="s">
        <v>246</v>
      </c>
      <c r="D39" s="101" t="s">
        <v>145</v>
      </c>
      <c r="E39" s="101" t="s">
        <v>247</v>
      </c>
      <c r="F39" s="68">
        <v>64</v>
      </c>
      <c r="G39" s="68">
        <v>4</v>
      </c>
      <c r="H39" s="68">
        <v>4</v>
      </c>
      <c r="I39" s="68" t="str">
        <f>IF(OR(O39={"T410","T420","T400"}), "8", "16")</f>
        <v>16</v>
      </c>
      <c r="J39" s="68">
        <f>Table1[[#This Row],[Memory slot2-GB]]+Table1[[#This Row],[Memory slot1-GB]]</f>
        <v>8</v>
      </c>
      <c r="K39" s="68">
        <v>2</v>
      </c>
      <c r="L39" s="68" t="s">
        <v>89</v>
      </c>
      <c r="M39" s="68" t="s">
        <v>248</v>
      </c>
      <c r="N39" s="67">
        <v>2013</v>
      </c>
      <c r="O39" s="67" t="s">
        <v>104</v>
      </c>
      <c r="P39" s="67" t="s">
        <v>105</v>
      </c>
      <c r="Q39" s="68" t="s">
        <v>249</v>
      </c>
      <c r="R39" s="61" t="s">
        <v>250</v>
      </c>
      <c r="S39" s="61" t="s">
        <v>57</v>
      </c>
      <c r="T39" s="69">
        <v>904468604</v>
      </c>
      <c r="U39" s="71" t="s">
        <v>58</v>
      </c>
      <c r="V39" s="71">
        <v>0</v>
      </c>
      <c r="W39" s="71">
        <v>0</v>
      </c>
      <c r="X39" s="61" t="s">
        <v>59</v>
      </c>
      <c r="Z39" s="85"/>
      <c r="AA39" s="74"/>
    </row>
    <row r="40" spans="1:27" s="86" customFormat="1" ht="15" customHeight="1" x14ac:dyDescent="0.3">
      <c r="A40" s="86" t="s">
        <v>251</v>
      </c>
      <c r="B40" s="87" t="s">
        <v>35</v>
      </c>
      <c r="C40" s="100" t="s">
        <v>252</v>
      </c>
      <c r="D40" s="100"/>
      <c r="E40" s="100" t="s">
        <v>253</v>
      </c>
      <c r="F40" s="79">
        <v>64</v>
      </c>
      <c r="G40" s="79">
        <v>4</v>
      </c>
      <c r="H40" s="79">
        <v>0</v>
      </c>
      <c r="I40" s="79" t="str">
        <f>IF(OR(O40={"T410","T420","T400"}), "8", "16")</f>
        <v>8</v>
      </c>
      <c r="J40" s="79">
        <f>Table1[[#This Row],[Memory slot2-GB]]+Table1[[#This Row],[Memory slot1-GB]]</f>
        <v>4</v>
      </c>
      <c r="K40" s="79">
        <v>0</v>
      </c>
      <c r="L40" s="79" t="s">
        <v>89</v>
      </c>
      <c r="M40" s="79"/>
      <c r="N40" s="87">
        <v>2012</v>
      </c>
      <c r="O40" s="87" t="s">
        <v>91</v>
      </c>
      <c r="P40" s="87" t="s">
        <v>254</v>
      </c>
      <c r="Q40" s="88" t="s">
        <v>255</v>
      </c>
      <c r="R40" s="86" t="s">
        <v>256</v>
      </c>
      <c r="S40" s="86" t="s">
        <v>57</v>
      </c>
      <c r="T40" s="89">
        <v>360874488</v>
      </c>
      <c r="U40" s="83" t="s">
        <v>58</v>
      </c>
      <c r="V40" s="83">
        <v>0</v>
      </c>
      <c r="W40" s="72">
        <v>1</v>
      </c>
      <c r="Y40" s="86" t="s">
        <v>59</v>
      </c>
      <c r="Z40" s="90" t="s">
        <v>135</v>
      </c>
      <c r="AA40" s="91"/>
    </row>
    <row r="41" spans="1:27" s="86" customFormat="1" ht="15" customHeight="1" x14ac:dyDescent="0.3">
      <c r="A41" s="86" t="s">
        <v>257</v>
      </c>
      <c r="B41" s="87" t="s">
        <v>35</v>
      </c>
      <c r="C41" s="100" t="s">
        <v>258</v>
      </c>
      <c r="D41" s="100" t="s">
        <v>145</v>
      </c>
      <c r="E41" s="100" t="s">
        <v>259</v>
      </c>
      <c r="F41" s="79">
        <v>64</v>
      </c>
      <c r="G41" s="79">
        <v>0</v>
      </c>
      <c r="H41" s="79">
        <v>4</v>
      </c>
      <c r="I41" s="79" t="str">
        <f>IF(OR(O41={"T410","T420","T400"}), "8", "16")</f>
        <v>8</v>
      </c>
      <c r="J41" s="79">
        <f>Table1[[#This Row],[Memory slot2-GB]]+Table1[[#This Row],[Memory slot1-GB]]</f>
        <v>4</v>
      </c>
      <c r="K41" s="79">
        <v>0</v>
      </c>
      <c r="L41" s="79" t="s">
        <v>89</v>
      </c>
      <c r="M41" s="79"/>
      <c r="N41" s="87">
        <v>2011</v>
      </c>
      <c r="O41" s="87" t="s">
        <v>91</v>
      </c>
      <c r="P41" s="87" t="s">
        <v>254</v>
      </c>
      <c r="Q41" s="88" t="s">
        <v>260</v>
      </c>
      <c r="R41" s="86" t="s">
        <v>261</v>
      </c>
      <c r="S41" s="86" t="s">
        <v>57</v>
      </c>
      <c r="T41" s="89">
        <v>616597961</v>
      </c>
      <c r="U41" s="83" t="s">
        <v>58</v>
      </c>
      <c r="V41" s="83">
        <v>0</v>
      </c>
      <c r="W41" s="72">
        <v>1</v>
      </c>
      <c r="X41" s="86" t="s">
        <v>42</v>
      </c>
      <c r="Z41" s="90" t="s">
        <v>262</v>
      </c>
      <c r="AA41" s="91"/>
    </row>
    <row r="42" spans="1:27" s="86" customFormat="1" ht="15" customHeight="1" x14ac:dyDescent="0.3">
      <c r="A42" s="86" t="s">
        <v>263</v>
      </c>
      <c r="B42" s="87" t="s">
        <v>35</v>
      </c>
      <c r="C42" s="100" t="s">
        <v>264</v>
      </c>
      <c r="D42" s="100"/>
      <c r="E42" s="100" t="s">
        <v>265</v>
      </c>
      <c r="F42" s="79">
        <v>64</v>
      </c>
      <c r="G42" s="79">
        <v>2</v>
      </c>
      <c r="H42" s="79">
        <v>2</v>
      </c>
      <c r="I42" s="79" t="str">
        <f>IF(OR(O42={"T410","T420","T400"}), "8", "16")</f>
        <v>8</v>
      </c>
      <c r="J42" s="79">
        <f>Table1[[#This Row],[Memory slot2-GB]]+Table1[[#This Row],[Memory slot1-GB]]</f>
        <v>4</v>
      </c>
      <c r="K42" s="79">
        <v>0</v>
      </c>
      <c r="L42" s="79" t="s">
        <v>89</v>
      </c>
      <c r="M42" s="79"/>
      <c r="N42" s="87">
        <v>2011</v>
      </c>
      <c r="O42" s="87" t="s">
        <v>91</v>
      </c>
      <c r="P42" s="87" t="s">
        <v>92</v>
      </c>
      <c r="Q42" s="88" t="s">
        <v>266</v>
      </c>
      <c r="R42" s="86" t="s">
        <v>267</v>
      </c>
      <c r="S42" s="86" t="s">
        <v>57</v>
      </c>
      <c r="T42" s="89">
        <v>933467912</v>
      </c>
      <c r="U42" s="84" t="s">
        <v>58</v>
      </c>
      <c r="V42" s="84">
        <v>0</v>
      </c>
      <c r="W42" s="72">
        <v>1</v>
      </c>
      <c r="X42" s="86" t="s">
        <v>42</v>
      </c>
      <c r="Y42" s="86" t="s">
        <v>59</v>
      </c>
      <c r="Z42" s="90" t="s">
        <v>268</v>
      </c>
      <c r="AA42" s="91"/>
    </row>
    <row r="43" spans="1:27" s="62" customFormat="1" ht="15" customHeight="1" x14ac:dyDescent="0.3">
      <c r="A43" s="62" t="s">
        <v>269</v>
      </c>
      <c r="B43" s="93" t="s">
        <v>35</v>
      </c>
      <c r="C43" s="100" t="s">
        <v>270</v>
      </c>
      <c r="D43" s="100"/>
      <c r="E43" s="100" t="s">
        <v>271</v>
      </c>
      <c r="F43" s="79">
        <v>64</v>
      </c>
      <c r="G43" s="79">
        <v>4</v>
      </c>
      <c r="H43" s="79">
        <v>4</v>
      </c>
      <c r="I43" s="79" t="str">
        <f>IF(OR(O43={"T410","T420","T400"}), "8", "16")</f>
        <v>16</v>
      </c>
      <c r="J43" s="79">
        <f>Table1[[#This Row],[Memory slot2-GB]]+Table1[[#This Row],[Memory slot1-GB]]</f>
        <v>8</v>
      </c>
      <c r="K43" s="79">
        <v>2</v>
      </c>
      <c r="L43" s="79" t="s">
        <v>89</v>
      </c>
      <c r="M43" s="79"/>
      <c r="N43" s="93">
        <v>2012</v>
      </c>
      <c r="O43" s="93" t="s">
        <v>104</v>
      </c>
      <c r="P43" s="93" t="s">
        <v>105</v>
      </c>
      <c r="Q43" s="94" t="s">
        <v>272</v>
      </c>
      <c r="R43" s="62" t="s">
        <v>273</v>
      </c>
      <c r="S43" s="62" t="s">
        <v>57</v>
      </c>
      <c r="T43" s="95">
        <v>177426404</v>
      </c>
      <c r="U43" s="83" t="s">
        <v>58</v>
      </c>
      <c r="V43" s="83">
        <v>0</v>
      </c>
      <c r="W43" s="72">
        <v>1</v>
      </c>
      <c r="Z43" s="73" t="s">
        <v>108</v>
      </c>
      <c r="AA43" s="96"/>
    </row>
    <row r="44" spans="1:27" s="62" customFormat="1" ht="15" customHeight="1" x14ac:dyDescent="0.3">
      <c r="A44" s="62" t="s">
        <v>274</v>
      </c>
      <c r="B44" s="93" t="s">
        <v>35</v>
      </c>
      <c r="C44" s="100" t="s">
        <v>275</v>
      </c>
      <c r="D44" s="100" t="s">
        <v>145</v>
      </c>
      <c r="E44" s="100" t="s">
        <v>276</v>
      </c>
      <c r="F44" s="79">
        <v>64</v>
      </c>
      <c r="G44" s="79">
        <v>4</v>
      </c>
      <c r="H44" s="79">
        <v>4</v>
      </c>
      <c r="I44" s="79" t="str">
        <f>IF(OR(O44={"T410","T420","T400"}), "8", "16")</f>
        <v>16</v>
      </c>
      <c r="J44" s="79">
        <f>Table1[[#This Row],[Memory slot2-GB]]+Table1[[#This Row],[Memory slot1-GB]]</f>
        <v>8</v>
      </c>
      <c r="K44" s="79">
        <v>2</v>
      </c>
      <c r="L44" s="79" t="s">
        <v>89</v>
      </c>
      <c r="M44" s="79"/>
      <c r="N44" s="93">
        <v>2012</v>
      </c>
      <c r="O44" s="93" t="s">
        <v>104</v>
      </c>
      <c r="P44" s="93" t="s">
        <v>105</v>
      </c>
      <c r="Q44" s="94" t="s">
        <v>277</v>
      </c>
      <c r="R44" s="62" t="s">
        <v>278</v>
      </c>
      <c r="S44" s="62" t="s">
        <v>57</v>
      </c>
      <c r="T44" s="95">
        <v>1021366445</v>
      </c>
      <c r="U44" s="83" t="s">
        <v>58</v>
      </c>
      <c r="V44" s="83">
        <v>0</v>
      </c>
      <c r="W44" s="72">
        <v>1</v>
      </c>
      <c r="Y44" s="62" t="s">
        <v>279</v>
      </c>
      <c r="Z44" s="73" t="s">
        <v>280</v>
      </c>
      <c r="AA44" s="96"/>
    </row>
    <row r="45" spans="1:27" s="62" customFormat="1" ht="15" customHeight="1" x14ac:dyDescent="0.3">
      <c r="A45" s="62" t="s">
        <v>281</v>
      </c>
      <c r="B45" s="93" t="s">
        <v>35</v>
      </c>
      <c r="C45" s="100" t="s">
        <v>282</v>
      </c>
      <c r="D45" s="100" t="s">
        <v>145</v>
      </c>
      <c r="E45" s="100" t="s">
        <v>283</v>
      </c>
      <c r="F45" s="79">
        <v>64</v>
      </c>
      <c r="G45" s="79">
        <v>4</v>
      </c>
      <c r="H45" s="79">
        <v>0</v>
      </c>
      <c r="I45" s="79" t="str">
        <f>IF(OR(O45={"T410","T420","T400"}), "8", "16")</f>
        <v>16</v>
      </c>
      <c r="J45" s="79">
        <f>Table1[[#This Row],[Memory slot2-GB]]+Table1[[#This Row],[Memory slot1-GB]]</f>
        <v>4</v>
      </c>
      <c r="K45" s="79">
        <v>2</v>
      </c>
      <c r="L45" s="79" t="s">
        <v>89</v>
      </c>
      <c r="M45" s="79"/>
      <c r="N45" s="93">
        <v>2012</v>
      </c>
      <c r="O45" s="93" t="s">
        <v>104</v>
      </c>
      <c r="P45" s="93" t="s">
        <v>105</v>
      </c>
      <c r="Q45" s="94" t="s">
        <v>284</v>
      </c>
      <c r="R45" s="62" t="s">
        <v>285</v>
      </c>
      <c r="S45" s="62" t="s">
        <v>57</v>
      </c>
      <c r="T45" s="95">
        <v>187256239</v>
      </c>
      <c r="U45" s="83" t="s">
        <v>58</v>
      </c>
      <c r="V45" s="83">
        <v>0</v>
      </c>
      <c r="W45" s="72">
        <v>1</v>
      </c>
      <c r="Z45" s="73" t="s">
        <v>286</v>
      </c>
      <c r="AA45" s="96"/>
    </row>
    <row r="46" spans="1:27" s="62" customFormat="1" ht="15" customHeight="1" x14ac:dyDescent="0.3">
      <c r="A46" s="62" t="s">
        <v>287</v>
      </c>
      <c r="B46" s="93" t="s">
        <v>35</v>
      </c>
      <c r="C46" s="100" t="s">
        <v>288</v>
      </c>
      <c r="D46" s="100"/>
      <c r="E46" s="100" t="s">
        <v>289</v>
      </c>
      <c r="F46" s="79">
        <v>64</v>
      </c>
      <c r="G46" s="79">
        <v>4</v>
      </c>
      <c r="H46" s="79">
        <v>0</v>
      </c>
      <c r="I46" s="79" t="str">
        <f>IF(OR(O46={"T410","T420","T400"}), "8", "16")</f>
        <v>16</v>
      </c>
      <c r="J46" s="79">
        <f>Table1[[#This Row],[Memory slot2-GB]]+Table1[[#This Row],[Memory slot1-GB]]</f>
        <v>4</v>
      </c>
      <c r="K46" s="79">
        <v>2</v>
      </c>
      <c r="L46" s="79" t="s">
        <v>89</v>
      </c>
      <c r="M46" s="79"/>
      <c r="N46" s="93">
        <v>2012</v>
      </c>
      <c r="O46" s="93" t="s">
        <v>104</v>
      </c>
      <c r="P46" s="93" t="s">
        <v>105</v>
      </c>
      <c r="Q46" s="94" t="s">
        <v>290</v>
      </c>
      <c r="R46" s="62" t="s">
        <v>291</v>
      </c>
      <c r="S46" s="62" t="s">
        <v>57</v>
      </c>
      <c r="T46" s="95">
        <v>187298314</v>
      </c>
      <c r="U46" s="83" t="s">
        <v>58</v>
      </c>
      <c r="V46" s="83">
        <v>0</v>
      </c>
      <c r="W46" s="72">
        <v>1</v>
      </c>
      <c r="Z46" s="73" t="s">
        <v>286</v>
      </c>
      <c r="AA46" s="96"/>
    </row>
    <row r="47" spans="1:27" ht="16.5" customHeight="1" x14ac:dyDescent="0.3">
      <c r="A47" s="57" t="s">
        <v>292</v>
      </c>
      <c r="B47" s="78" t="s">
        <v>293</v>
      </c>
      <c r="C47" s="100"/>
      <c r="D47" s="100"/>
      <c r="E47" s="100"/>
      <c r="F47" s="79"/>
      <c r="G47" s="79"/>
      <c r="H47" s="79"/>
      <c r="I47" s="79" t="str">
        <f>IF(OR(O47={"T410","T420","T400"}), "Y", "N")</f>
        <v>Y</v>
      </c>
      <c r="J47" s="79">
        <f>Table1[[#This Row],[Memory slot2-GB]]+Table1[[#This Row],[Memory slot1-GB]]</f>
        <v>0</v>
      </c>
      <c r="K47" s="79"/>
      <c r="L47" s="79"/>
      <c r="M47" s="79"/>
      <c r="N47" s="78">
        <v>2010</v>
      </c>
      <c r="O47" s="78" t="s">
        <v>36</v>
      </c>
      <c r="P47" s="78" t="s">
        <v>294</v>
      </c>
      <c r="Q47" s="79" t="s">
        <v>295</v>
      </c>
      <c r="S47" s="62" t="s">
        <v>71</v>
      </c>
      <c r="T47" s="80"/>
      <c r="U47" s="81" t="s">
        <v>47</v>
      </c>
      <c r="V47" s="84">
        <v>0</v>
      </c>
      <c r="W47" s="82">
        <v>0</v>
      </c>
      <c r="X47" s="57"/>
      <c r="Z47" s="59" t="s">
        <v>296</v>
      </c>
      <c r="AA47" s="59" t="s">
        <v>297</v>
      </c>
    </row>
    <row r="48" spans="1:27" s="86" customFormat="1" ht="15" customHeight="1" x14ac:dyDescent="0.3">
      <c r="A48" s="86" t="s">
        <v>298</v>
      </c>
      <c r="B48" s="87" t="s">
        <v>293</v>
      </c>
      <c r="C48" s="100" t="s">
        <v>299</v>
      </c>
      <c r="D48" s="100" t="s">
        <v>145</v>
      </c>
      <c r="E48" s="100" t="s">
        <v>300</v>
      </c>
      <c r="F48" s="79">
        <v>64</v>
      </c>
      <c r="G48" s="79">
        <v>2</v>
      </c>
      <c r="H48" s="79">
        <v>2</v>
      </c>
      <c r="I48" s="79" t="str">
        <f>IF(OR(O48={"T410","T420","T400"}), "8", "16")</f>
        <v>8</v>
      </c>
      <c r="J48" s="79">
        <f>Table1[[#This Row],[Memory slot2-GB]]+Table1[[#This Row],[Memory slot1-GB]]</f>
        <v>4</v>
      </c>
      <c r="K48" s="79">
        <v>0</v>
      </c>
      <c r="L48" s="79" t="s">
        <v>89</v>
      </c>
      <c r="M48" s="79"/>
      <c r="N48" s="87">
        <v>2010</v>
      </c>
      <c r="O48" s="87" t="s">
        <v>36</v>
      </c>
      <c r="P48" s="87" t="s">
        <v>301</v>
      </c>
      <c r="Q48" s="88" t="s">
        <v>302</v>
      </c>
      <c r="R48" s="86" t="s">
        <v>303</v>
      </c>
      <c r="S48" s="86" t="s">
        <v>57</v>
      </c>
      <c r="T48" s="89">
        <v>272341080</v>
      </c>
      <c r="U48" s="83" t="s">
        <v>58</v>
      </c>
      <c r="V48" s="83">
        <v>0</v>
      </c>
      <c r="W48" s="72">
        <v>1</v>
      </c>
      <c r="X48" s="86" t="s">
        <v>42</v>
      </c>
      <c r="Z48" s="90" t="s">
        <v>304</v>
      </c>
      <c r="AA48" s="91"/>
    </row>
    <row r="49" spans="1:27" s="62" customFormat="1" ht="15" customHeight="1" x14ac:dyDescent="0.3">
      <c r="A49" s="62" t="s">
        <v>305</v>
      </c>
      <c r="B49" s="93" t="s">
        <v>35</v>
      </c>
      <c r="C49" s="101" t="s">
        <v>306</v>
      </c>
      <c r="D49" s="101"/>
      <c r="E49" s="101" t="s">
        <v>307</v>
      </c>
      <c r="F49" s="68">
        <v>64</v>
      </c>
      <c r="G49" s="68">
        <v>4</v>
      </c>
      <c r="H49" s="68">
        <v>4</v>
      </c>
      <c r="I49" s="68" t="str">
        <f>IF(OR(O49={"T410","T420","T400"}), "8", "16")</f>
        <v>16</v>
      </c>
      <c r="J49" s="68">
        <f>Table1[[#This Row],[Memory slot2-GB]]+Table1[[#This Row],[Memory slot1-GB]]</f>
        <v>8</v>
      </c>
      <c r="K49" s="68">
        <v>2</v>
      </c>
      <c r="L49" s="68" t="s">
        <v>89</v>
      </c>
      <c r="M49" s="157">
        <v>45383</v>
      </c>
      <c r="N49" s="93">
        <v>2013</v>
      </c>
      <c r="O49" s="93" t="s">
        <v>104</v>
      </c>
      <c r="P49" s="93" t="s">
        <v>308</v>
      </c>
      <c r="Q49" s="94" t="s">
        <v>309</v>
      </c>
      <c r="R49" s="105" t="s">
        <v>310</v>
      </c>
      <c r="S49" s="62" t="s">
        <v>57</v>
      </c>
      <c r="T49" s="95"/>
      <c r="U49" s="106" t="s">
        <v>311</v>
      </c>
      <c r="V49" s="106">
        <v>0</v>
      </c>
      <c r="W49" s="72">
        <v>1</v>
      </c>
      <c r="Z49" s="73" t="s">
        <v>312</v>
      </c>
      <c r="AA49" s="96"/>
    </row>
    <row r="50" spans="1:27" s="61" customFormat="1" ht="15" customHeight="1" x14ac:dyDescent="0.3">
      <c r="A50" s="61" t="s">
        <v>313</v>
      </c>
      <c r="B50" s="67" t="s">
        <v>35</v>
      </c>
      <c r="C50" s="100" t="s">
        <v>314</v>
      </c>
      <c r="D50" s="100"/>
      <c r="E50" s="100" t="s">
        <v>315</v>
      </c>
      <c r="F50" s="79">
        <v>64</v>
      </c>
      <c r="G50" s="79">
        <v>4</v>
      </c>
      <c r="H50" s="79">
        <v>0</v>
      </c>
      <c r="I50" s="79" t="str">
        <f>IF(OR(O50={"T410","T420","T400"}), "8", "16")</f>
        <v>16</v>
      </c>
      <c r="J50" s="79">
        <f>Table1[[#This Row],[Memory slot2-GB]]+Table1[[#This Row],[Memory slot1-GB]]</f>
        <v>4</v>
      </c>
      <c r="K50" s="79">
        <v>2</v>
      </c>
      <c r="L50" s="79" t="s">
        <v>52</v>
      </c>
      <c r="M50" s="79"/>
      <c r="N50" s="67">
        <v>2015</v>
      </c>
      <c r="O50" s="67" t="s">
        <v>53</v>
      </c>
      <c r="P50" s="67" t="s">
        <v>54</v>
      </c>
      <c r="Q50" s="68" t="s">
        <v>316</v>
      </c>
      <c r="R50" s="61" t="s">
        <v>317</v>
      </c>
      <c r="S50" s="61" t="s">
        <v>57</v>
      </c>
      <c r="T50" s="69">
        <v>943299153</v>
      </c>
      <c r="U50" s="83" t="s">
        <v>58</v>
      </c>
      <c r="V50" s="83">
        <v>0</v>
      </c>
      <c r="W50" s="72">
        <v>1</v>
      </c>
      <c r="X50" s="61" t="s">
        <v>59</v>
      </c>
      <c r="Y50" s="61" t="s">
        <v>59</v>
      </c>
      <c r="Z50" s="85" t="s">
        <v>964</v>
      </c>
      <c r="AA50" s="74"/>
    </row>
    <row r="51" spans="1:27" s="61" customFormat="1" ht="15" customHeight="1" x14ac:dyDescent="0.3">
      <c r="A51" s="61" t="s">
        <v>318</v>
      </c>
      <c r="B51" s="67" t="s">
        <v>35</v>
      </c>
      <c r="C51" s="100" t="s">
        <v>319</v>
      </c>
      <c r="D51" s="100"/>
      <c r="E51" s="100" t="s">
        <v>320</v>
      </c>
      <c r="F51" s="79">
        <v>64</v>
      </c>
      <c r="G51" s="79">
        <v>4</v>
      </c>
      <c r="H51" s="79">
        <v>0</v>
      </c>
      <c r="I51" s="79" t="str">
        <f>IF(OR(O51={"T410","T420","T400"}), "8", "16")</f>
        <v>16</v>
      </c>
      <c r="J51" s="79">
        <f>Table1[[#This Row],[Memory slot2-GB]]+Table1[[#This Row],[Memory slot1-GB]]</f>
        <v>4</v>
      </c>
      <c r="K51" s="79">
        <v>2</v>
      </c>
      <c r="L51" s="79" t="s">
        <v>52</v>
      </c>
      <c r="M51" s="79"/>
      <c r="N51" s="67">
        <v>2015</v>
      </c>
      <c r="O51" s="67" t="s">
        <v>53</v>
      </c>
      <c r="P51" s="67" t="s">
        <v>54</v>
      </c>
      <c r="Q51" s="68" t="s">
        <v>321</v>
      </c>
      <c r="R51" s="61" t="s">
        <v>322</v>
      </c>
      <c r="S51" s="61" t="s">
        <v>57</v>
      </c>
      <c r="T51" s="69">
        <v>943190152</v>
      </c>
      <c r="U51" s="83" t="s">
        <v>58</v>
      </c>
      <c r="V51" s="83">
        <v>0</v>
      </c>
      <c r="W51" s="72">
        <v>1</v>
      </c>
      <c r="X51" s="61" t="s">
        <v>59</v>
      </c>
      <c r="Y51" s="61" t="s">
        <v>59</v>
      </c>
      <c r="Z51" s="85"/>
      <c r="AA51" s="74"/>
    </row>
    <row r="52" spans="1:27" s="61" customFormat="1" ht="15" customHeight="1" x14ac:dyDescent="0.3">
      <c r="A52" s="61" t="s">
        <v>323</v>
      </c>
      <c r="B52" s="67" t="s">
        <v>35</v>
      </c>
      <c r="C52" s="101" t="s">
        <v>324</v>
      </c>
      <c r="D52" s="101" t="s">
        <v>145</v>
      </c>
      <c r="E52" s="101" t="s">
        <v>325</v>
      </c>
      <c r="F52" s="68">
        <v>64</v>
      </c>
      <c r="G52" s="68">
        <v>4</v>
      </c>
      <c r="H52" s="68">
        <v>0</v>
      </c>
      <c r="I52" s="68" t="str">
        <f>IF(OR(O52={"T410","T420","T400"}), "8", "16")</f>
        <v>16</v>
      </c>
      <c r="J52" s="68">
        <f>Table1[[#This Row],[Memory slot2-GB]]+Table1[[#This Row],[Memory slot1-GB]]</f>
        <v>4</v>
      </c>
      <c r="K52" s="68">
        <v>2</v>
      </c>
      <c r="L52" s="68" t="s">
        <v>89</v>
      </c>
      <c r="M52" s="68" t="s">
        <v>963</v>
      </c>
      <c r="N52" s="67">
        <v>2012</v>
      </c>
      <c r="O52" s="67" t="s">
        <v>104</v>
      </c>
      <c r="P52" s="67" t="s">
        <v>105</v>
      </c>
      <c r="Q52" s="68" t="s">
        <v>326</v>
      </c>
      <c r="R52" s="61" t="s">
        <v>327</v>
      </c>
      <c r="S52" s="61" t="s">
        <v>57</v>
      </c>
      <c r="T52" s="69">
        <v>852111483</v>
      </c>
      <c r="U52" s="71" t="s">
        <v>58</v>
      </c>
      <c r="V52" s="71">
        <v>0</v>
      </c>
      <c r="W52" s="72">
        <v>1</v>
      </c>
      <c r="X52" s="61" t="s">
        <v>59</v>
      </c>
      <c r="Z52" s="85"/>
      <c r="AA52" s="74"/>
    </row>
    <row r="53" spans="1:27" ht="15.75" customHeight="1" x14ac:dyDescent="0.3">
      <c r="A53" s="57" t="s">
        <v>328</v>
      </c>
      <c r="B53" s="75" t="s">
        <v>35</v>
      </c>
      <c r="C53" s="75"/>
      <c r="D53" s="75"/>
      <c r="E53" s="75"/>
      <c r="F53" s="76"/>
      <c r="G53" s="76"/>
      <c r="H53" s="76"/>
      <c r="I53" s="76" t="str">
        <f>IF(OR(O53={"T410","T420","T400"}), "Y", "N")</f>
        <v>Y</v>
      </c>
      <c r="J53" s="76">
        <f>Table1[[#This Row],[Memory slot2-GB]]+Table1[[#This Row],[Memory slot1-GB]]</f>
        <v>0</v>
      </c>
      <c r="K53" s="76"/>
      <c r="L53" s="76"/>
      <c r="M53" s="76"/>
      <c r="N53" s="77">
        <v>2011</v>
      </c>
      <c r="O53" s="77" t="s">
        <v>36</v>
      </c>
      <c r="P53" s="78" t="s">
        <v>329</v>
      </c>
      <c r="Q53" s="79" t="s">
        <v>330</v>
      </c>
      <c r="S53" s="62" t="s">
        <v>71</v>
      </c>
      <c r="T53" s="80"/>
      <c r="U53" s="81" t="s">
        <v>47</v>
      </c>
      <c r="V53" s="81">
        <v>0</v>
      </c>
      <c r="W53" s="82">
        <v>0</v>
      </c>
      <c r="X53" s="57"/>
      <c r="Z53" s="59" t="s">
        <v>48</v>
      </c>
      <c r="AA53" s="60"/>
    </row>
    <row r="54" spans="1:27" ht="15.75" customHeight="1" x14ac:dyDescent="0.3">
      <c r="A54" s="57" t="s">
        <v>331</v>
      </c>
      <c r="B54" s="107" t="s">
        <v>113</v>
      </c>
      <c r="C54" s="107"/>
      <c r="D54" s="107"/>
      <c r="E54" s="107"/>
      <c r="F54" s="108"/>
      <c r="G54" s="108"/>
      <c r="H54" s="108"/>
      <c r="I54" s="108" t="str">
        <f>IF(OR(O54={"T410","T420","T400"}), "Y", "N")</f>
        <v>N</v>
      </c>
      <c r="J54" s="108">
        <f>Table1[[#This Row],[Memory slot2-GB]]+Table1[[#This Row],[Memory slot1-GB]]</f>
        <v>0</v>
      </c>
      <c r="K54" s="108"/>
      <c r="L54" s="108"/>
      <c r="M54" s="108"/>
      <c r="N54" s="78">
        <v>2008</v>
      </c>
      <c r="O54" s="78" t="s">
        <v>116</v>
      </c>
      <c r="P54" s="109" t="s">
        <v>117</v>
      </c>
      <c r="Q54" s="110" t="s">
        <v>332</v>
      </c>
      <c r="S54" s="62" t="s">
        <v>71</v>
      </c>
      <c r="T54" s="80"/>
      <c r="U54" s="81" t="s">
        <v>47</v>
      </c>
      <c r="V54" s="81">
        <v>0</v>
      </c>
      <c r="W54" s="82">
        <v>0</v>
      </c>
      <c r="X54" s="57"/>
      <c r="Z54" s="59" t="s">
        <v>333</v>
      </c>
      <c r="AA54" s="60"/>
    </row>
    <row r="55" spans="1:27" ht="15.75" customHeight="1" x14ac:dyDescent="0.3">
      <c r="A55" s="57" t="s">
        <v>334</v>
      </c>
      <c r="B55" s="75" t="s">
        <v>113</v>
      </c>
      <c r="C55" s="75"/>
      <c r="D55" s="75"/>
      <c r="E55" s="75"/>
      <c r="F55" s="76"/>
      <c r="G55" s="76"/>
      <c r="H55" s="76"/>
      <c r="I55" s="76" t="str">
        <f>IF(OR(O55={"T410","T420","T400"}), "Y", "N")</f>
        <v>N</v>
      </c>
      <c r="J55" s="76">
        <f>Table1[[#This Row],[Memory slot2-GB]]+Table1[[#This Row],[Memory slot1-GB]]</f>
        <v>0</v>
      </c>
      <c r="K55" s="76"/>
      <c r="L55" s="76"/>
      <c r="M55" s="76"/>
      <c r="N55" s="78">
        <v>2008</v>
      </c>
      <c r="O55" s="78" t="s">
        <v>116</v>
      </c>
      <c r="P55" s="111" t="s">
        <v>117</v>
      </c>
      <c r="Q55" s="79" t="s">
        <v>335</v>
      </c>
      <c r="S55" s="57" t="s">
        <v>71</v>
      </c>
      <c r="T55" s="80"/>
      <c r="U55" s="81" t="s">
        <v>47</v>
      </c>
      <c r="V55" s="81">
        <v>0</v>
      </c>
      <c r="W55" s="82">
        <v>0</v>
      </c>
      <c r="X55" s="57"/>
      <c r="Z55" s="59" t="s">
        <v>336</v>
      </c>
      <c r="AA55" s="60"/>
    </row>
    <row r="56" spans="1:27" ht="15" customHeight="1" x14ac:dyDescent="0.3">
      <c r="A56" s="57" t="s">
        <v>337</v>
      </c>
      <c r="B56" s="78" t="s">
        <v>35</v>
      </c>
      <c r="C56" s="78"/>
      <c r="D56" s="78"/>
      <c r="E56" s="78"/>
      <c r="F56" s="79"/>
      <c r="G56" s="79"/>
      <c r="H56" s="79"/>
      <c r="I56" s="79" t="str">
        <f>IF(OR(O56={"T410","T420","T400"}), "Y", "N")</f>
        <v>Y</v>
      </c>
      <c r="J56" s="79">
        <f>Table1[[#This Row],[Memory slot2-GB]]+Table1[[#This Row],[Memory slot1-GB]]</f>
        <v>0</v>
      </c>
      <c r="K56" s="79"/>
      <c r="L56" s="79"/>
      <c r="M56" s="79"/>
      <c r="N56" s="78">
        <v>2010</v>
      </c>
      <c r="O56" s="78" t="s">
        <v>36</v>
      </c>
      <c r="P56" s="78" t="s">
        <v>338</v>
      </c>
      <c r="Q56" s="79" t="s">
        <v>339</v>
      </c>
      <c r="S56" s="62" t="s">
        <v>71</v>
      </c>
      <c r="T56" s="80"/>
      <c r="U56" s="81" t="s">
        <v>47</v>
      </c>
      <c r="V56" s="81">
        <v>0</v>
      </c>
      <c r="W56" s="82">
        <v>0</v>
      </c>
      <c r="X56" s="57"/>
      <c r="Z56" s="59" t="s">
        <v>48</v>
      </c>
      <c r="AA56" s="60"/>
    </row>
    <row r="57" spans="1:27" s="86" customFormat="1" ht="15" customHeight="1" x14ac:dyDescent="0.3">
      <c r="A57" s="86" t="s">
        <v>340</v>
      </c>
      <c r="B57" s="87" t="s">
        <v>35</v>
      </c>
      <c r="C57" s="100" t="s">
        <v>340</v>
      </c>
      <c r="D57" s="100" t="s">
        <v>145</v>
      </c>
      <c r="E57" s="100" t="s">
        <v>341</v>
      </c>
      <c r="F57" s="79">
        <v>32</v>
      </c>
      <c r="G57" s="79">
        <v>2</v>
      </c>
      <c r="H57" s="79">
        <v>2</v>
      </c>
      <c r="I57" s="79" t="str">
        <f>IF(OR(O57={"T410","T420","T400"}), "8", "16")</f>
        <v>8</v>
      </c>
      <c r="J57" s="79">
        <f>Table1[[#This Row],[Memory slot2-GB]]+Table1[[#This Row],[Memory slot1-GB]]</f>
        <v>4</v>
      </c>
      <c r="K57" s="79">
        <v>0</v>
      </c>
      <c r="L57" s="79" t="s">
        <v>89</v>
      </c>
      <c r="M57" s="79"/>
      <c r="N57" s="87">
        <v>2011</v>
      </c>
      <c r="O57" s="87" t="s">
        <v>91</v>
      </c>
      <c r="P57" s="87" t="s">
        <v>92</v>
      </c>
      <c r="Q57" s="88" t="s">
        <v>342</v>
      </c>
      <c r="R57" s="86" t="s">
        <v>343</v>
      </c>
      <c r="S57" s="86" t="s">
        <v>57</v>
      </c>
      <c r="T57" s="89">
        <v>1195615591</v>
      </c>
      <c r="U57" s="83" t="s">
        <v>58</v>
      </c>
      <c r="V57" s="83">
        <v>0</v>
      </c>
      <c r="W57" s="72">
        <v>1</v>
      </c>
      <c r="Z57" s="112" t="s">
        <v>344</v>
      </c>
      <c r="AA57" s="91"/>
    </row>
    <row r="58" spans="1:27" ht="15" customHeight="1" x14ac:dyDescent="0.3">
      <c r="A58" s="57" t="s">
        <v>345</v>
      </c>
      <c r="B58" s="78" t="s">
        <v>35</v>
      </c>
      <c r="C58" s="78"/>
      <c r="D58" s="78"/>
      <c r="E58" s="78"/>
      <c r="F58" s="79"/>
      <c r="G58" s="79"/>
      <c r="H58" s="79"/>
      <c r="I58" s="79" t="str">
        <f>IF(OR(O58={"T410","T420","T400"}), "Y", "N")</f>
        <v>Y</v>
      </c>
      <c r="J58" s="79">
        <f>Table1[[#This Row],[Memory slot2-GB]]+Table1[[#This Row],[Memory slot1-GB]]</f>
        <v>0</v>
      </c>
      <c r="K58" s="79"/>
      <c r="L58" s="79"/>
      <c r="M58" s="79"/>
      <c r="N58" s="78">
        <v>2011</v>
      </c>
      <c r="O58" s="78" t="s">
        <v>91</v>
      </c>
      <c r="P58" s="78" t="s">
        <v>92</v>
      </c>
      <c r="Q58" s="79" t="s">
        <v>346</v>
      </c>
      <c r="R58" s="57" t="s">
        <v>261</v>
      </c>
      <c r="S58" s="62" t="s">
        <v>71</v>
      </c>
      <c r="T58" s="80"/>
      <c r="U58" s="81" t="s">
        <v>47</v>
      </c>
      <c r="V58" s="81">
        <v>0</v>
      </c>
      <c r="W58" s="82">
        <v>0</v>
      </c>
      <c r="X58" s="57"/>
      <c r="Z58" s="59" t="s">
        <v>347</v>
      </c>
      <c r="AA58" s="60"/>
    </row>
    <row r="59" spans="1:27" s="86" customFormat="1" ht="15" customHeight="1" x14ac:dyDescent="0.3">
      <c r="A59" s="86" t="s">
        <v>348</v>
      </c>
      <c r="B59" s="87" t="s">
        <v>35</v>
      </c>
      <c r="C59" s="100" t="s">
        <v>349</v>
      </c>
      <c r="D59" s="100"/>
      <c r="E59" s="100"/>
      <c r="F59" s="79"/>
      <c r="G59" s="79"/>
      <c r="H59" s="79"/>
      <c r="I59" s="79" t="str">
        <f>IF(OR(O59={"T410","T420","T400"}), "8", "16")</f>
        <v>8</v>
      </c>
      <c r="J59" s="79">
        <f>Table1[[#This Row],[Memory slot2-GB]]+Table1[[#This Row],[Memory slot1-GB]]</f>
        <v>0</v>
      </c>
      <c r="K59" s="79">
        <v>0</v>
      </c>
      <c r="L59" s="79" t="s">
        <v>89</v>
      </c>
      <c r="M59" s="79"/>
      <c r="N59" s="87">
        <v>2010</v>
      </c>
      <c r="O59" s="87" t="s">
        <v>36</v>
      </c>
      <c r="P59" s="87" t="s">
        <v>350</v>
      </c>
      <c r="Q59" s="88" t="s">
        <v>351</v>
      </c>
      <c r="R59" s="86" t="s">
        <v>352</v>
      </c>
      <c r="S59" s="86" t="s">
        <v>57</v>
      </c>
      <c r="T59" s="89" t="s">
        <v>353</v>
      </c>
      <c r="U59" s="83" t="s">
        <v>58</v>
      </c>
      <c r="V59" s="84">
        <v>0</v>
      </c>
      <c r="W59" s="72">
        <v>1</v>
      </c>
      <c r="X59" s="86" t="s">
        <v>42</v>
      </c>
      <c r="Y59" s="86" t="s">
        <v>59</v>
      </c>
      <c r="Z59" s="90" t="s">
        <v>354</v>
      </c>
      <c r="AA59" s="91"/>
    </row>
    <row r="60" spans="1:27" s="61" customFormat="1" ht="15" customHeight="1" x14ac:dyDescent="0.3">
      <c r="A60" s="61" t="s">
        <v>355</v>
      </c>
      <c r="B60" s="67" t="s">
        <v>35</v>
      </c>
      <c r="C60" s="100" t="s">
        <v>356</v>
      </c>
      <c r="D60" s="100" t="s">
        <v>145</v>
      </c>
      <c r="E60" s="100" t="s">
        <v>357</v>
      </c>
      <c r="F60" s="79">
        <v>32</v>
      </c>
      <c r="G60" s="79">
        <v>2</v>
      </c>
      <c r="H60" s="79">
        <v>4</v>
      </c>
      <c r="I60" s="79" t="str">
        <f>IF(OR(O60={"T410","T420","T400"}), "8", "16")</f>
        <v>8</v>
      </c>
      <c r="J60" s="79">
        <f>Table1[[#This Row],[Memory slot2-GB]]+Table1[[#This Row],[Memory slot1-GB]]</f>
        <v>6</v>
      </c>
      <c r="K60" s="79">
        <v>0</v>
      </c>
      <c r="L60" s="79" t="s">
        <v>89</v>
      </c>
      <c r="M60" s="79"/>
      <c r="N60" s="67">
        <v>2011</v>
      </c>
      <c r="O60" s="67" t="s">
        <v>91</v>
      </c>
      <c r="P60" s="67" t="s">
        <v>358</v>
      </c>
      <c r="Q60" s="68" t="s">
        <v>359</v>
      </c>
      <c r="R60" s="61" t="s">
        <v>360</v>
      </c>
      <c r="S60" s="61" t="s">
        <v>57</v>
      </c>
      <c r="T60" s="69"/>
      <c r="U60" s="83" t="s">
        <v>58</v>
      </c>
      <c r="V60" s="84">
        <v>0</v>
      </c>
      <c r="W60" s="72">
        <v>1</v>
      </c>
      <c r="X60" s="61" t="s">
        <v>59</v>
      </c>
      <c r="Z60" s="85" t="s">
        <v>361</v>
      </c>
      <c r="AA60" s="74"/>
    </row>
    <row r="61" spans="1:27" s="61" customFormat="1" ht="15" customHeight="1" x14ac:dyDescent="0.3">
      <c r="A61" s="61" t="s">
        <v>362</v>
      </c>
      <c r="B61" s="67" t="s">
        <v>35</v>
      </c>
      <c r="C61" s="100" t="s">
        <v>349</v>
      </c>
      <c r="D61" s="100"/>
      <c r="E61" s="100"/>
      <c r="F61" s="79"/>
      <c r="G61" s="79"/>
      <c r="H61" s="79"/>
      <c r="I61" s="79" t="str">
        <f>IF(OR(O61={"T410","T420","T400"}), "8", "16")</f>
        <v>16</v>
      </c>
      <c r="J61" s="79">
        <f>Table1[[#This Row],[Memory slot2-GB]]+Table1[[#This Row],[Memory slot1-GB]]</f>
        <v>0</v>
      </c>
      <c r="K61" s="79">
        <v>2</v>
      </c>
      <c r="L61" s="79" t="s">
        <v>89</v>
      </c>
      <c r="M61" s="79"/>
      <c r="N61" s="67">
        <v>2014</v>
      </c>
      <c r="O61" s="67" t="s">
        <v>363</v>
      </c>
      <c r="P61" s="67" t="s">
        <v>364</v>
      </c>
      <c r="Q61" s="68" t="s">
        <v>365</v>
      </c>
      <c r="R61" s="61" t="s">
        <v>366</v>
      </c>
      <c r="S61" s="61" t="s">
        <v>57</v>
      </c>
      <c r="T61" s="69" t="s">
        <v>972</v>
      </c>
      <c r="U61" s="83" t="s">
        <v>58</v>
      </c>
      <c r="V61" s="83">
        <v>0</v>
      </c>
      <c r="W61" s="72">
        <v>1</v>
      </c>
      <c r="X61" s="61" t="s">
        <v>59</v>
      </c>
      <c r="Z61" s="85"/>
      <c r="AA61" s="74"/>
    </row>
    <row r="62" spans="1:27" ht="15" customHeight="1" x14ac:dyDescent="0.3">
      <c r="A62" s="57" t="s">
        <v>367</v>
      </c>
      <c r="B62" s="78" t="s">
        <v>35</v>
      </c>
      <c r="C62" s="100" t="s">
        <v>368</v>
      </c>
      <c r="D62" s="100" t="s">
        <v>145</v>
      </c>
      <c r="E62" s="100" t="s">
        <v>369</v>
      </c>
      <c r="F62" s="79">
        <v>64</v>
      </c>
      <c r="G62" s="79">
        <v>4</v>
      </c>
      <c r="H62" s="79">
        <v>0</v>
      </c>
      <c r="I62" s="79" t="str">
        <f>IF(OR(O62={"T410","T420","T400"}), "8", "16")</f>
        <v>16</v>
      </c>
      <c r="J62" s="79">
        <f>Table1[[#This Row],[Memory slot2-GB]]+Table1[[#This Row],[Memory slot1-GB]]</f>
        <v>4</v>
      </c>
      <c r="K62" s="79">
        <v>2</v>
      </c>
      <c r="L62" s="79" t="s">
        <v>89</v>
      </c>
      <c r="M62" s="79"/>
      <c r="N62" s="78">
        <v>2013</v>
      </c>
      <c r="O62" s="78" t="s">
        <v>370</v>
      </c>
      <c r="P62" s="78" t="s">
        <v>371</v>
      </c>
      <c r="Q62" s="79" t="s">
        <v>372</v>
      </c>
      <c r="R62" s="57" t="s">
        <v>373</v>
      </c>
      <c r="S62" s="57" t="s">
        <v>57</v>
      </c>
      <c r="T62" s="80">
        <v>906446272</v>
      </c>
      <c r="U62" s="83" t="s">
        <v>58</v>
      </c>
      <c r="V62" s="83">
        <v>0</v>
      </c>
      <c r="W62" s="72">
        <v>1</v>
      </c>
      <c r="X62" s="57"/>
      <c r="Z62" s="59" t="s">
        <v>373</v>
      </c>
      <c r="AA62" s="60" t="s">
        <v>374</v>
      </c>
    </row>
    <row r="63" spans="1:27" s="61" customFormat="1" ht="15" customHeight="1" x14ac:dyDescent="0.3">
      <c r="A63" s="61" t="s">
        <v>375</v>
      </c>
      <c r="B63" s="67" t="s">
        <v>35</v>
      </c>
      <c r="C63" s="100" t="s">
        <v>376</v>
      </c>
      <c r="D63" s="100"/>
      <c r="E63" s="100" t="s">
        <v>377</v>
      </c>
      <c r="F63" s="79">
        <v>64</v>
      </c>
      <c r="G63" s="79">
        <v>4</v>
      </c>
      <c r="H63" s="79">
        <v>4</v>
      </c>
      <c r="I63" s="79" t="str">
        <f>IF(OR(O63={"T410","T420","T400"}), "8", "16")</f>
        <v>16</v>
      </c>
      <c r="J63" s="79">
        <f>Table1[[#This Row],[Memory slot2-GB]]+Table1[[#This Row],[Memory slot1-GB]]</f>
        <v>8</v>
      </c>
      <c r="K63" s="79">
        <v>2</v>
      </c>
      <c r="L63" s="79" t="s">
        <v>52</v>
      </c>
      <c r="M63" s="79"/>
      <c r="N63" s="67">
        <v>2016</v>
      </c>
      <c r="O63" s="67" t="s">
        <v>378</v>
      </c>
      <c r="P63" s="67" t="s">
        <v>379</v>
      </c>
      <c r="Q63" s="68" t="s">
        <v>380</v>
      </c>
      <c r="R63" s="61" t="s">
        <v>381</v>
      </c>
      <c r="S63" s="61" t="s">
        <v>57</v>
      </c>
      <c r="T63" s="69" t="s">
        <v>382</v>
      </c>
      <c r="U63" s="70" t="s">
        <v>58</v>
      </c>
      <c r="V63" s="71">
        <v>0</v>
      </c>
      <c r="W63" s="71">
        <v>0</v>
      </c>
      <c r="Y63" s="61" t="s">
        <v>59</v>
      </c>
      <c r="Z63" s="85" t="s">
        <v>383</v>
      </c>
      <c r="AA63" s="74"/>
    </row>
    <row r="64" spans="1:27" s="61" customFormat="1" ht="15" customHeight="1" x14ac:dyDescent="0.3">
      <c r="A64" s="61" t="s">
        <v>384</v>
      </c>
      <c r="B64" s="67" t="s">
        <v>35</v>
      </c>
      <c r="C64" s="101" t="s">
        <v>384</v>
      </c>
      <c r="D64" s="101" t="s">
        <v>145</v>
      </c>
      <c r="E64" s="101" t="s">
        <v>385</v>
      </c>
      <c r="F64" s="68">
        <v>64</v>
      </c>
      <c r="G64" s="68">
        <v>0</v>
      </c>
      <c r="H64" s="68">
        <v>4</v>
      </c>
      <c r="I64" s="68" t="str">
        <f>IF(OR(O64={"T410","T420","T400"}), "8", "16")</f>
        <v>16</v>
      </c>
      <c r="J64" s="68">
        <f>Table1[[#This Row],[Memory slot2-GB]]+Table1[[#This Row],[Memory slot1-GB]]</f>
        <v>4</v>
      </c>
      <c r="K64" s="68">
        <v>2</v>
      </c>
      <c r="L64" s="68" t="s">
        <v>52</v>
      </c>
      <c r="M64" s="68" t="s">
        <v>386</v>
      </c>
      <c r="N64" s="67">
        <v>2016</v>
      </c>
      <c r="O64" s="67" t="s">
        <v>378</v>
      </c>
      <c r="P64" s="67" t="s">
        <v>379</v>
      </c>
      <c r="Q64" s="68" t="s">
        <v>387</v>
      </c>
      <c r="R64" s="113" t="s">
        <v>388</v>
      </c>
      <c r="S64" s="61" t="s">
        <v>57</v>
      </c>
      <c r="T64" s="69" t="s">
        <v>971</v>
      </c>
      <c r="U64" s="71" t="s">
        <v>58</v>
      </c>
      <c r="V64" s="71">
        <v>0</v>
      </c>
      <c r="W64" s="72">
        <v>1</v>
      </c>
      <c r="Z64" s="85" t="s">
        <v>389</v>
      </c>
      <c r="AA64" s="74"/>
    </row>
    <row r="65" spans="1:29" s="61" customFormat="1" ht="15" customHeight="1" x14ac:dyDescent="0.3">
      <c r="A65" s="61" t="s">
        <v>390</v>
      </c>
      <c r="B65" s="67" t="s">
        <v>35</v>
      </c>
      <c r="C65" s="100" t="s">
        <v>391</v>
      </c>
      <c r="D65" s="100" t="s">
        <v>145</v>
      </c>
      <c r="E65" s="100" t="s">
        <v>392</v>
      </c>
      <c r="F65" s="79">
        <v>64</v>
      </c>
      <c r="G65" s="79">
        <v>4</v>
      </c>
      <c r="H65" s="79">
        <v>0</v>
      </c>
      <c r="I65" s="79" t="str">
        <f>IF(OR(O65={"T410","T420","T400"}), "8", "16")</f>
        <v>16</v>
      </c>
      <c r="J65" s="79">
        <f>Table1[[#This Row],[Memory slot2-GB]]+Table1[[#This Row],[Memory slot1-GB]]</f>
        <v>4</v>
      </c>
      <c r="K65" s="79">
        <v>2</v>
      </c>
      <c r="L65" s="79" t="s">
        <v>52</v>
      </c>
      <c r="M65" s="79"/>
      <c r="N65" s="67">
        <v>2015</v>
      </c>
      <c r="O65" s="67" t="s">
        <v>53</v>
      </c>
      <c r="P65" s="67" t="s">
        <v>54</v>
      </c>
      <c r="Q65" s="68" t="s">
        <v>393</v>
      </c>
      <c r="R65" s="61" t="s">
        <v>394</v>
      </c>
      <c r="S65" s="61" t="s">
        <v>57</v>
      </c>
      <c r="T65" s="69">
        <v>977402284</v>
      </c>
      <c r="U65" s="83" t="s">
        <v>58</v>
      </c>
      <c r="V65" s="83">
        <v>0</v>
      </c>
      <c r="W65" s="72">
        <v>0</v>
      </c>
      <c r="X65" s="61" t="s">
        <v>59</v>
      </c>
      <c r="Y65" s="61" t="s">
        <v>59</v>
      </c>
      <c r="Z65" s="85" t="s">
        <v>176</v>
      </c>
      <c r="AA65" s="74"/>
    </row>
    <row r="66" spans="1:29" s="61" customFormat="1" ht="15" customHeight="1" x14ac:dyDescent="0.3">
      <c r="A66" s="61" t="s">
        <v>395</v>
      </c>
      <c r="B66" s="67" t="s">
        <v>35</v>
      </c>
      <c r="C66" s="100" t="s">
        <v>396</v>
      </c>
      <c r="D66" s="100"/>
      <c r="E66" s="100" t="s">
        <v>397</v>
      </c>
      <c r="F66" s="79">
        <v>64</v>
      </c>
      <c r="G66" s="79">
        <v>4</v>
      </c>
      <c r="H66" s="79">
        <v>0</v>
      </c>
      <c r="I66" s="79" t="str">
        <f>IF(OR(O66={"T410","T420","T400"}), "8", "16")</f>
        <v>16</v>
      </c>
      <c r="J66" s="79">
        <f>Table1[[#This Row],[Memory slot2-GB]]+Table1[[#This Row],[Memory slot1-GB]]</f>
        <v>4</v>
      </c>
      <c r="K66" s="79">
        <v>2</v>
      </c>
      <c r="L66" s="79" t="s">
        <v>52</v>
      </c>
      <c r="M66" s="79"/>
      <c r="N66" s="67">
        <v>2015</v>
      </c>
      <c r="O66" s="67" t="s">
        <v>53</v>
      </c>
      <c r="P66" s="67" t="s">
        <v>54</v>
      </c>
      <c r="Q66" s="68" t="s">
        <v>398</v>
      </c>
      <c r="R66" s="61" t="s">
        <v>399</v>
      </c>
      <c r="S66" s="61" t="s">
        <v>57</v>
      </c>
      <c r="T66" s="69" t="s">
        <v>400</v>
      </c>
      <c r="U66" s="83" t="s">
        <v>58</v>
      </c>
      <c r="V66" s="83">
        <v>0</v>
      </c>
      <c r="W66" s="72">
        <v>1</v>
      </c>
      <c r="X66" s="61" t="s">
        <v>59</v>
      </c>
      <c r="Y66" s="61" t="s">
        <v>59</v>
      </c>
      <c r="Z66" s="85" t="s">
        <v>401</v>
      </c>
      <c r="AA66" s="74"/>
    </row>
    <row r="67" spans="1:29" s="64" customFormat="1" ht="15" customHeight="1" x14ac:dyDescent="0.3">
      <c r="A67" s="114" t="s">
        <v>402</v>
      </c>
      <c r="B67" s="115" t="s">
        <v>403</v>
      </c>
      <c r="C67" s="116" t="s">
        <v>404</v>
      </c>
      <c r="D67" s="116"/>
      <c r="E67" s="116"/>
      <c r="F67" s="98"/>
      <c r="G67" s="98"/>
      <c r="H67" s="98"/>
      <c r="I67" s="98" t="str">
        <f>IF(OR(O67={"T410","T420","T400"}), "8", "16")</f>
        <v>8</v>
      </c>
      <c r="J67" s="98">
        <f>Table1[[#This Row],[Memory slot2-GB]]+Table1[[#This Row],[Memory slot1-GB]]</f>
        <v>0</v>
      </c>
      <c r="K67" s="98">
        <v>0</v>
      </c>
      <c r="L67" s="98" t="s">
        <v>89</v>
      </c>
      <c r="M67" s="98"/>
      <c r="N67" s="115">
        <v>2011</v>
      </c>
      <c r="O67" s="115" t="s">
        <v>91</v>
      </c>
      <c r="P67" s="115" t="s">
        <v>405</v>
      </c>
      <c r="Q67" s="117" t="s">
        <v>406</v>
      </c>
      <c r="R67" s="114"/>
      <c r="S67" s="114"/>
      <c r="T67" s="118">
        <v>404160981</v>
      </c>
      <c r="U67" s="119"/>
      <c r="V67" s="119">
        <v>0</v>
      </c>
      <c r="W67" s="119">
        <v>0</v>
      </c>
      <c r="X67" s="114"/>
      <c r="Y67" s="114"/>
      <c r="Z67" s="120" t="s">
        <v>407</v>
      </c>
      <c r="AA67" s="121"/>
      <c r="AB67" s="114"/>
    </row>
    <row r="68" spans="1:29" s="61" customFormat="1" ht="15" customHeight="1" x14ac:dyDescent="0.3">
      <c r="A68" s="61" t="s">
        <v>408</v>
      </c>
      <c r="B68" s="67" t="s">
        <v>409</v>
      </c>
      <c r="C68" s="100" t="s">
        <v>410</v>
      </c>
      <c r="D68" s="100" t="s">
        <v>145</v>
      </c>
      <c r="E68" s="100" t="s">
        <v>411</v>
      </c>
      <c r="F68" s="79">
        <v>64</v>
      </c>
      <c r="G68" s="79">
        <v>4</v>
      </c>
      <c r="H68" s="79">
        <v>4</v>
      </c>
      <c r="I68" s="79" t="str">
        <f>IF(OR(O68={"T410","T420","T400"}), "8", "16")</f>
        <v>16</v>
      </c>
      <c r="J68" s="79">
        <f>Table1[[#This Row],[Memory slot2-GB]]+Table1[[#This Row],[Memory slot1-GB]]</f>
        <v>8</v>
      </c>
      <c r="K68" s="79">
        <v>2</v>
      </c>
      <c r="L68" s="79" t="s">
        <v>89</v>
      </c>
      <c r="M68" s="79"/>
      <c r="N68" s="67">
        <v>2013</v>
      </c>
      <c r="O68" s="67" t="s">
        <v>104</v>
      </c>
      <c r="P68" s="67" t="s">
        <v>308</v>
      </c>
      <c r="Q68" s="68" t="s">
        <v>412</v>
      </c>
      <c r="R68" s="61" t="s">
        <v>413</v>
      </c>
      <c r="S68" s="61" t="s">
        <v>57</v>
      </c>
      <c r="T68" s="69"/>
      <c r="U68" s="83" t="s">
        <v>58</v>
      </c>
      <c r="V68" s="83">
        <v>0</v>
      </c>
      <c r="W68" s="72">
        <v>0</v>
      </c>
      <c r="X68" s="61" t="s">
        <v>59</v>
      </c>
      <c r="Y68" s="61" t="s">
        <v>59</v>
      </c>
      <c r="Z68" s="85" t="s">
        <v>176</v>
      </c>
      <c r="AA68" s="74"/>
    </row>
    <row r="69" spans="1:29" s="114" customFormat="1" ht="15" customHeight="1" x14ac:dyDescent="0.3">
      <c r="A69" s="114" t="s">
        <v>414</v>
      </c>
      <c r="F69" s="122"/>
      <c r="G69" s="122"/>
      <c r="H69" s="122"/>
      <c r="I69" s="122" t="str">
        <f>IF(OR(O69={"T410","T420","T400"}), "Y", "N")</f>
        <v>N</v>
      </c>
      <c r="J69" s="122">
        <f>Table1[[#This Row],[Memory slot2-GB]]+Table1[[#This Row],[Memory slot1-GB]]</f>
        <v>0</v>
      </c>
      <c r="K69" s="122"/>
      <c r="L69" s="122"/>
      <c r="M69" s="122"/>
      <c r="Q69" s="122"/>
      <c r="S69" s="114" t="s">
        <v>415</v>
      </c>
      <c r="T69" s="118"/>
      <c r="U69" s="84"/>
      <c r="V69" s="84">
        <v>0</v>
      </c>
      <c r="W69" s="82">
        <v>0</v>
      </c>
      <c r="Z69" s="121" t="s">
        <v>416</v>
      </c>
      <c r="AA69" s="123"/>
    </row>
    <row r="70" spans="1:29" ht="15" customHeight="1" x14ac:dyDescent="0.3">
      <c r="A70" s="57" t="s">
        <v>417</v>
      </c>
      <c r="B70" s="78" t="s">
        <v>409</v>
      </c>
      <c r="C70" s="100" t="s">
        <v>418</v>
      </c>
      <c r="D70" s="100"/>
      <c r="E70" s="100" t="s">
        <v>419</v>
      </c>
      <c r="F70" s="79">
        <v>64</v>
      </c>
      <c r="G70" s="79">
        <v>4</v>
      </c>
      <c r="H70" s="79">
        <v>4</v>
      </c>
      <c r="I70" s="79" t="str">
        <f>IF(OR(O70={"T410","T420","T400"}), "8", "16")</f>
        <v>16</v>
      </c>
      <c r="J70" s="79">
        <f>Table1[[#This Row],[Memory slot2-GB]]+Table1[[#This Row],[Memory slot1-GB]]</f>
        <v>8</v>
      </c>
      <c r="K70" s="79">
        <v>2</v>
      </c>
      <c r="L70" s="79" t="s">
        <v>89</v>
      </c>
      <c r="M70" s="79"/>
      <c r="N70" s="78">
        <v>2012</v>
      </c>
      <c r="O70" s="78" t="s">
        <v>104</v>
      </c>
      <c r="P70" s="78" t="s">
        <v>420</v>
      </c>
      <c r="Q70" s="79" t="s">
        <v>421</v>
      </c>
      <c r="S70" s="62" t="s">
        <v>57</v>
      </c>
      <c r="T70" s="80">
        <v>1361231431</v>
      </c>
      <c r="U70" s="81" t="s">
        <v>58</v>
      </c>
      <c r="V70" s="81">
        <v>0</v>
      </c>
      <c r="W70" s="72">
        <v>1</v>
      </c>
      <c r="X70" s="57"/>
      <c r="Z70" s="59" t="s">
        <v>422</v>
      </c>
      <c r="AA70" s="60"/>
    </row>
    <row r="71" spans="1:29" s="61" customFormat="1" ht="15" customHeight="1" x14ac:dyDescent="0.3">
      <c r="A71" s="61" t="s">
        <v>423</v>
      </c>
      <c r="B71" s="67" t="s">
        <v>409</v>
      </c>
      <c r="C71" s="101" t="s">
        <v>424</v>
      </c>
      <c r="D71" s="101" t="s">
        <v>145</v>
      </c>
      <c r="E71" s="101" t="s">
        <v>425</v>
      </c>
      <c r="F71" s="68">
        <v>64</v>
      </c>
      <c r="G71" s="68">
        <v>4</v>
      </c>
      <c r="H71" s="68">
        <v>8</v>
      </c>
      <c r="I71" s="68" t="str">
        <f>IF(OR(O71={"T410","T420","T400"}), "8", "16")</f>
        <v>16</v>
      </c>
      <c r="J71" s="68">
        <f>Table1[[#This Row],[Memory slot2-GB]]+Table1[[#This Row],[Memory slot1-GB]]</f>
        <v>12</v>
      </c>
      <c r="K71" s="68">
        <v>1</v>
      </c>
      <c r="L71" s="68" t="s">
        <v>89</v>
      </c>
      <c r="M71" s="68" t="s">
        <v>426</v>
      </c>
      <c r="N71" s="67">
        <v>2012</v>
      </c>
      <c r="O71" s="67" t="s">
        <v>104</v>
      </c>
      <c r="P71" s="67" t="s">
        <v>420</v>
      </c>
      <c r="Q71" s="68" t="s">
        <v>427</v>
      </c>
      <c r="R71" s="61" t="s">
        <v>428</v>
      </c>
      <c r="S71" s="61" t="s">
        <v>57</v>
      </c>
      <c r="T71" s="69">
        <v>1228040415</v>
      </c>
      <c r="U71" s="71" t="s">
        <v>58</v>
      </c>
      <c r="V71" s="71">
        <v>0</v>
      </c>
      <c r="W71" s="71">
        <v>0</v>
      </c>
      <c r="Y71" s="61" t="s">
        <v>59</v>
      </c>
      <c r="Z71" s="85" t="s">
        <v>429</v>
      </c>
      <c r="AA71" s="74"/>
    </row>
    <row r="72" spans="1:29" ht="15" customHeight="1" x14ac:dyDescent="0.3">
      <c r="A72" s="61" t="s">
        <v>430</v>
      </c>
      <c r="B72" s="67" t="s">
        <v>409</v>
      </c>
      <c r="C72" s="101" t="s">
        <v>430</v>
      </c>
      <c r="D72" s="67"/>
      <c r="E72" s="67"/>
      <c r="F72" s="68">
        <v>64</v>
      </c>
      <c r="G72" s="68">
        <v>8</v>
      </c>
      <c r="H72" s="68">
        <v>8</v>
      </c>
      <c r="I72" s="68" t="str">
        <f>IF(OR(O72={"T410","T420","T400"}), "Y", "N")</f>
        <v>N</v>
      </c>
      <c r="J72" s="68">
        <f>Table1[[#This Row],[Memory slot2-GB]]+Table1[[#This Row],[Memory slot1-GB]]</f>
        <v>16</v>
      </c>
      <c r="K72" s="68">
        <v>2</v>
      </c>
      <c r="L72" s="68" t="s">
        <v>89</v>
      </c>
      <c r="M72" s="68" t="s">
        <v>248</v>
      </c>
      <c r="N72" s="78">
        <v>2012</v>
      </c>
      <c r="O72" s="78" t="s">
        <v>104</v>
      </c>
      <c r="P72" s="78" t="s">
        <v>308</v>
      </c>
      <c r="Q72" s="79" t="s">
        <v>431</v>
      </c>
      <c r="R72" s="57" t="s">
        <v>432</v>
      </c>
      <c r="S72" s="62" t="s">
        <v>57</v>
      </c>
      <c r="T72" s="80"/>
      <c r="U72" s="71" t="s">
        <v>58</v>
      </c>
      <c r="V72" s="81">
        <v>0</v>
      </c>
      <c r="W72" s="82">
        <v>0</v>
      </c>
      <c r="X72" s="57" t="s">
        <v>59</v>
      </c>
      <c r="Z72" s="59" t="s">
        <v>433</v>
      </c>
      <c r="AA72" s="57" t="s">
        <v>434</v>
      </c>
    </row>
    <row r="73" spans="1:29" s="64" customFormat="1" ht="15" customHeight="1" x14ac:dyDescent="0.3">
      <c r="A73" s="64" t="s">
        <v>435</v>
      </c>
      <c r="B73" s="124" t="s">
        <v>409</v>
      </c>
      <c r="C73" s="100" t="s">
        <v>436</v>
      </c>
      <c r="D73" s="100"/>
      <c r="E73" s="100" t="s">
        <v>437</v>
      </c>
      <c r="F73" s="79">
        <v>64</v>
      </c>
      <c r="G73" s="79">
        <v>4</v>
      </c>
      <c r="H73" s="79">
        <v>4</v>
      </c>
      <c r="I73" s="79" t="str">
        <f>IF(OR(O73={"T410","T420","T400"}), "8", "16")</f>
        <v>16</v>
      </c>
      <c r="J73" s="79">
        <f>Table1[[#This Row],[Memory slot2-GB]]+Table1[[#This Row],[Memory slot1-GB]]</f>
        <v>8</v>
      </c>
      <c r="K73" s="79">
        <v>2</v>
      </c>
      <c r="L73" s="79" t="s">
        <v>89</v>
      </c>
      <c r="M73" s="79"/>
      <c r="N73" s="124">
        <v>2012</v>
      </c>
      <c r="O73" s="124" t="s">
        <v>104</v>
      </c>
      <c r="P73" s="124" t="s">
        <v>308</v>
      </c>
      <c r="Q73" s="125" t="s">
        <v>438</v>
      </c>
      <c r="R73" s="126" t="s">
        <v>439</v>
      </c>
      <c r="S73" s="64" t="s">
        <v>57</v>
      </c>
      <c r="T73" s="127">
        <v>455429533</v>
      </c>
      <c r="U73" s="83" t="s">
        <v>58</v>
      </c>
      <c r="V73" s="83">
        <v>0</v>
      </c>
      <c r="W73" s="72">
        <v>1</v>
      </c>
      <c r="Z73" s="126" t="s">
        <v>439</v>
      </c>
      <c r="AA73" s="128" t="s">
        <v>440</v>
      </c>
    </row>
    <row r="74" spans="1:29" s="61" customFormat="1" ht="15" customHeight="1" x14ac:dyDescent="0.3">
      <c r="A74" s="61" t="s">
        <v>441</v>
      </c>
      <c r="B74" s="67" t="s">
        <v>442</v>
      </c>
      <c r="C74" s="100" t="s">
        <v>443</v>
      </c>
      <c r="D74" s="100" t="s">
        <v>145</v>
      </c>
      <c r="E74" s="100" t="s">
        <v>444</v>
      </c>
      <c r="F74" s="79">
        <v>64</v>
      </c>
      <c r="G74" s="79">
        <v>4</v>
      </c>
      <c r="H74" s="79">
        <v>0</v>
      </c>
      <c r="I74" s="79" t="str">
        <f>IF(OR(O74={"T410","T420","T400"}), "8", "16")</f>
        <v>16</v>
      </c>
      <c r="J74" s="79">
        <f>Table1[[#This Row],[Memory slot2-GB]]+Table1[[#This Row],[Memory slot1-GB]]</f>
        <v>4</v>
      </c>
      <c r="K74" s="79">
        <v>2</v>
      </c>
      <c r="L74" s="79" t="s">
        <v>89</v>
      </c>
      <c r="M74" s="79"/>
      <c r="N74" s="67">
        <v>2013</v>
      </c>
      <c r="O74" s="67" t="s">
        <v>370</v>
      </c>
      <c r="P74" s="67" t="s">
        <v>445</v>
      </c>
      <c r="Q74" s="68" t="s">
        <v>446</v>
      </c>
      <c r="R74" s="61" t="s">
        <v>447</v>
      </c>
      <c r="T74" s="69" t="s">
        <v>448</v>
      </c>
      <c r="U74" s="83" t="s">
        <v>58</v>
      </c>
      <c r="V74" s="83">
        <v>0</v>
      </c>
      <c r="W74" s="72">
        <v>1</v>
      </c>
      <c r="X74" s="61" t="s">
        <v>59</v>
      </c>
      <c r="Y74" s="61" t="s">
        <v>59</v>
      </c>
      <c r="Z74" s="85" t="s">
        <v>449</v>
      </c>
      <c r="AA74" s="74"/>
    </row>
    <row r="75" spans="1:29" s="65" customFormat="1" ht="15.75" customHeight="1" x14ac:dyDescent="0.3">
      <c r="A75" s="65" t="s">
        <v>450</v>
      </c>
      <c r="B75" s="129" t="s">
        <v>35</v>
      </c>
      <c r="C75" s="130" t="s">
        <v>451</v>
      </c>
      <c r="D75" s="130"/>
      <c r="E75" s="130" t="s">
        <v>452</v>
      </c>
      <c r="F75" s="76">
        <v>64</v>
      </c>
      <c r="G75" s="76">
        <v>4</v>
      </c>
      <c r="H75" s="76">
        <v>4</v>
      </c>
      <c r="I75" s="79" t="str">
        <f>IF(OR(O75={"T410","T420","T400"}), "8", "16")</f>
        <v>8</v>
      </c>
      <c r="J75" s="79">
        <f>Table1[[#This Row],[Memory slot2-GB]]+Table1[[#This Row],[Memory slot1-GB]]</f>
        <v>8</v>
      </c>
      <c r="K75" s="79">
        <v>0</v>
      </c>
      <c r="L75" s="79" t="s">
        <v>89</v>
      </c>
      <c r="M75" s="79"/>
      <c r="N75" s="131">
        <v>2011</v>
      </c>
      <c r="O75" s="131" t="s">
        <v>36</v>
      </c>
      <c r="P75" s="132" t="s">
        <v>453</v>
      </c>
      <c r="Q75" s="133" t="s">
        <v>454</v>
      </c>
      <c r="R75" s="65" t="s">
        <v>455</v>
      </c>
      <c r="S75" s="65" t="s">
        <v>57</v>
      </c>
      <c r="T75" s="134" t="s">
        <v>456</v>
      </c>
      <c r="U75" s="83" t="s">
        <v>58</v>
      </c>
      <c r="V75" s="83">
        <v>0</v>
      </c>
      <c r="W75" s="72">
        <v>1</v>
      </c>
      <c r="Z75" s="135" t="s">
        <v>457</v>
      </c>
      <c r="AA75" s="136" t="s">
        <v>458</v>
      </c>
    </row>
    <row r="76" spans="1:29" s="61" customFormat="1" ht="15" customHeight="1" x14ac:dyDescent="0.3">
      <c r="A76" s="61" t="s">
        <v>459</v>
      </c>
      <c r="B76" s="67" t="s">
        <v>409</v>
      </c>
      <c r="C76" s="130" t="s">
        <v>460</v>
      </c>
      <c r="D76" s="130"/>
      <c r="E76" s="130" t="s">
        <v>461</v>
      </c>
      <c r="F76" s="79">
        <v>64</v>
      </c>
      <c r="G76" s="79">
        <v>4</v>
      </c>
      <c r="H76" s="79">
        <v>8</v>
      </c>
      <c r="I76" s="79" t="str">
        <f>IF(OR(O76={"T410","T420","T400"}), "8", "16")</f>
        <v>16</v>
      </c>
      <c r="J76" s="79">
        <f>Table1[[#This Row],[Memory slot2-GB]]+Table1[[#This Row],[Memory slot1-GB]]</f>
        <v>12</v>
      </c>
      <c r="K76" s="79">
        <v>1</v>
      </c>
      <c r="L76" s="79" t="s">
        <v>89</v>
      </c>
      <c r="M76" s="79"/>
      <c r="N76" s="67">
        <v>2012</v>
      </c>
      <c r="O76" s="67" t="s">
        <v>104</v>
      </c>
      <c r="P76" s="67" t="s">
        <v>462</v>
      </c>
      <c r="Q76" s="68" t="s">
        <v>463</v>
      </c>
      <c r="R76" s="61" t="s">
        <v>464</v>
      </c>
      <c r="S76" s="61" t="s">
        <v>57</v>
      </c>
      <c r="T76" s="69" t="s">
        <v>465</v>
      </c>
      <c r="U76" s="83" t="s">
        <v>58</v>
      </c>
      <c r="V76" s="83">
        <v>0</v>
      </c>
      <c r="W76" s="72">
        <v>1</v>
      </c>
      <c r="X76" s="61" t="s">
        <v>59</v>
      </c>
      <c r="Y76" s="61" t="s">
        <v>59</v>
      </c>
      <c r="Z76" s="85" t="s">
        <v>466</v>
      </c>
      <c r="AA76" s="74"/>
    </row>
    <row r="77" spans="1:29" s="61" customFormat="1" ht="15" customHeight="1" x14ac:dyDescent="0.3">
      <c r="A77" s="61" t="s">
        <v>467</v>
      </c>
      <c r="B77" s="67" t="s">
        <v>35</v>
      </c>
      <c r="C77" s="100" t="s">
        <v>468</v>
      </c>
      <c r="D77" s="100"/>
      <c r="E77" s="100" t="s">
        <v>469</v>
      </c>
      <c r="F77" s="79">
        <v>64</v>
      </c>
      <c r="G77" s="79">
        <v>4</v>
      </c>
      <c r="H77" s="79">
        <v>4</v>
      </c>
      <c r="I77" s="79" t="str">
        <f>IF(OR(O77={"T410","T420","T400"}), "8", "16")</f>
        <v>16</v>
      </c>
      <c r="J77" s="79">
        <f>Table1[[#This Row],[Memory slot2-GB]]+Table1[[#This Row],[Memory slot1-GB]]</f>
        <v>8</v>
      </c>
      <c r="K77" s="79">
        <v>2</v>
      </c>
      <c r="L77" s="79" t="s">
        <v>89</v>
      </c>
      <c r="M77" s="79"/>
      <c r="N77" s="67">
        <v>2013</v>
      </c>
      <c r="O77" s="67" t="s">
        <v>104</v>
      </c>
      <c r="P77" s="67" t="s">
        <v>308</v>
      </c>
      <c r="Q77" s="68" t="s">
        <v>470</v>
      </c>
      <c r="R77" s="61" t="s">
        <v>471</v>
      </c>
      <c r="S77" s="61" t="s">
        <v>57</v>
      </c>
      <c r="T77" s="69" t="s">
        <v>472</v>
      </c>
      <c r="U77" s="83" t="s">
        <v>58</v>
      </c>
      <c r="V77" s="83">
        <v>0</v>
      </c>
      <c r="W77" s="72">
        <v>1</v>
      </c>
      <c r="X77" s="61" t="s">
        <v>59</v>
      </c>
      <c r="Z77" s="85"/>
      <c r="AA77" s="85"/>
    </row>
    <row r="78" spans="1:29" s="65" customFormat="1" ht="15" customHeight="1" x14ac:dyDescent="0.3">
      <c r="A78" s="65" t="s">
        <v>473</v>
      </c>
      <c r="B78" s="132" t="s">
        <v>35</v>
      </c>
      <c r="C78" s="100" t="s">
        <v>474</v>
      </c>
      <c r="D78" s="100"/>
      <c r="E78" s="100" t="s">
        <v>475</v>
      </c>
      <c r="F78" s="79">
        <v>64</v>
      </c>
      <c r="G78" s="79">
        <v>2</v>
      </c>
      <c r="H78" s="79">
        <v>2</v>
      </c>
      <c r="I78" s="79" t="str">
        <f>IF(OR(O78={"T410","T420","T400"}), "8", "16")</f>
        <v>8</v>
      </c>
      <c r="J78" s="79">
        <f>Table1[[#This Row],[Memory slot2-GB]]+Table1[[#This Row],[Memory slot1-GB]]</f>
        <v>4</v>
      </c>
      <c r="K78" s="79">
        <v>0</v>
      </c>
      <c r="L78" s="79" t="s">
        <v>89</v>
      </c>
      <c r="M78" s="79"/>
      <c r="N78" s="132">
        <v>2011</v>
      </c>
      <c r="O78" s="132" t="s">
        <v>91</v>
      </c>
      <c r="P78" s="132" t="s">
        <v>358</v>
      </c>
      <c r="Q78" s="133" t="s">
        <v>476</v>
      </c>
      <c r="R78" s="65" t="s">
        <v>477</v>
      </c>
      <c r="S78" s="65" t="s">
        <v>57</v>
      </c>
      <c r="T78" s="134">
        <v>267819163</v>
      </c>
      <c r="U78" s="83" t="s">
        <v>58</v>
      </c>
      <c r="V78" s="83">
        <v>0</v>
      </c>
      <c r="W78" s="72">
        <v>1</v>
      </c>
      <c r="Z78" s="135" t="s">
        <v>478</v>
      </c>
      <c r="AA78" s="136" t="s">
        <v>479</v>
      </c>
      <c r="AC78" s="65" t="s">
        <v>480</v>
      </c>
    </row>
    <row r="79" spans="1:29" s="61" customFormat="1" ht="15" customHeight="1" x14ac:dyDescent="0.3">
      <c r="A79" s="61" t="s">
        <v>481</v>
      </c>
      <c r="B79" s="67" t="s">
        <v>35</v>
      </c>
      <c r="C79" s="100" t="s">
        <v>482</v>
      </c>
      <c r="D79" s="100"/>
      <c r="E79" s="100" t="s">
        <v>483</v>
      </c>
      <c r="F79" s="79">
        <v>64</v>
      </c>
      <c r="G79" s="79">
        <v>4</v>
      </c>
      <c r="H79" s="79">
        <v>4</v>
      </c>
      <c r="I79" s="79" t="str">
        <f>IF(OR(O79={"T410","T420","T400"}), "8", "16")</f>
        <v>16</v>
      </c>
      <c r="J79" s="79">
        <f>Table1[[#This Row],[Memory slot2-GB]]+Table1[[#This Row],[Memory slot1-GB]]</f>
        <v>8</v>
      </c>
      <c r="K79" s="79">
        <v>2</v>
      </c>
      <c r="L79" s="79" t="s">
        <v>89</v>
      </c>
      <c r="M79" s="79"/>
      <c r="N79" s="67">
        <v>2013</v>
      </c>
      <c r="O79" s="67" t="s">
        <v>104</v>
      </c>
      <c r="P79" s="67" t="s">
        <v>484</v>
      </c>
      <c r="Q79" s="68" t="s">
        <v>485</v>
      </c>
      <c r="R79" s="61" t="s">
        <v>486</v>
      </c>
      <c r="S79" s="61" t="s">
        <v>57</v>
      </c>
      <c r="T79" s="69" t="s">
        <v>487</v>
      </c>
      <c r="U79" s="83" t="s">
        <v>58</v>
      </c>
      <c r="V79" s="83">
        <v>0</v>
      </c>
      <c r="W79" s="72">
        <v>1</v>
      </c>
      <c r="X79" s="61" t="s">
        <v>59</v>
      </c>
      <c r="Z79" s="85" t="s">
        <v>488</v>
      </c>
      <c r="AA79" s="74"/>
    </row>
    <row r="80" spans="1:29" s="61" customFormat="1" ht="15" customHeight="1" x14ac:dyDescent="0.3">
      <c r="A80" s="61" t="s">
        <v>489</v>
      </c>
      <c r="B80" s="67" t="s">
        <v>35</v>
      </c>
      <c r="C80" s="100" t="s">
        <v>490</v>
      </c>
      <c r="D80" s="100"/>
      <c r="E80" s="100"/>
      <c r="F80" s="79">
        <v>64</v>
      </c>
      <c r="G80" s="79">
        <v>4</v>
      </c>
      <c r="H80" s="79">
        <v>4</v>
      </c>
      <c r="I80" s="79" t="str">
        <f>IF(OR(O80={"T410","T420","T400"}), "8", "16")</f>
        <v>16</v>
      </c>
      <c r="J80" s="79">
        <f>Table1[[#This Row],[Memory slot2-GB]]+Table1[[#This Row],[Memory slot1-GB]]</f>
        <v>8</v>
      </c>
      <c r="K80" s="79">
        <v>2</v>
      </c>
      <c r="L80" s="79" t="s">
        <v>89</v>
      </c>
      <c r="M80" s="79"/>
      <c r="N80" s="67">
        <v>2013</v>
      </c>
      <c r="O80" s="67" t="s">
        <v>104</v>
      </c>
      <c r="P80" s="67" t="s">
        <v>484</v>
      </c>
      <c r="Q80" s="68" t="s">
        <v>491</v>
      </c>
      <c r="R80" s="61" t="s">
        <v>492</v>
      </c>
      <c r="S80" s="61" t="s">
        <v>57</v>
      </c>
      <c r="T80" s="69" t="s">
        <v>493</v>
      </c>
      <c r="U80" s="83" t="s">
        <v>58</v>
      </c>
      <c r="V80" s="83">
        <v>0</v>
      </c>
      <c r="W80" s="72">
        <v>1</v>
      </c>
      <c r="X80" s="61" t="s">
        <v>59</v>
      </c>
      <c r="Z80" s="85" t="s">
        <v>488</v>
      </c>
      <c r="AA80" s="74"/>
    </row>
    <row r="81" spans="1:28" s="61" customFormat="1" ht="15" customHeight="1" x14ac:dyDescent="0.3">
      <c r="A81" s="61" t="s">
        <v>494</v>
      </c>
      <c r="B81" s="67" t="s">
        <v>35</v>
      </c>
      <c r="C81" s="101" t="s">
        <v>495</v>
      </c>
      <c r="D81" s="101"/>
      <c r="E81" s="101" t="s">
        <v>496</v>
      </c>
      <c r="F81" s="68">
        <v>64</v>
      </c>
      <c r="G81" s="68">
        <v>8</v>
      </c>
      <c r="H81" s="68">
        <v>8</v>
      </c>
      <c r="I81" s="68" t="str">
        <f>IF(OR(O81={"T410","T420","T400"}), "8", "16")</f>
        <v>16</v>
      </c>
      <c r="J81" s="68">
        <f>Table1[[#This Row],[Memory slot2-GB]]+Table1[[#This Row],[Memory slot1-GB]]</f>
        <v>16</v>
      </c>
      <c r="K81" s="68">
        <v>2</v>
      </c>
      <c r="L81" s="68" t="s">
        <v>89</v>
      </c>
      <c r="M81" s="68" t="s">
        <v>497</v>
      </c>
      <c r="N81" s="67">
        <v>2013</v>
      </c>
      <c r="O81" s="67" t="s">
        <v>104</v>
      </c>
      <c r="P81" s="67" t="s">
        <v>308</v>
      </c>
      <c r="Q81" s="68" t="s">
        <v>498</v>
      </c>
      <c r="R81" s="61" t="s">
        <v>499</v>
      </c>
      <c r="S81" s="61" t="s">
        <v>57</v>
      </c>
      <c r="T81" s="69">
        <v>733412860</v>
      </c>
      <c r="U81" s="83" t="s">
        <v>58</v>
      </c>
      <c r="V81" s="83">
        <v>0</v>
      </c>
      <c r="W81" s="72">
        <v>1</v>
      </c>
      <c r="X81" s="61" t="s">
        <v>59</v>
      </c>
      <c r="Y81" s="61" t="s">
        <v>59</v>
      </c>
      <c r="Z81" s="85" t="s">
        <v>500</v>
      </c>
      <c r="AA81" s="74"/>
    </row>
    <row r="82" spans="1:28" s="65" customFormat="1" ht="15" customHeight="1" x14ac:dyDescent="0.3">
      <c r="A82" s="65" t="s">
        <v>501</v>
      </c>
      <c r="B82" s="132" t="s">
        <v>35</v>
      </c>
      <c r="C82" s="100" t="s">
        <v>502</v>
      </c>
      <c r="D82" s="100"/>
      <c r="E82" s="100" t="s">
        <v>503</v>
      </c>
      <c r="F82" s="79">
        <v>64</v>
      </c>
      <c r="G82" s="79">
        <v>2</v>
      </c>
      <c r="H82" s="79">
        <v>4</v>
      </c>
      <c r="I82" s="79" t="str">
        <f>IF(OR(O82={"T410","T420","T400"}), "8", "16")</f>
        <v>8</v>
      </c>
      <c r="J82" s="79">
        <f>Table1[[#This Row],[Memory slot2-GB]]+Table1[[#This Row],[Memory slot1-GB]]</f>
        <v>6</v>
      </c>
      <c r="K82" s="79">
        <v>0</v>
      </c>
      <c r="L82" s="79" t="s">
        <v>89</v>
      </c>
      <c r="M82" s="79"/>
      <c r="N82" s="65">
        <v>2012</v>
      </c>
      <c r="O82" s="65" t="s">
        <v>91</v>
      </c>
      <c r="P82" s="65" t="s">
        <v>504</v>
      </c>
      <c r="Q82" s="137" t="s">
        <v>505</v>
      </c>
      <c r="R82" s="65" t="s">
        <v>506</v>
      </c>
      <c r="S82" s="65" t="s">
        <v>57</v>
      </c>
      <c r="T82" s="134">
        <v>854134604</v>
      </c>
      <c r="U82" s="83" t="s">
        <v>58</v>
      </c>
      <c r="V82" s="83">
        <v>0</v>
      </c>
      <c r="W82" s="72">
        <v>1</v>
      </c>
      <c r="Z82" s="135" t="s">
        <v>507</v>
      </c>
      <c r="AA82" s="136"/>
    </row>
    <row r="83" spans="1:28" s="61" customFormat="1" ht="15" customHeight="1" x14ac:dyDescent="0.3">
      <c r="A83" s="61" t="s">
        <v>508</v>
      </c>
      <c r="B83" s="67" t="s">
        <v>35</v>
      </c>
      <c r="C83" s="100" t="s">
        <v>509</v>
      </c>
      <c r="D83" s="100"/>
      <c r="E83" s="100" t="s">
        <v>510</v>
      </c>
      <c r="F83" s="79">
        <v>64</v>
      </c>
      <c r="G83" s="79">
        <v>4</v>
      </c>
      <c r="H83" s="79">
        <v>0</v>
      </c>
      <c r="I83" s="79" t="str">
        <f>IF(OR(O83={"T410","T420","T400"}), "8", "16")</f>
        <v>16</v>
      </c>
      <c r="J83" s="79">
        <f>Table1[[#This Row],[Memory slot2-GB]]+Table1[[#This Row],[Memory slot1-GB]]</f>
        <v>4</v>
      </c>
      <c r="K83" s="79">
        <v>2</v>
      </c>
      <c r="L83" s="79" t="s">
        <v>52</v>
      </c>
      <c r="M83" s="79"/>
      <c r="N83" s="67">
        <v>2015</v>
      </c>
      <c r="O83" s="67" t="s">
        <v>53</v>
      </c>
      <c r="P83" s="67" t="s">
        <v>54</v>
      </c>
      <c r="Q83" s="68" t="s">
        <v>511</v>
      </c>
      <c r="R83" s="61" t="s">
        <v>512</v>
      </c>
      <c r="S83" s="61" t="s">
        <v>57</v>
      </c>
      <c r="T83" s="69">
        <v>729515094</v>
      </c>
      <c r="U83" s="83" t="s">
        <v>58</v>
      </c>
      <c r="V83" s="83">
        <v>0</v>
      </c>
      <c r="W83" s="72">
        <v>1</v>
      </c>
      <c r="X83" s="61" t="s">
        <v>59</v>
      </c>
      <c r="Z83" s="85" t="s">
        <v>513</v>
      </c>
      <c r="AA83" s="74"/>
    </row>
    <row r="84" spans="1:28" s="61" customFormat="1" ht="15" customHeight="1" x14ac:dyDescent="0.3">
      <c r="A84" s="61" t="s">
        <v>514</v>
      </c>
      <c r="B84" s="67" t="s">
        <v>35</v>
      </c>
      <c r="C84" s="100" t="s">
        <v>515</v>
      </c>
      <c r="D84" s="100"/>
      <c r="E84" s="100" t="s">
        <v>516</v>
      </c>
      <c r="F84" s="79">
        <v>64</v>
      </c>
      <c r="G84" s="79">
        <v>4</v>
      </c>
      <c r="H84" s="79">
        <v>0</v>
      </c>
      <c r="I84" s="79" t="str">
        <f>IF(OR(O84={"T410","T420","T400"}), "8", "16")</f>
        <v>16</v>
      </c>
      <c r="J84" s="79">
        <f>Table1[[#This Row],[Memory slot2-GB]]+Table1[[#This Row],[Memory slot1-GB]]</f>
        <v>4</v>
      </c>
      <c r="K84" s="79">
        <v>2</v>
      </c>
      <c r="L84" s="79" t="s">
        <v>52</v>
      </c>
      <c r="M84" s="79"/>
      <c r="N84" s="67">
        <v>2015</v>
      </c>
      <c r="O84" s="67" t="s">
        <v>53</v>
      </c>
      <c r="P84" s="67" t="s">
        <v>54</v>
      </c>
      <c r="Q84" s="68" t="s">
        <v>517</v>
      </c>
      <c r="R84" s="61" t="s">
        <v>518</v>
      </c>
      <c r="S84" s="61" t="s">
        <v>57</v>
      </c>
      <c r="T84" s="69">
        <v>736707447</v>
      </c>
      <c r="U84" s="83" t="s">
        <v>58</v>
      </c>
      <c r="V84" s="83">
        <v>0</v>
      </c>
      <c r="W84" s="72">
        <v>1</v>
      </c>
      <c r="X84" s="61" t="s">
        <v>59</v>
      </c>
      <c r="Z84" s="85" t="s">
        <v>519</v>
      </c>
      <c r="AA84" s="74"/>
    </row>
    <row r="85" spans="1:28" s="61" customFormat="1" ht="15" customHeight="1" x14ac:dyDescent="0.3">
      <c r="A85" s="61" t="s">
        <v>520</v>
      </c>
      <c r="B85" s="67" t="s">
        <v>35</v>
      </c>
      <c r="C85" s="101" t="s">
        <v>521</v>
      </c>
      <c r="D85" s="101" t="s">
        <v>145</v>
      </c>
      <c r="E85" s="101" t="s">
        <v>522</v>
      </c>
      <c r="F85" s="68">
        <v>64</v>
      </c>
      <c r="G85" s="68">
        <v>4</v>
      </c>
      <c r="H85" s="68">
        <v>8</v>
      </c>
      <c r="I85" s="68">
        <v>12</v>
      </c>
      <c r="J85" s="68">
        <f>Table1[[#This Row],[Memory slot2-GB]]+Table1[[#This Row],[Memory slot1-GB]]</f>
        <v>12</v>
      </c>
      <c r="K85" s="68">
        <v>1</v>
      </c>
      <c r="L85" s="68" t="s">
        <v>89</v>
      </c>
      <c r="M85" s="68" t="s">
        <v>962</v>
      </c>
      <c r="N85" s="67">
        <v>2015</v>
      </c>
      <c r="O85" s="61" t="s">
        <v>523</v>
      </c>
      <c r="P85" s="61" t="s">
        <v>523</v>
      </c>
      <c r="Q85" s="68" t="s">
        <v>524</v>
      </c>
      <c r="R85" s="61" t="s">
        <v>525</v>
      </c>
      <c r="S85" s="61" t="s">
        <v>57</v>
      </c>
      <c r="T85" s="69">
        <v>1167806905</v>
      </c>
      <c r="U85" s="71" t="s">
        <v>58</v>
      </c>
      <c r="V85" s="71">
        <v>0</v>
      </c>
      <c r="W85" s="71">
        <v>0</v>
      </c>
      <c r="X85" s="61" t="s">
        <v>59</v>
      </c>
      <c r="Z85" s="85"/>
      <c r="AA85" s="74"/>
    </row>
    <row r="86" spans="1:28" s="61" customFormat="1" ht="15" customHeight="1" x14ac:dyDescent="0.3">
      <c r="A86" s="61" t="s">
        <v>526</v>
      </c>
      <c r="B86" s="67" t="s">
        <v>35</v>
      </c>
      <c r="C86" s="100" t="s">
        <v>527</v>
      </c>
      <c r="D86" s="100" t="s">
        <v>145</v>
      </c>
      <c r="E86" s="100" t="s">
        <v>528</v>
      </c>
      <c r="F86" s="79">
        <v>64</v>
      </c>
      <c r="G86" s="79">
        <v>4</v>
      </c>
      <c r="H86" s="79">
        <v>8</v>
      </c>
      <c r="I86" s="79" t="str">
        <f>IF(OR(O86={"T410","T420","T400"}), "8", "16")</f>
        <v>16</v>
      </c>
      <c r="J86" s="79">
        <f>Table1[[#This Row],[Memory slot2-GB]]+Table1[[#This Row],[Memory slot1-GB]]</f>
        <v>12</v>
      </c>
      <c r="K86" s="79">
        <v>1</v>
      </c>
      <c r="L86" s="79" t="s">
        <v>89</v>
      </c>
      <c r="M86" s="79"/>
      <c r="O86" s="61" t="s">
        <v>523</v>
      </c>
      <c r="P86" s="61" t="s">
        <v>529</v>
      </c>
      <c r="Q86" s="68" t="s">
        <v>530</v>
      </c>
      <c r="R86" s="61" t="s">
        <v>531</v>
      </c>
      <c r="S86" s="61" t="s">
        <v>57</v>
      </c>
      <c r="T86" s="69" t="s">
        <v>532</v>
      </c>
      <c r="U86" s="83" t="s">
        <v>58</v>
      </c>
      <c r="V86" s="83">
        <v>0</v>
      </c>
      <c r="W86" s="72">
        <v>1</v>
      </c>
      <c r="X86" s="61" t="s">
        <v>59</v>
      </c>
      <c r="Z86" s="85" t="s">
        <v>533</v>
      </c>
      <c r="AA86" s="74"/>
    </row>
    <row r="87" spans="1:28" s="61" customFormat="1" ht="15" customHeight="1" x14ac:dyDescent="0.3">
      <c r="A87" s="61" t="s">
        <v>534</v>
      </c>
      <c r="B87" s="67" t="s">
        <v>35</v>
      </c>
      <c r="C87" s="100" t="s">
        <v>534</v>
      </c>
      <c r="D87" s="100" t="s">
        <v>145</v>
      </c>
      <c r="E87" s="100" t="s">
        <v>535</v>
      </c>
      <c r="F87" s="79">
        <v>64</v>
      </c>
      <c r="G87" s="79">
        <v>4</v>
      </c>
      <c r="H87" s="79">
        <v>4</v>
      </c>
      <c r="I87" s="79">
        <v>12</v>
      </c>
      <c r="J87" s="79">
        <f>Table1[[#This Row],[Memory slot2-GB]]+Table1[[#This Row],[Memory slot1-GB]]</f>
        <v>8</v>
      </c>
      <c r="K87" s="79">
        <v>2</v>
      </c>
      <c r="L87" s="79" t="s">
        <v>52</v>
      </c>
      <c r="M87" s="79"/>
      <c r="N87" s="67">
        <v>2015</v>
      </c>
      <c r="O87" s="67" t="s">
        <v>536</v>
      </c>
      <c r="P87" s="61" t="s">
        <v>537</v>
      </c>
      <c r="Q87" s="138" t="s">
        <v>538</v>
      </c>
      <c r="R87" s="61" t="s">
        <v>539</v>
      </c>
      <c r="S87" s="61" t="s">
        <v>57</v>
      </c>
      <c r="T87" s="69">
        <v>418338590</v>
      </c>
      <c r="U87" s="83" t="s">
        <v>58</v>
      </c>
      <c r="V87" s="83">
        <v>0</v>
      </c>
      <c r="W87" s="72">
        <v>1</v>
      </c>
      <c r="X87" s="61" t="s">
        <v>59</v>
      </c>
      <c r="Z87" s="85" t="s">
        <v>540</v>
      </c>
      <c r="AA87" s="74"/>
      <c r="AB87" s="61" t="s">
        <v>541</v>
      </c>
    </row>
    <row r="88" spans="1:28" s="61" customFormat="1" ht="15" customHeight="1" x14ac:dyDescent="0.3">
      <c r="A88" s="61" t="s">
        <v>542</v>
      </c>
      <c r="B88" s="67" t="s">
        <v>35</v>
      </c>
      <c r="C88" s="101" t="s">
        <v>543</v>
      </c>
      <c r="D88" s="101" t="s">
        <v>145</v>
      </c>
      <c r="E88" s="101" t="s">
        <v>544</v>
      </c>
      <c r="F88" s="68">
        <v>64</v>
      </c>
      <c r="G88" s="68">
        <v>4</v>
      </c>
      <c r="H88" s="68">
        <v>8</v>
      </c>
      <c r="I88" s="68">
        <v>12</v>
      </c>
      <c r="J88" s="68">
        <f>Table1[[#This Row],[Memory slot2-GB]]+Table1[[#This Row],[Memory slot1-GB]]</f>
        <v>12</v>
      </c>
      <c r="K88" s="68">
        <v>2</v>
      </c>
      <c r="L88" s="68" t="s">
        <v>52</v>
      </c>
      <c r="M88" s="68" t="s">
        <v>961</v>
      </c>
      <c r="N88" s="67">
        <v>2015</v>
      </c>
      <c r="O88" s="67" t="s">
        <v>536</v>
      </c>
      <c r="P88" s="61" t="s">
        <v>545</v>
      </c>
      <c r="Q88" s="138" t="s">
        <v>546</v>
      </c>
      <c r="R88" s="61" t="s">
        <v>547</v>
      </c>
      <c r="S88" s="61" t="s">
        <v>57</v>
      </c>
      <c r="T88" s="69" t="s">
        <v>548</v>
      </c>
      <c r="U88" s="71" t="s">
        <v>58</v>
      </c>
      <c r="V88" s="71">
        <v>0</v>
      </c>
      <c r="W88" s="72">
        <v>1</v>
      </c>
      <c r="X88" s="61" t="s">
        <v>59</v>
      </c>
      <c r="Z88" s="85" t="s">
        <v>549</v>
      </c>
      <c r="AA88" s="74"/>
    </row>
    <row r="89" spans="1:28" s="61" customFormat="1" ht="15" customHeight="1" x14ac:dyDescent="0.3">
      <c r="A89" s="61" t="s">
        <v>550</v>
      </c>
      <c r="B89" s="67" t="s">
        <v>35</v>
      </c>
      <c r="C89" s="100" t="s">
        <v>551</v>
      </c>
      <c r="D89" s="100"/>
      <c r="E89" s="100" t="s">
        <v>552</v>
      </c>
      <c r="F89" s="79">
        <v>64</v>
      </c>
      <c r="G89" s="79">
        <v>4</v>
      </c>
      <c r="H89" s="79">
        <v>4</v>
      </c>
      <c r="I89" s="79">
        <v>12</v>
      </c>
      <c r="J89" s="79">
        <f>Table1[[#This Row],[Memory slot2-GB]]+Table1[[#This Row],[Memory slot1-GB]]</f>
        <v>8</v>
      </c>
      <c r="K89" s="79">
        <v>2</v>
      </c>
      <c r="L89" s="79" t="s">
        <v>52</v>
      </c>
      <c r="M89" s="79"/>
      <c r="N89" s="61">
        <v>2015</v>
      </c>
      <c r="O89" s="61" t="s">
        <v>536</v>
      </c>
      <c r="P89" s="61" t="s">
        <v>545</v>
      </c>
      <c r="Q89" s="138" t="s">
        <v>553</v>
      </c>
      <c r="R89" s="61" t="s">
        <v>554</v>
      </c>
      <c r="S89" s="61" t="s">
        <v>57</v>
      </c>
      <c r="T89" s="69">
        <v>1025292235</v>
      </c>
      <c r="U89" s="83" t="s">
        <v>58</v>
      </c>
      <c r="V89" s="83">
        <v>0</v>
      </c>
      <c r="W89" s="72">
        <v>1</v>
      </c>
      <c r="X89" s="61" t="s">
        <v>59</v>
      </c>
      <c r="Z89" s="85" t="s">
        <v>555</v>
      </c>
      <c r="AA89" s="74"/>
    </row>
    <row r="90" spans="1:28" s="61" customFormat="1" ht="28.8" x14ac:dyDescent="0.3">
      <c r="A90" s="61" t="s">
        <v>556</v>
      </c>
      <c r="B90" s="67" t="s">
        <v>35</v>
      </c>
      <c r="C90" s="100" t="s">
        <v>557</v>
      </c>
      <c r="D90" s="100" t="s">
        <v>145</v>
      </c>
      <c r="E90" s="100" t="s">
        <v>558</v>
      </c>
      <c r="F90" s="79">
        <v>64</v>
      </c>
      <c r="G90" s="79">
        <v>4</v>
      </c>
      <c r="H90" s="79">
        <v>4</v>
      </c>
      <c r="I90" s="79">
        <v>12</v>
      </c>
      <c r="J90" s="79">
        <f>Table1[[#This Row],[Memory slot2-GB]]+Table1[[#This Row],[Memory slot1-GB]]</f>
        <v>8</v>
      </c>
      <c r="K90" s="79">
        <v>2</v>
      </c>
      <c r="L90" s="79" t="s">
        <v>52</v>
      </c>
      <c r="M90" s="79"/>
      <c r="N90" s="61">
        <v>2015</v>
      </c>
      <c r="O90" s="61" t="s">
        <v>536</v>
      </c>
      <c r="P90" s="61" t="s">
        <v>559</v>
      </c>
      <c r="Q90" s="138" t="s">
        <v>560</v>
      </c>
      <c r="R90" s="61" t="s">
        <v>561</v>
      </c>
      <c r="S90" s="61" t="s">
        <v>562</v>
      </c>
      <c r="T90" s="69" t="s">
        <v>563</v>
      </c>
      <c r="U90" s="83" t="s">
        <v>58</v>
      </c>
      <c r="V90" s="83">
        <v>0</v>
      </c>
      <c r="W90" s="72">
        <v>1</v>
      </c>
      <c r="X90" s="61" t="s">
        <v>59</v>
      </c>
      <c r="Z90" s="85" t="s">
        <v>478</v>
      </c>
      <c r="AA90" s="74"/>
    </row>
    <row r="91" spans="1:28" s="61" customFormat="1" ht="15" customHeight="1" x14ac:dyDescent="0.3">
      <c r="A91" s="61" t="s">
        <v>564</v>
      </c>
      <c r="B91" s="67" t="s">
        <v>35</v>
      </c>
      <c r="C91" s="100" t="s">
        <v>565</v>
      </c>
      <c r="D91" s="100"/>
      <c r="E91" s="100" t="s">
        <v>566</v>
      </c>
      <c r="F91" s="79">
        <v>64</v>
      </c>
      <c r="G91" s="79">
        <v>4</v>
      </c>
      <c r="H91" s="79">
        <v>4</v>
      </c>
      <c r="I91" s="79">
        <v>12</v>
      </c>
      <c r="J91" s="79">
        <f>Table1[[#This Row],[Memory slot2-GB]]+Table1[[#This Row],[Memory slot1-GB]]</f>
        <v>8</v>
      </c>
      <c r="K91" s="79">
        <v>2</v>
      </c>
      <c r="L91" s="79" t="s">
        <v>52</v>
      </c>
      <c r="M91" s="79"/>
      <c r="N91" s="61">
        <v>2015</v>
      </c>
      <c r="O91" s="61" t="s">
        <v>536</v>
      </c>
      <c r="P91" s="61" t="s">
        <v>559</v>
      </c>
      <c r="Q91" s="138" t="s">
        <v>567</v>
      </c>
      <c r="R91" s="61" t="s">
        <v>568</v>
      </c>
      <c r="S91" s="61" t="s">
        <v>57</v>
      </c>
      <c r="T91" s="69">
        <v>1010004543</v>
      </c>
      <c r="U91" s="83" t="s">
        <v>58</v>
      </c>
      <c r="V91" s="83">
        <v>0</v>
      </c>
      <c r="W91" s="72">
        <v>1</v>
      </c>
      <c r="X91" s="61" t="s">
        <v>59</v>
      </c>
      <c r="Z91" s="85" t="s">
        <v>569</v>
      </c>
      <c r="AA91" s="74"/>
    </row>
    <row r="92" spans="1:28" s="61" customFormat="1" ht="15" customHeight="1" x14ac:dyDescent="0.3">
      <c r="A92" s="61" t="s">
        <v>570</v>
      </c>
      <c r="B92" s="67" t="s">
        <v>35</v>
      </c>
      <c r="C92" s="101" t="s">
        <v>571</v>
      </c>
      <c r="D92" s="101" t="s">
        <v>145</v>
      </c>
      <c r="E92" s="101" t="s">
        <v>572</v>
      </c>
      <c r="F92" s="68">
        <v>64</v>
      </c>
      <c r="G92" s="68">
        <v>4</v>
      </c>
      <c r="H92" s="68">
        <v>8</v>
      </c>
      <c r="I92" s="68">
        <v>12</v>
      </c>
      <c r="J92" s="68">
        <f>Table1[[#This Row],[Memory slot2-GB]]+Table1[[#This Row],[Memory slot1-GB]]</f>
        <v>12</v>
      </c>
      <c r="K92" s="68">
        <v>2</v>
      </c>
      <c r="L92" s="68" t="s">
        <v>52</v>
      </c>
      <c r="M92" s="68" t="s">
        <v>573</v>
      </c>
      <c r="N92" s="61">
        <v>2015</v>
      </c>
      <c r="O92" s="61" t="s">
        <v>536</v>
      </c>
      <c r="P92" s="61" t="s">
        <v>545</v>
      </c>
      <c r="Q92" s="138" t="s">
        <v>574</v>
      </c>
      <c r="R92" s="61" t="s">
        <v>575</v>
      </c>
      <c r="S92" s="61" t="s">
        <v>57</v>
      </c>
      <c r="T92" s="69">
        <v>467847020</v>
      </c>
      <c r="U92" s="71" t="s">
        <v>58</v>
      </c>
      <c r="V92" s="71">
        <v>0</v>
      </c>
      <c r="W92" s="72">
        <v>1</v>
      </c>
      <c r="Z92" s="85" t="s">
        <v>576</v>
      </c>
      <c r="AA92" s="74"/>
    </row>
    <row r="93" spans="1:28" s="61" customFormat="1" ht="15" customHeight="1" x14ac:dyDescent="0.3">
      <c r="A93" s="61" t="s">
        <v>577</v>
      </c>
      <c r="B93" s="67" t="s">
        <v>35</v>
      </c>
      <c r="C93" s="100" t="s">
        <v>577</v>
      </c>
      <c r="D93" s="100"/>
      <c r="E93" s="100" t="s">
        <v>578</v>
      </c>
      <c r="F93" s="79">
        <v>64</v>
      </c>
      <c r="G93" s="79">
        <v>4</v>
      </c>
      <c r="H93" s="79">
        <v>4</v>
      </c>
      <c r="I93" s="79">
        <v>12</v>
      </c>
      <c r="J93" s="79">
        <f>Table1[[#This Row],[Memory slot2-GB]]+Table1[[#This Row],[Memory slot1-GB]]</f>
        <v>8</v>
      </c>
      <c r="K93" s="79">
        <v>2</v>
      </c>
      <c r="L93" s="79" t="s">
        <v>52</v>
      </c>
      <c r="M93" s="79"/>
      <c r="O93" s="61" t="s">
        <v>536</v>
      </c>
      <c r="P93" s="61" t="s">
        <v>579</v>
      </c>
      <c r="Q93" s="138" t="s">
        <v>580</v>
      </c>
      <c r="R93" s="61" t="s">
        <v>581</v>
      </c>
      <c r="S93" s="61" t="s">
        <v>57</v>
      </c>
      <c r="T93" s="69">
        <v>1058284048</v>
      </c>
      <c r="U93" s="83" t="s">
        <v>58</v>
      </c>
      <c r="V93" s="83">
        <v>0</v>
      </c>
      <c r="W93" s="72">
        <v>1</v>
      </c>
      <c r="X93" s="61" t="s">
        <v>59</v>
      </c>
      <c r="Z93" s="85" t="s">
        <v>582</v>
      </c>
      <c r="AA93" s="74"/>
    </row>
    <row r="94" spans="1:28" s="62" customFormat="1" ht="15" customHeight="1" x14ac:dyDescent="0.3">
      <c r="A94" s="62" t="s">
        <v>583</v>
      </c>
      <c r="B94" s="93" t="s">
        <v>35</v>
      </c>
      <c r="C94" s="100" t="s">
        <v>583</v>
      </c>
      <c r="D94" s="100" t="s">
        <v>145</v>
      </c>
      <c r="E94" s="100" t="s">
        <v>584</v>
      </c>
      <c r="F94" s="79">
        <v>64</v>
      </c>
      <c r="G94" s="79">
        <v>4</v>
      </c>
      <c r="H94" s="79">
        <v>0</v>
      </c>
      <c r="I94" s="79">
        <v>12</v>
      </c>
      <c r="J94" s="79">
        <f>Table1[[#This Row],[Memory slot2-GB]]+Table1[[#This Row],[Memory slot1-GB]]</f>
        <v>4</v>
      </c>
      <c r="K94" s="79">
        <v>2</v>
      </c>
      <c r="L94" s="79" t="s">
        <v>52</v>
      </c>
      <c r="M94" s="79"/>
      <c r="N94" s="62">
        <v>2015</v>
      </c>
      <c r="O94" s="62" t="s">
        <v>536</v>
      </c>
      <c r="P94" s="62" t="s">
        <v>559</v>
      </c>
      <c r="Q94" s="63" t="s">
        <v>585</v>
      </c>
      <c r="S94" s="62" t="s">
        <v>57</v>
      </c>
      <c r="T94" s="95">
        <v>1619053744</v>
      </c>
      <c r="U94" s="83" t="s">
        <v>58</v>
      </c>
      <c r="V94" s="84">
        <v>0</v>
      </c>
      <c r="W94" s="72">
        <v>1</v>
      </c>
      <c r="Z94" s="73" t="s">
        <v>586</v>
      </c>
      <c r="AA94" s="96"/>
    </row>
    <row r="95" spans="1:28" s="61" customFormat="1" ht="16.2" customHeight="1" x14ac:dyDescent="0.3">
      <c r="A95" s="61" t="s">
        <v>587</v>
      </c>
      <c r="B95" s="67" t="s">
        <v>35</v>
      </c>
      <c r="C95" s="100" t="s">
        <v>588</v>
      </c>
      <c r="D95" s="100"/>
      <c r="E95" s="100" t="s">
        <v>589</v>
      </c>
      <c r="F95" s="79">
        <v>64</v>
      </c>
      <c r="G95" s="79">
        <v>4</v>
      </c>
      <c r="H95" s="79">
        <v>4</v>
      </c>
      <c r="I95" s="79">
        <v>12</v>
      </c>
      <c r="J95" s="79">
        <f>Table1[[#This Row],[Memory slot2-GB]]+Table1[[#This Row],[Memory slot1-GB]]</f>
        <v>8</v>
      </c>
      <c r="K95" s="79">
        <v>2</v>
      </c>
      <c r="L95" s="79" t="s">
        <v>52</v>
      </c>
      <c r="M95" s="79"/>
      <c r="N95" s="61">
        <v>2015</v>
      </c>
      <c r="O95" s="61" t="s">
        <v>536</v>
      </c>
      <c r="P95" s="61" t="s">
        <v>545</v>
      </c>
      <c r="Q95" s="138" t="s">
        <v>590</v>
      </c>
      <c r="R95" s="85" t="s">
        <v>591</v>
      </c>
      <c r="S95" s="61" t="s">
        <v>57</v>
      </c>
      <c r="T95" s="69" t="s">
        <v>592</v>
      </c>
      <c r="U95" s="83" t="s">
        <v>58</v>
      </c>
      <c r="V95" s="83">
        <v>0</v>
      </c>
      <c r="W95" s="83">
        <v>0</v>
      </c>
      <c r="Z95" s="85" t="s">
        <v>593</v>
      </c>
      <c r="AA95" s="74"/>
    </row>
    <row r="96" spans="1:28" s="61" customFormat="1" ht="14.25" customHeight="1" x14ac:dyDescent="0.3">
      <c r="A96" s="61" t="s">
        <v>594</v>
      </c>
      <c r="B96" s="67" t="s">
        <v>35</v>
      </c>
      <c r="C96" s="100" t="s">
        <v>490</v>
      </c>
      <c r="D96" s="100"/>
      <c r="E96" s="100"/>
      <c r="F96" s="79">
        <v>64</v>
      </c>
      <c r="G96" s="79">
        <v>4</v>
      </c>
      <c r="H96" s="79">
        <v>4</v>
      </c>
      <c r="I96" s="79">
        <v>12</v>
      </c>
      <c r="J96" s="79">
        <f>Table1[[#This Row],[Memory slot2-GB]]+Table1[[#This Row],[Memory slot1-GB]]</f>
        <v>8</v>
      </c>
      <c r="K96" s="79">
        <v>2</v>
      </c>
      <c r="L96" s="79" t="s">
        <v>52</v>
      </c>
      <c r="M96" s="79"/>
      <c r="N96" s="61">
        <v>2015</v>
      </c>
      <c r="O96" s="61" t="s">
        <v>536</v>
      </c>
      <c r="P96" s="61" t="s">
        <v>559</v>
      </c>
      <c r="Q96" s="138" t="s">
        <v>595</v>
      </c>
      <c r="R96" s="61" t="s">
        <v>596</v>
      </c>
      <c r="S96" s="61" t="s">
        <v>57</v>
      </c>
      <c r="T96" s="69">
        <v>795654090</v>
      </c>
      <c r="U96" s="83" t="s">
        <v>58</v>
      </c>
      <c r="V96" s="83">
        <v>0</v>
      </c>
      <c r="W96" s="72">
        <v>1</v>
      </c>
      <c r="X96" s="61" t="s">
        <v>59</v>
      </c>
      <c r="Z96" s="85" t="s">
        <v>597</v>
      </c>
      <c r="AA96" s="74"/>
    </row>
    <row r="97" spans="1:27" s="61" customFormat="1" ht="15" customHeight="1" x14ac:dyDescent="0.3">
      <c r="A97" s="61" t="s">
        <v>598</v>
      </c>
      <c r="B97" s="67" t="s">
        <v>35</v>
      </c>
      <c r="C97" s="100" t="s">
        <v>599</v>
      </c>
      <c r="D97" s="100" t="s">
        <v>145</v>
      </c>
      <c r="E97" s="100" t="s">
        <v>600</v>
      </c>
      <c r="F97" s="79">
        <v>64</v>
      </c>
      <c r="G97" s="79">
        <v>4</v>
      </c>
      <c r="H97" s="79">
        <v>4</v>
      </c>
      <c r="I97" s="79" t="str">
        <f>IF(OR(O97={"T410","T420","T400"}), "8", "16")</f>
        <v>16</v>
      </c>
      <c r="J97" s="79">
        <f>Table1[[#This Row],[Memory slot2-GB]]+Table1[[#This Row],[Memory slot1-GB]]</f>
        <v>8</v>
      </c>
      <c r="K97" s="79">
        <v>2</v>
      </c>
      <c r="L97" s="79" t="s">
        <v>89</v>
      </c>
      <c r="M97" s="79"/>
      <c r="N97" s="61">
        <v>2013</v>
      </c>
      <c r="O97" s="61" t="s">
        <v>104</v>
      </c>
      <c r="P97" s="61" t="s">
        <v>484</v>
      </c>
      <c r="Q97" s="138" t="s">
        <v>601</v>
      </c>
      <c r="R97" s="61" t="s">
        <v>602</v>
      </c>
      <c r="S97" s="61" t="s">
        <v>57</v>
      </c>
      <c r="T97" s="69">
        <v>973683730</v>
      </c>
      <c r="U97" s="83" t="s">
        <v>58</v>
      </c>
      <c r="V97" s="83">
        <v>0</v>
      </c>
      <c r="W97" s="72">
        <v>1</v>
      </c>
      <c r="X97" s="61" t="s">
        <v>59</v>
      </c>
      <c r="Z97" s="85"/>
      <c r="AA97" s="74" t="s">
        <v>603</v>
      </c>
    </row>
    <row r="98" spans="1:27" s="61" customFormat="1" ht="15" customHeight="1" x14ac:dyDescent="0.3">
      <c r="A98" s="61" t="s">
        <v>604</v>
      </c>
      <c r="B98" s="67" t="s">
        <v>35</v>
      </c>
      <c r="C98" s="100" t="s">
        <v>605</v>
      </c>
      <c r="D98" s="100" t="s">
        <v>145</v>
      </c>
      <c r="E98" s="100" t="s">
        <v>606</v>
      </c>
      <c r="F98" s="79">
        <v>64</v>
      </c>
      <c r="G98" s="79">
        <v>4</v>
      </c>
      <c r="H98" s="79">
        <v>4</v>
      </c>
      <c r="I98" s="79" t="str">
        <f>IF(OR(O98={"T410","T420","T400"}), "8", "16")</f>
        <v>16</v>
      </c>
      <c r="J98" s="79">
        <f>Table1[[#This Row],[Memory slot2-GB]]+Table1[[#This Row],[Memory slot1-GB]]</f>
        <v>8</v>
      </c>
      <c r="K98" s="79">
        <v>2</v>
      </c>
      <c r="L98" s="79" t="s">
        <v>89</v>
      </c>
      <c r="M98" s="79"/>
      <c r="N98" s="61">
        <v>2015</v>
      </c>
      <c r="O98" s="61" t="s">
        <v>104</v>
      </c>
      <c r="P98" s="61" t="s">
        <v>484</v>
      </c>
      <c r="Q98" s="138" t="s">
        <v>607</v>
      </c>
      <c r="R98" s="61" t="s">
        <v>608</v>
      </c>
      <c r="S98" s="61" t="s">
        <v>57</v>
      </c>
      <c r="T98" s="69">
        <v>973708330</v>
      </c>
      <c r="U98" s="83" t="s">
        <v>58</v>
      </c>
      <c r="V98" s="83">
        <v>0</v>
      </c>
      <c r="W98" s="72">
        <v>1</v>
      </c>
      <c r="X98" s="61" t="s">
        <v>59</v>
      </c>
      <c r="Z98" s="85"/>
      <c r="AA98" s="74" t="s">
        <v>603</v>
      </c>
    </row>
    <row r="99" spans="1:27" ht="15" customHeight="1" x14ac:dyDescent="0.3">
      <c r="A99" s="57" t="s">
        <v>609</v>
      </c>
      <c r="B99" s="78" t="s">
        <v>35</v>
      </c>
      <c r="C99" s="78"/>
      <c r="D99" s="78"/>
      <c r="E99" s="78"/>
      <c r="F99" s="79"/>
      <c r="G99" s="79"/>
      <c r="H99" s="79"/>
      <c r="I99" s="79" t="str">
        <f>IF(OR(O99={"T410","T420","T400"}), "Y", "N")</f>
        <v>Y</v>
      </c>
      <c r="J99" s="79">
        <f>Table1[[#This Row],[Memory slot2-GB]]+Table1[[#This Row],[Memory slot1-GB]]</f>
        <v>0</v>
      </c>
      <c r="K99" s="79"/>
      <c r="L99" s="79"/>
      <c r="M99" s="79"/>
      <c r="N99" s="139">
        <v>40787</v>
      </c>
      <c r="O99" s="57" t="s">
        <v>91</v>
      </c>
      <c r="P99" s="57" t="s">
        <v>610</v>
      </c>
      <c r="Q99" s="58" t="s">
        <v>611</v>
      </c>
      <c r="S99" s="62" t="s">
        <v>71</v>
      </c>
      <c r="T99" s="80"/>
      <c r="U99" s="81" t="s">
        <v>47</v>
      </c>
      <c r="V99" s="81">
        <v>0</v>
      </c>
      <c r="W99" s="82">
        <v>0</v>
      </c>
      <c r="X99" s="57"/>
      <c r="Z99" s="59" t="s">
        <v>48</v>
      </c>
      <c r="AA99" s="60"/>
    </row>
    <row r="100" spans="1:27" ht="15" customHeight="1" x14ac:dyDescent="0.3">
      <c r="A100" s="57" t="s">
        <v>612</v>
      </c>
      <c r="B100" s="78" t="s">
        <v>35</v>
      </c>
      <c r="C100" s="78"/>
      <c r="D100" s="78"/>
      <c r="E100" s="78"/>
      <c r="F100" s="79"/>
      <c r="G100" s="79"/>
      <c r="H100" s="79"/>
      <c r="I100" s="79" t="str">
        <f>IF(OR(O100={"T410","T420","T400"}), "Y", "N")</f>
        <v>Y</v>
      </c>
      <c r="J100" s="79">
        <f>Table1[[#This Row],[Memory slot2-GB]]+Table1[[#This Row],[Memory slot1-GB]]</f>
        <v>0</v>
      </c>
      <c r="K100" s="79"/>
      <c r="L100" s="79"/>
      <c r="M100" s="79"/>
      <c r="N100" s="140">
        <v>40231</v>
      </c>
      <c r="O100" s="57" t="s">
        <v>218</v>
      </c>
      <c r="P100" s="57" t="s">
        <v>219</v>
      </c>
      <c r="Q100" s="58" t="s">
        <v>613</v>
      </c>
      <c r="S100" s="62" t="s">
        <v>71</v>
      </c>
      <c r="T100" s="80"/>
      <c r="U100" s="83" t="s">
        <v>58</v>
      </c>
      <c r="V100" s="83">
        <v>0</v>
      </c>
      <c r="W100" s="72">
        <v>0</v>
      </c>
      <c r="X100" s="57"/>
      <c r="Z100" s="141" t="s">
        <v>614</v>
      </c>
      <c r="AA100" s="60"/>
    </row>
    <row r="101" spans="1:27" ht="15" customHeight="1" x14ac:dyDescent="0.3">
      <c r="A101" s="57" t="s">
        <v>615</v>
      </c>
      <c r="B101" s="78" t="s">
        <v>35</v>
      </c>
      <c r="C101" s="100" t="s">
        <v>616</v>
      </c>
      <c r="D101" s="100"/>
      <c r="E101" s="100"/>
      <c r="F101" s="79"/>
      <c r="G101" s="79"/>
      <c r="H101" s="79"/>
      <c r="I101" s="79" t="str">
        <f>IF(OR(O101={"T410","T420","T400"}), "8", "16")</f>
        <v>8</v>
      </c>
      <c r="J101" s="79">
        <f>Table1[[#This Row],[Memory slot2-GB]]+Table1[[#This Row],[Memory slot1-GB]]</f>
        <v>0</v>
      </c>
      <c r="K101" s="79">
        <v>0</v>
      </c>
      <c r="L101" s="79" t="s">
        <v>89</v>
      </c>
      <c r="M101" s="79"/>
      <c r="N101" s="57">
        <v>2011</v>
      </c>
      <c r="O101" s="57" t="s">
        <v>36</v>
      </c>
      <c r="P101" s="57" t="s">
        <v>617</v>
      </c>
      <c r="Q101" s="58" t="s">
        <v>618</v>
      </c>
      <c r="R101" s="57" t="s">
        <v>619</v>
      </c>
      <c r="S101" s="61" t="s">
        <v>57</v>
      </c>
      <c r="T101" s="80"/>
      <c r="U101" s="83" t="s">
        <v>58</v>
      </c>
      <c r="V101" s="83">
        <v>0</v>
      </c>
      <c r="W101" s="72">
        <v>1</v>
      </c>
      <c r="X101" s="57"/>
      <c r="Z101" s="57" t="s">
        <v>619</v>
      </c>
      <c r="AA101" s="60"/>
    </row>
    <row r="102" spans="1:27" s="62" customFormat="1" ht="15" customHeight="1" x14ac:dyDescent="0.3">
      <c r="A102" s="62" t="s">
        <v>620</v>
      </c>
      <c r="B102" s="93" t="s">
        <v>35</v>
      </c>
      <c r="C102" s="100" t="s">
        <v>620</v>
      </c>
      <c r="D102" s="100"/>
      <c r="E102" s="100" t="s">
        <v>621</v>
      </c>
      <c r="F102" s="79">
        <v>64</v>
      </c>
      <c r="G102" s="79">
        <v>4</v>
      </c>
      <c r="H102" s="79">
        <v>0</v>
      </c>
      <c r="I102" s="79">
        <v>12</v>
      </c>
      <c r="J102" s="79">
        <v>12</v>
      </c>
      <c r="K102" s="79">
        <v>2</v>
      </c>
      <c r="L102" s="79" t="s">
        <v>52</v>
      </c>
      <c r="M102" s="79" t="s">
        <v>960</v>
      </c>
      <c r="N102" s="62">
        <v>2015</v>
      </c>
      <c r="O102" s="62" t="s">
        <v>536</v>
      </c>
      <c r="P102" s="62" t="s">
        <v>622</v>
      </c>
      <c r="Q102" s="63" t="s">
        <v>623</v>
      </c>
      <c r="S102" s="62" t="s">
        <v>57</v>
      </c>
      <c r="T102" s="95">
        <v>1060148270</v>
      </c>
      <c r="U102" s="83" t="s">
        <v>58</v>
      </c>
      <c r="V102" s="83">
        <v>0</v>
      </c>
      <c r="W102" s="72">
        <v>1</v>
      </c>
      <c r="Z102" s="73" t="s">
        <v>624</v>
      </c>
      <c r="AA102" s="96"/>
    </row>
    <row r="103" spans="1:27" s="61" customFormat="1" ht="15" customHeight="1" x14ac:dyDescent="0.3">
      <c r="A103" s="61" t="s">
        <v>625</v>
      </c>
      <c r="B103" s="67" t="s">
        <v>35</v>
      </c>
      <c r="C103" s="100" t="s">
        <v>626</v>
      </c>
      <c r="D103" s="100" t="s">
        <v>145</v>
      </c>
      <c r="E103" s="100" t="s">
        <v>627</v>
      </c>
      <c r="F103" s="79">
        <v>64</v>
      </c>
      <c r="G103" s="79">
        <v>4</v>
      </c>
      <c r="H103" s="79">
        <v>8</v>
      </c>
      <c r="I103" s="79">
        <v>12</v>
      </c>
      <c r="J103" s="79">
        <f>Table1[[#This Row],[Memory slot2-GB]]+Table1[[#This Row],[Memory slot1-GB]]</f>
        <v>12</v>
      </c>
      <c r="K103" s="79">
        <v>1</v>
      </c>
      <c r="L103" s="79" t="s">
        <v>52</v>
      </c>
      <c r="M103" s="79"/>
      <c r="N103" s="61">
        <v>2015</v>
      </c>
      <c r="O103" s="61" t="s">
        <v>536</v>
      </c>
      <c r="P103" s="61" t="s">
        <v>622</v>
      </c>
      <c r="Q103" s="138" t="s">
        <v>628</v>
      </c>
      <c r="R103" s="61" t="s">
        <v>629</v>
      </c>
      <c r="S103" s="61" t="s">
        <v>57</v>
      </c>
      <c r="T103" s="69">
        <v>1641649886</v>
      </c>
      <c r="U103" s="83" t="s">
        <v>58</v>
      </c>
      <c r="V103" s="83">
        <v>0</v>
      </c>
      <c r="W103" s="72">
        <v>1</v>
      </c>
      <c r="X103" s="61" t="s">
        <v>59</v>
      </c>
      <c r="Z103" s="85"/>
      <c r="AA103" s="74"/>
    </row>
    <row r="104" spans="1:27" s="61" customFormat="1" ht="15" customHeight="1" x14ac:dyDescent="0.3">
      <c r="A104" s="61" t="s">
        <v>630</v>
      </c>
      <c r="B104" s="67" t="s">
        <v>35</v>
      </c>
      <c r="C104" s="100" t="s">
        <v>631</v>
      </c>
      <c r="D104" s="100" t="s">
        <v>145</v>
      </c>
      <c r="E104" s="100" t="s">
        <v>632</v>
      </c>
      <c r="F104" s="79">
        <v>64</v>
      </c>
      <c r="G104" s="79">
        <v>4</v>
      </c>
      <c r="H104" s="79">
        <v>8</v>
      </c>
      <c r="I104" s="79">
        <v>12</v>
      </c>
      <c r="J104" s="79">
        <f>Table1[[#This Row],[Memory slot2-GB]]+Table1[[#This Row],[Memory slot1-GB]]</f>
        <v>12</v>
      </c>
      <c r="K104" s="79">
        <v>1</v>
      </c>
      <c r="L104" s="79" t="s">
        <v>52</v>
      </c>
      <c r="M104" s="79"/>
      <c r="N104" s="61">
        <v>2015</v>
      </c>
      <c r="O104" s="61" t="s">
        <v>536</v>
      </c>
      <c r="P104" s="61" t="s">
        <v>622</v>
      </c>
      <c r="Q104" s="138" t="s">
        <v>633</v>
      </c>
      <c r="R104" s="61" t="s">
        <v>634</v>
      </c>
      <c r="S104" s="61" t="s">
        <v>57</v>
      </c>
      <c r="T104" s="69">
        <v>191737979</v>
      </c>
      <c r="U104" s="83" t="s">
        <v>58</v>
      </c>
      <c r="V104" s="83">
        <v>0</v>
      </c>
      <c r="W104" s="72">
        <v>1</v>
      </c>
      <c r="X104" s="61" t="s">
        <v>59</v>
      </c>
      <c r="Z104" s="85" t="s">
        <v>634</v>
      </c>
      <c r="AA104" s="74"/>
    </row>
    <row r="105" spans="1:27" s="61" customFormat="1" ht="15" customHeight="1" x14ac:dyDescent="0.3">
      <c r="A105" s="61" t="s">
        <v>635</v>
      </c>
      <c r="B105" s="67" t="s">
        <v>35</v>
      </c>
      <c r="C105" s="100" t="s">
        <v>636</v>
      </c>
      <c r="D105" s="100" t="s">
        <v>145</v>
      </c>
      <c r="E105" s="100" t="s">
        <v>637</v>
      </c>
      <c r="F105" s="79">
        <v>64</v>
      </c>
      <c r="G105" s="79">
        <v>4</v>
      </c>
      <c r="H105" s="79">
        <v>8</v>
      </c>
      <c r="I105" s="79">
        <v>12</v>
      </c>
      <c r="J105" s="79">
        <f>Table1[[#This Row],[Memory slot2-GB]]+Table1[[#This Row],[Memory slot1-GB]]</f>
        <v>12</v>
      </c>
      <c r="K105" s="79">
        <v>1</v>
      </c>
      <c r="L105" s="79" t="s">
        <v>52</v>
      </c>
      <c r="M105" s="79"/>
      <c r="N105" s="61">
        <v>2015</v>
      </c>
      <c r="O105" s="61" t="s">
        <v>536</v>
      </c>
      <c r="P105" s="61" t="s">
        <v>622</v>
      </c>
      <c r="Q105" s="138" t="s">
        <v>638</v>
      </c>
      <c r="R105" s="61" t="s">
        <v>639</v>
      </c>
      <c r="S105" s="61" t="s">
        <v>57</v>
      </c>
      <c r="T105" s="69">
        <v>191952282</v>
      </c>
      <c r="U105" s="83" t="s">
        <v>58</v>
      </c>
      <c r="V105" s="83">
        <v>0</v>
      </c>
      <c r="W105" s="142">
        <v>0</v>
      </c>
      <c r="X105" s="61" t="s">
        <v>59</v>
      </c>
      <c r="Z105" s="85" t="s">
        <v>639</v>
      </c>
      <c r="AA105" s="74"/>
    </row>
    <row r="106" spans="1:27" s="62" customFormat="1" ht="15" customHeight="1" x14ac:dyDescent="0.3">
      <c r="A106" s="61" t="s">
        <v>640</v>
      </c>
      <c r="B106" s="67" t="s">
        <v>35</v>
      </c>
      <c r="C106" s="100" t="s">
        <v>641</v>
      </c>
      <c r="D106" s="100" t="s">
        <v>145</v>
      </c>
      <c r="E106" s="100" t="s">
        <v>642</v>
      </c>
      <c r="F106" s="79">
        <v>64</v>
      </c>
      <c r="G106" s="79">
        <v>4</v>
      </c>
      <c r="H106" s="79">
        <v>8</v>
      </c>
      <c r="I106" s="79">
        <v>12</v>
      </c>
      <c r="J106" s="79">
        <f>Table1[[#This Row],[Memory slot2-GB]]+Table1[[#This Row],[Memory slot1-GB]]</f>
        <v>12</v>
      </c>
      <c r="K106" s="79">
        <v>1</v>
      </c>
      <c r="L106" s="79" t="s">
        <v>52</v>
      </c>
      <c r="M106" s="79"/>
      <c r="N106" s="61">
        <v>2015</v>
      </c>
      <c r="O106" s="61" t="s">
        <v>536</v>
      </c>
      <c r="P106" s="61" t="s">
        <v>622</v>
      </c>
      <c r="Q106" s="138" t="s">
        <v>643</v>
      </c>
      <c r="R106" s="61" t="s">
        <v>644</v>
      </c>
      <c r="S106" s="61" t="s">
        <v>57</v>
      </c>
      <c r="T106" s="95">
        <v>821641606</v>
      </c>
      <c r="U106" s="83" t="s">
        <v>58</v>
      </c>
      <c r="V106" s="83">
        <v>0</v>
      </c>
      <c r="W106" s="72">
        <v>1</v>
      </c>
      <c r="X106" s="61" t="s">
        <v>59</v>
      </c>
      <c r="Z106" s="73" t="s">
        <v>645</v>
      </c>
      <c r="AA106" s="96" t="s">
        <v>646</v>
      </c>
    </row>
    <row r="107" spans="1:27" s="61" customFormat="1" ht="15" customHeight="1" x14ac:dyDescent="0.3">
      <c r="A107" s="61" t="s">
        <v>647</v>
      </c>
      <c r="B107" s="67" t="s">
        <v>35</v>
      </c>
      <c r="C107" s="100" t="s">
        <v>648</v>
      </c>
      <c r="D107" s="100" t="s">
        <v>145</v>
      </c>
      <c r="E107" s="100" t="s">
        <v>649</v>
      </c>
      <c r="F107" s="79">
        <v>64</v>
      </c>
      <c r="G107" s="79">
        <v>4</v>
      </c>
      <c r="H107" s="79">
        <v>8</v>
      </c>
      <c r="I107" s="79">
        <v>12</v>
      </c>
      <c r="J107" s="79">
        <f>Table1[[#This Row],[Memory slot2-GB]]+Table1[[#This Row],[Memory slot1-GB]]</f>
        <v>12</v>
      </c>
      <c r="K107" s="79">
        <v>1</v>
      </c>
      <c r="L107" s="79" t="s">
        <v>52</v>
      </c>
      <c r="M107" s="79"/>
      <c r="N107" s="61">
        <v>2015</v>
      </c>
      <c r="O107" s="61" t="s">
        <v>536</v>
      </c>
      <c r="P107" s="61" t="s">
        <v>622</v>
      </c>
      <c r="Q107" s="138" t="s">
        <v>650</v>
      </c>
      <c r="R107" s="61" t="s">
        <v>343</v>
      </c>
      <c r="S107" s="61" t="s">
        <v>57</v>
      </c>
      <c r="T107" s="69">
        <v>191954100</v>
      </c>
      <c r="U107" s="83" t="s">
        <v>58</v>
      </c>
      <c r="V107" s="83">
        <v>0</v>
      </c>
      <c r="W107" s="72">
        <v>1</v>
      </c>
      <c r="X107" s="61" t="s">
        <v>59</v>
      </c>
      <c r="Z107" s="85" t="s">
        <v>651</v>
      </c>
      <c r="AA107" s="74"/>
    </row>
    <row r="108" spans="1:27" ht="15" customHeight="1" x14ac:dyDescent="0.3">
      <c r="A108" s="57" t="s">
        <v>652</v>
      </c>
      <c r="B108" s="78" t="s">
        <v>35</v>
      </c>
      <c r="C108" s="100" t="s">
        <v>653</v>
      </c>
      <c r="D108" s="100" t="s">
        <v>145</v>
      </c>
      <c r="E108" s="100" t="s">
        <v>654</v>
      </c>
      <c r="F108" s="79">
        <v>64</v>
      </c>
      <c r="G108" s="79">
        <v>4</v>
      </c>
      <c r="H108" s="79">
        <v>4</v>
      </c>
      <c r="I108" s="79">
        <v>12</v>
      </c>
      <c r="J108" s="79">
        <f>Table1[[#This Row],[Memory slot2-GB]]+Table1[[#This Row],[Memory slot1-GB]]</f>
        <v>8</v>
      </c>
      <c r="K108" s="79">
        <v>2</v>
      </c>
      <c r="L108" s="79" t="s">
        <v>52</v>
      </c>
      <c r="M108" s="79"/>
      <c r="N108" s="57">
        <v>2015</v>
      </c>
      <c r="O108" s="57" t="s">
        <v>536</v>
      </c>
      <c r="P108" s="57" t="s">
        <v>622</v>
      </c>
      <c r="Q108" s="58" t="s">
        <v>655</v>
      </c>
      <c r="R108" s="57" t="s">
        <v>656</v>
      </c>
      <c r="S108" s="57" t="s">
        <v>57</v>
      </c>
      <c r="T108" s="80"/>
      <c r="U108" s="83" t="s">
        <v>58</v>
      </c>
      <c r="V108" s="83">
        <v>0</v>
      </c>
      <c r="W108" s="72">
        <v>1</v>
      </c>
      <c r="X108" s="57" t="s">
        <v>657</v>
      </c>
      <c r="Z108" s="59"/>
      <c r="AA108" s="60"/>
    </row>
    <row r="109" spans="1:27" s="61" customFormat="1" ht="15" customHeight="1" x14ac:dyDescent="0.3">
      <c r="A109" s="61" t="s">
        <v>658</v>
      </c>
      <c r="B109" s="67" t="s">
        <v>35</v>
      </c>
      <c r="C109" s="101" t="s">
        <v>659</v>
      </c>
      <c r="D109" s="101" t="s">
        <v>145</v>
      </c>
      <c r="E109" s="101" t="s">
        <v>660</v>
      </c>
      <c r="F109" s="68">
        <v>64</v>
      </c>
      <c r="G109" s="68">
        <v>8</v>
      </c>
      <c r="H109" s="68">
        <v>8</v>
      </c>
      <c r="I109" s="68" t="str">
        <f>IF(OR(O109={"T410","T420","T400"}), "8", "16")</f>
        <v>16</v>
      </c>
      <c r="J109" s="68">
        <f>Table1[[#This Row],[Memory slot2-GB]]+Table1[[#This Row],[Memory slot1-GB]]</f>
        <v>16</v>
      </c>
      <c r="K109" s="68">
        <v>0</v>
      </c>
      <c r="L109" s="68" t="s">
        <v>661</v>
      </c>
      <c r="M109" s="68"/>
      <c r="N109" s="61">
        <v>2018</v>
      </c>
      <c r="O109" s="61" t="s">
        <v>662</v>
      </c>
      <c r="P109" s="61" t="s">
        <v>663</v>
      </c>
      <c r="Q109" s="138" t="s">
        <v>664</v>
      </c>
      <c r="R109" s="61" t="s">
        <v>665</v>
      </c>
      <c r="S109" s="61" t="s">
        <v>57</v>
      </c>
      <c r="T109" s="69">
        <v>589304983</v>
      </c>
      <c r="U109" s="71" t="s">
        <v>58</v>
      </c>
      <c r="V109" s="71">
        <v>0</v>
      </c>
      <c r="W109" s="71">
        <v>0</v>
      </c>
      <c r="X109" s="61" t="s">
        <v>657</v>
      </c>
      <c r="Z109" s="85" t="s">
        <v>666</v>
      </c>
      <c r="AA109" s="74" t="s">
        <v>667</v>
      </c>
    </row>
    <row r="110" spans="1:27" s="61" customFormat="1" ht="15" customHeight="1" x14ac:dyDescent="0.3">
      <c r="A110" s="61" t="s">
        <v>668</v>
      </c>
      <c r="B110" s="67" t="s">
        <v>35</v>
      </c>
      <c r="C110" s="101" t="s">
        <v>669</v>
      </c>
      <c r="D110" s="101" t="s">
        <v>145</v>
      </c>
      <c r="E110" s="101" t="s">
        <v>670</v>
      </c>
      <c r="F110" s="68">
        <v>64</v>
      </c>
      <c r="G110" s="68">
        <v>16</v>
      </c>
      <c r="H110" s="68">
        <v>0</v>
      </c>
      <c r="I110" s="68" t="str">
        <f>IF(OR(O110={"T410","T420","T400"}), "8", "16")</f>
        <v>16</v>
      </c>
      <c r="J110" s="68">
        <f>Table1[[#This Row],[Memory slot2-GB]]+Table1[[#This Row],[Memory slot1-GB]]</f>
        <v>16</v>
      </c>
      <c r="K110" s="68">
        <v>0</v>
      </c>
      <c r="L110" s="68" t="s">
        <v>661</v>
      </c>
      <c r="M110" s="68"/>
      <c r="N110" s="61">
        <v>2018</v>
      </c>
      <c r="O110" s="61" t="s">
        <v>662</v>
      </c>
      <c r="P110" s="61" t="s">
        <v>663</v>
      </c>
      <c r="Q110" s="138" t="s">
        <v>671</v>
      </c>
      <c r="R110" s="61" t="s">
        <v>672</v>
      </c>
      <c r="S110" s="61" t="s">
        <v>57</v>
      </c>
      <c r="T110" s="69">
        <v>765946972</v>
      </c>
      <c r="U110" s="71" t="s">
        <v>58</v>
      </c>
      <c r="V110" s="71">
        <v>0</v>
      </c>
      <c r="W110" s="71">
        <v>0</v>
      </c>
      <c r="X110" s="61" t="s">
        <v>657</v>
      </c>
      <c r="Z110" s="85" t="s">
        <v>673</v>
      </c>
      <c r="AA110" s="74" t="s">
        <v>667</v>
      </c>
    </row>
    <row r="111" spans="1:27" s="61" customFormat="1" ht="15" customHeight="1" x14ac:dyDescent="0.3">
      <c r="A111" s="61" t="s">
        <v>674</v>
      </c>
      <c r="B111" s="67" t="s">
        <v>35</v>
      </c>
      <c r="C111" s="101" t="s">
        <v>675</v>
      </c>
      <c r="D111" s="101" t="s">
        <v>145</v>
      </c>
      <c r="E111" s="101" t="s">
        <v>676</v>
      </c>
      <c r="F111" s="68">
        <v>64</v>
      </c>
      <c r="G111" s="68">
        <v>8</v>
      </c>
      <c r="H111" s="68">
        <v>8</v>
      </c>
      <c r="I111" s="68" t="str">
        <f>IF(OR(O111={"T410","T420","T400"}), "8", "16")</f>
        <v>16</v>
      </c>
      <c r="J111" s="68">
        <f>Table1[[#This Row],[Memory slot2-GB]]+Table1[[#This Row],[Memory slot1-GB]]</f>
        <v>16</v>
      </c>
      <c r="K111" s="68">
        <v>0</v>
      </c>
      <c r="L111" s="68" t="s">
        <v>661</v>
      </c>
      <c r="M111" s="68"/>
      <c r="N111" s="61">
        <v>2018</v>
      </c>
      <c r="O111" s="61" t="s">
        <v>662</v>
      </c>
      <c r="P111" s="61" t="s">
        <v>677</v>
      </c>
      <c r="Q111" s="138" t="s">
        <v>678</v>
      </c>
      <c r="R111" s="61" t="s">
        <v>679</v>
      </c>
      <c r="S111" s="61" t="s">
        <v>57</v>
      </c>
      <c r="T111" s="69">
        <v>763105835</v>
      </c>
      <c r="U111" s="71" t="s">
        <v>58</v>
      </c>
      <c r="V111" s="71">
        <v>0</v>
      </c>
      <c r="W111" s="71">
        <v>1</v>
      </c>
      <c r="X111" s="61" t="s">
        <v>657</v>
      </c>
      <c r="Z111" s="85" t="s">
        <v>680</v>
      </c>
      <c r="AA111" s="74" t="s">
        <v>667</v>
      </c>
    </row>
    <row r="112" spans="1:27" s="61" customFormat="1" ht="15" customHeight="1" x14ac:dyDescent="0.3">
      <c r="A112" s="61" t="s">
        <v>681</v>
      </c>
      <c r="B112" s="67" t="s">
        <v>35</v>
      </c>
      <c r="C112" s="101" t="s">
        <v>682</v>
      </c>
      <c r="D112" s="101"/>
      <c r="E112" s="101" t="s">
        <v>683</v>
      </c>
      <c r="F112" s="68">
        <v>64</v>
      </c>
      <c r="G112" s="68">
        <v>8</v>
      </c>
      <c r="H112" s="68">
        <v>8</v>
      </c>
      <c r="I112" s="68" t="str">
        <f>IF(OR(O112={"T410","T420","T400"}), "8", "16")</f>
        <v>16</v>
      </c>
      <c r="J112" s="68">
        <f>Table1[[#This Row],[Memory slot2-GB]]+Table1[[#This Row],[Memory slot1-GB]]</f>
        <v>16</v>
      </c>
      <c r="K112" s="68">
        <v>0</v>
      </c>
      <c r="L112" s="68" t="s">
        <v>661</v>
      </c>
      <c r="M112" s="68"/>
      <c r="N112" s="61">
        <v>2018</v>
      </c>
      <c r="O112" s="61" t="s">
        <v>662</v>
      </c>
      <c r="P112" s="61" t="s">
        <v>684</v>
      </c>
      <c r="Q112" s="138" t="s">
        <v>685</v>
      </c>
      <c r="R112" s="61" t="s">
        <v>686</v>
      </c>
      <c r="S112" s="61" t="s">
        <v>57</v>
      </c>
      <c r="T112" s="69">
        <v>554164949</v>
      </c>
      <c r="U112" s="71" t="s">
        <v>58</v>
      </c>
      <c r="V112" s="71">
        <v>0</v>
      </c>
      <c r="W112" s="71">
        <v>1</v>
      </c>
      <c r="X112" s="61" t="s">
        <v>657</v>
      </c>
      <c r="Z112" s="85" t="s">
        <v>687</v>
      </c>
      <c r="AA112" s="74" t="s">
        <v>667</v>
      </c>
    </row>
    <row r="113" spans="1:27" s="61" customFormat="1" ht="15" customHeight="1" x14ac:dyDescent="0.3">
      <c r="A113" s="61" t="s">
        <v>688</v>
      </c>
      <c r="B113" s="67" t="s">
        <v>35</v>
      </c>
      <c r="C113" s="101" t="s">
        <v>689</v>
      </c>
      <c r="D113" s="101" t="s">
        <v>145</v>
      </c>
      <c r="E113" s="101" t="s">
        <v>690</v>
      </c>
      <c r="F113" s="68">
        <v>64</v>
      </c>
      <c r="G113" s="68">
        <v>8</v>
      </c>
      <c r="H113" s="68">
        <v>8</v>
      </c>
      <c r="I113" s="68" t="str">
        <f>IF(OR(O113={"T410","T420","T400"}), "8", "16")</f>
        <v>16</v>
      </c>
      <c r="J113" s="68">
        <f>Table1[[#This Row],[Memory slot2-GB]]+Table1[[#This Row],[Memory slot1-GB]]</f>
        <v>16</v>
      </c>
      <c r="K113" s="68">
        <v>0</v>
      </c>
      <c r="L113" s="68" t="s">
        <v>661</v>
      </c>
      <c r="M113" s="68"/>
      <c r="N113" s="61">
        <v>2018</v>
      </c>
      <c r="O113" s="61" t="s">
        <v>662</v>
      </c>
      <c r="P113" s="61" t="s">
        <v>691</v>
      </c>
      <c r="Q113" s="138" t="s">
        <v>692</v>
      </c>
      <c r="R113" s="61" t="s">
        <v>693</v>
      </c>
      <c r="S113" s="61" t="s">
        <v>57</v>
      </c>
      <c r="T113" s="69">
        <v>554943740</v>
      </c>
      <c r="U113" s="71" t="s">
        <v>58</v>
      </c>
      <c r="V113" s="71">
        <v>0</v>
      </c>
      <c r="W113" s="71">
        <v>1</v>
      </c>
      <c r="X113" s="61" t="s">
        <v>657</v>
      </c>
      <c r="Z113" s="85" t="s">
        <v>694</v>
      </c>
      <c r="AA113" s="74" t="s">
        <v>667</v>
      </c>
    </row>
    <row r="114" spans="1:27" s="61" customFormat="1" ht="15" customHeight="1" x14ac:dyDescent="0.3">
      <c r="A114" s="61" t="s">
        <v>695</v>
      </c>
      <c r="B114" s="67" t="s">
        <v>35</v>
      </c>
      <c r="C114" s="101" t="s">
        <v>695</v>
      </c>
      <c r="D114" s="101" t="s">
        <v>145</v>
      </c>
      <c r="E114" s="101" t="s">
        <v>696</v>
      </c>
      <c r="F114" s="68">
        <v>64</v>
      </c>
      <c r="G114" s="68">
        <v>8</v>
      </c>
      <c r="H114" s="68">
        <v>8</v>
      </c>
      <c r="I114" s="68" t="str">
        <f>IF(OR(O114={"T410","T420","T400"}), "8", "16")</f>
        <v>16</v>
      </c>
      <c r="J114" s="68">
        <f>Table1[[#This Row],[Memory slot2-GB]]+Table1[[#This Row],[Memory slot1-GB]]</f>
        <v>16</v>
      </c>
      <c r="K114" s="68">
        <v>0</v>
      </c>
      <c r="L114" s="68" t="s">
        <v>661</v>
      </c>
      <c r="M114" s="68"/>
      <c r="N114" s="61">
        <v>2018</v>
      </c>
      <c r="O114" s="61" t="s">
        <v>662</v>
      </c>
      <c r="P114" s="61" t="s">
        <v>663</v>
      </c>
      <c r="Q114" s="138" t="s">
        <v>697</v>
      </c>
      <c r="R114" s="61" t="s">
        <v>698</v>
      </c>
      <c r="S114" s="61" t="s">
        <v>57</v>
      </c>
      <c r="T114" s="69">
        <v>559624517</v>
      </c>
      <c r="U114" s="71" t="s">
        <v>58</v>
      </c>
      <c r="V114" s="71">
        <v>0</v>
      </c>
      <c r="W114" s="71">
        <v>1</v>
      </c>
      <c r="X114" s="61" t="s">
        <v>59</v>
      </c>
      <c r="Z114" s="85" t="s">
        <v>699</v>
      </c>
      <c r="AA114" s="74" t="s">
        <v>700</v>
      </c>
    </row>
    <row r="115" spans="1:27" s="61" customFormat="1" ht="15" customHeight="1" x14ac:dyDescent="0.3">
      <c r="A115" s="61" t="s">
        <v>701</v>
      </c>
      <c r="B115" s="67" t="s">
        <v>35</v>
      </c>
      <c r="C115" s="101" t="s">
        <v>702</v>
      </c>
      <c r="D115" s="101"/>
      <c r="E115" s="101" t="s">
        <v>703</v>
      </c>
      <c r="F115" s="68">
        <v>64</v>
      </c>
      <c r="G115" s="68">
        <v>8</v>
      </c>
      <c r="H115" s="68">
        <v>8</v>
      </c>
      <c r="I115" s="68" t="str">
        <f>IF(OR(O115={"T410","T420","T400"}), "8", "16")</f>
        <v>16</v>
      </c>
      <c r="J115" s="68">
        <f>Table1[[#This Row],[Memory slot2-GB]]+Table1[[#This Row],[Memory slot1-GB]]</f>
        <v>16</v>
      </c>
      <c r="K115" s="68">
        <v>0</v>
      </c>
      <c r="L115" s="68" t="s">
        <v>661</v>
      </c>
      <c r="M115" s="68"/>
      <c r="N115" s="61">
        <v>2018</v>
      </c>
      <c r="O115" s="61" t="s">
        <v>662</v>
      </c>
      <c r="P115" s="61" t="s">
        <v>663</v>
      </c>
      <c r="Q115" s="138" t="s">
        <v>704</v>
      </c>
      <c r="R115" s="61" t="s">
        <v>705</v>
      </c>
      <c r="S115" s="61" t="s">
        <v>57</v>
      </c>
      <c r="T115" s="69">
        <v>547121360</v>
      </c>
      <c r="U115" s="71" t="s">
        <v>58</v>
      </c>
      <c r="V115" s="71">
        <v>0</v>
      </c>
      <c r="W115" s="71">
        <v>1</v>
      </c>
      <c r="X115" s="61" t="s">
        <v>59</v>
      </c>
      <c r="Z115" s="85" t="s">
        <v>706</v>
      </c>
      <c r="AA115" s="74" t="s">
        <v>707</v>
      </c>
    </row>
    <row r="116" spans="1:27" s="61" customFormat="1" ht="15" customHeight="1" x14ac:dyDescent="0.3">
      <c r="A116" s="61" t="s">
        <v>708</v>
      </c>
      <c r="B116" s="67" t="s">
        <v>35</v>
      </c>
      <c r="C116" s="101" t="s">
        <v>709</v>
      </c>
      <c r="D116" s="101" t="s">
        <v>145</v>
      </c>
      <c r="E116" s="101" t="s">
        <v>710</v>
      </c>
      <c r="F116" s="68">
        <v>64</v>
      </c>
      <c r="G116" s="68">
        <v>16</v>
      </c>
      <c r="H116" s="68">
        <v>0</v>
      </c>
      <c r="I116" s="68" t="str">
        <f>IF(OR(O116={"T410","T420","T400"}), "8", "16")</f>
        <v>16</v>
      </c>
      <c r="J116" s="68">
        <f>Table1[[#This Row],[Memory slot2-GB]]+Table1[[#This Row],[Memory slot1-GB]]</f>
        <v>16</v>
      </c>
      <c r="K116" s="68">
        <v>0</v>
      </c>
      <c r="L116" s="68" t="s">
        <v>661</v>
      </c>
      <c r="M116" s="68"/>
      <c r="N116" s="61">
        <v>2018</v>
      </c>
      <c r="O116" s="61" t="s">
        <v>662</v>
      </c>
      <c r="P116" s="61" t="s">
        <v>663</v>
      </c>
      <c r="Q116" s="138" t="s">
        <v>711</v>
      </c>
      <c r="R116" s="61" t="s">
        <v>712</v>
      </c>
      <c r="S116" s="61" t="s">
        <v>57</v>
      </c>
      <c r="T116" s="69">
        <v>543014302</v>
      </c>
      <c r="U116" s="71" t="s">
        <v>58</v>
      </c>
      <c r="V116" s="71">
        <v>0</v>
      </c>
      <c r="W116" s="71">
        <v>1</v>
      </c>
      <c r="X116" s="61" t="s">
        <v>59</v>
      </c>
      <c r="Z116" s="85" t="s">
        <v>713</v>
      </c>
      <c r="AA116" s="74" t="s">
        <v>667</v>
      </c>
    </row>
    <row r="117" spans="1:27" ht="15" customHeight="1" x14ac:dyDescent="0.3">
      <c r="A117" s="61" t="s">
        <v>714</v>
      </c>
      <c r="B117" s="67" t="s">
        <v>715</v>
      </c>
      <c r="C117" s="101" t="s">
        <v>716</v>
      </c>
      <c r="D117" s="101"/>
      <c r="E117" s="101" t="s">
        <v>717</v>
      </c>
      <c r="F117" s="68">
        <v>64</v>
      </c>
      <c r="G117" s="68">
        <v>4</v>
      </c>
      <c r="H117" s="68">
        <v>16</v>
      </c>
      <c r="I117" s="68">
        <v>32</v>
      </c>
      <c r="J117" s="68">
        <f>Table1[[#This Row],[Memory slot2-GB]]+Table1[[#This Row],[Memory slot1-GB]]</f>
        <v>20</v>
      </c>
      <c r="K117" s="68">
        <v>0</v>
      </c>
      <c r="L117" s="68" t="s">
        <v>661</v>
      </c>
      <c r="M117" s="68" t="s">
        <v>153</v>
      </c>
      <c r="N117" s="143">
        <v>2016</v>
      </c>
      <c r="O117" s="61" t="s">
        <v>718</v>
      </c>
      <c r="P117" s="61" t="s">
        <v>719</v>
      </c>
      <c r="Q117" s="58" t="s">
        <v>720</v>
      </c>
      <c r="R117" s="57" t="s">
        <v>721</v>
      </c>
      <c r="S117" s="57" t="s">
        <v>57</v>
      </c>
      <c r="T117" s="80">
        <v>474412325</v>
      </c>
      <c r="U117" s="83" t="s">
        <v>58</v>
      </c>
      <c r="V117" s="83">
        <v>0</v>
      </c>
      <c r="W117" s="72">
        <v>1</v>
      </c>
      <c r="X117" s="57" t="s">
        <v>657</v>
      </c>
      <c r="Z117" s="60"/>
      <c r="AA117" s="60"/>
    </row>
    <row r="118" spans="1:27" s="61" customFormat="1" ht="15" customHeight="1" x14ac:dyDescent="0.3">
      <c r="A118" s="61" t="s">
        <v>722</v>
      </c>
      <c r="B118" s="67" t="s">
        <v>35</v>
      </c>
      <c r="C118" s="101" t="s">
        <v>722</v>
      </c>
      <c r="D118" s="101" t="s">
        <v>145</v>
      </c>
      <c r="E118" s="101" t="s">
        <v>723</v>
      </c>
      <c r="F118" s="68">
        <v>64</v>
      </c>
      <c r="G118" s="68">
        <v>4</v>
      </c>
      <c r="H118" s="68">
        <v>4</v>
      </c>
      <c r="I118" s="68" t="str">
        <f>IF(OR(O118={"T410","T420","T400"}), "8", "16")</f>
        <v>16</v>
      </c>
      <c r="J118" s="68">
        <f>Table1[[#This Row],[Memory slot2-GB]]+Table1[[#This Row],[Memory slot1-GB]]</f>
        <v>8</v>
      </c>
      <c r="K118" s="68">
        <v>2</v>
      </c>
      <c r="L118" s="68" t="s">
        <v>52</v>
      </c>
      <c r="M118" s="68"/>
      <c r="N118" s="143">
        <v>2015</v>
      </c>
      <c r="O118" s="61" t="s">
        <v>724</v>
      </c>
      <c r="P118" s="61" t="s">
        <v>725</v>
      </c>
      <c r="Q118" s="138" t="s">
        <v>726</v>
      </c>
      <c r="S118" s="61" t="s">
        <v>57</v>
      </c>
      <c r="T118" s="69" t="s">
        <v>727</v>
      </c>
      <c r="U118" s="71" t="s">
        <v>58</v>
      </c>
      <c r="V118" s="71">
        <v>0</v>
      </c>
      <c r="W118" s="71">
        <v>1</v>
      </c>
      <c r="X118" s="61" t="s">
        <v>657</v>
      </c>
      <c r="Y118" s="61" t="s">
        <v>59</v>
      </c>
      <c r="Z118" s="74" t="s">
        <v>728</v>
      </c>
      <c r="AA118" s="74" t="s">
        <v>729</v>
      </c>
    </row>
    <row r="119" spans="1:27" ht="15" customHeight="1" x14ac:dyDescent="0.3">
      <c r="A119" s="57" t="s">
        <v>730</v>
      </c>
      <c r="B119" s="78" t="s">
        <v>35</v>
      </c>
      <c r="C119" s="100" t="s">
        <v>730</v>
      </c>
      <c r="D119" s="100" t="s">
        <v>145</v>
      </c>
      <c r="E119" s="100" t="s">
        <v>731</v>
      </c>
      <c r="F119" s="79">
        <v>64</v>
      </c>
      <c r="G119" s="79">
        <v>0</v>
      </c>
      <c r="H119" s="79">
        <v>4</v>
      </c>
      <c r="I119" s="79" t="str">
        <f>IF(OR(O119={"T410","T420","T400"}), "8", "16")</f>
        <v>16</v>
      </c>
      <c r="J119" s="79">
        <f>Table1[[#This Row],[Memory slot2-GB]]+Table1[[#This Row],[Memory slot1-GB]]</f>
        <v>4</v>
      </c>
      <c r="K119" s="79">
        <v>2</v>
      </c>
      <c r="L119" s="79" t="s">
        <v>52</v>
      </c>
      <c r="M119" s="79"/>
      <c r="N119" s="144">
        <v>2015</v>
      </c>
      <c r="O119" s="57" t="s">
        <v>724</v>
      </c>
      <c r="P119" s="145" t="s">
        <v>732</v>
      </c>
      <c r="Q119" s="146" t="s">
        <v>733</v>
      </c>
      <c r="S119" s="57" t="s">
        <v>57</v>
      </c>
      <c r="T119" s="80">
        <v>1075415665</v>
      </c>
      <c r="U119" s="83" t="s">
        <v>58</v>
      </c>
      <c r="V119" s="83">
        <v>0</v>
      </c>
      <c r="W119" s="72">
        <v>1</v>
      </c>
      <c r="X119" s="57" t="s">
        <v>657</v>
      </c>
      <c r="Y119" s="57" t="s">
        <v>59</v>
      </c>
      <c r="Z119" s="60" t="s">
        <v>728</v>
      </c>
      <c r="AA119" s="60"/>
    </row>
    <row r="120" spans="1:27" s="61" customFormat="1" ht="15" customHeight="1" x14ac:dyDescent="0.3">
      <c r="A120" s="61" t="s">
        <v>734</v>
      </c>
      <c r="B120" s="67" t="s">
        <v>35</v>
      </c>
      <c r="C120" s="101" t="s">
        <v>734</v>
      </c>
      <c r="D120" s="101" t="s">
        <v>145</v>
      </c>
      <c r="E120" s="101" t="s">
        <v>735</v>
      </c>
      <c r="F120" s="68">
        <v>64</v>
      </c>
      <c r="G120" s="68">
        <v>0</v>
      </c>
      <c r="H120" s="68">
        <v>4</v>
      </c>
      <c r="I120" s="68" t="str">
        <f>IF(OR(O120={"T410","T420","T400"}), "8", "16")</f>
        <v>16</v>
      </c>
      <c r="J120" s="68">
        <f>Table1[[#This Row],[Memory slot2-GB]]+Table1[[#This Row],[Memory slot1-GB]]</f>
        <v>4</v>
      </c>
      <c r="K120" s="68">
        <v>2</v>
      </c>
      <c r="L120" s="68" t="s">
        <v>52</v>
      </c>
      <c r="M120" s="68" t="s">
        <v>959</v>
      </c>
      <c r="N120" s="143">
        <v>2015</v>
      </c>
      <c r="O120" s="61" t="s">
        <v>736</v>
      </c>
      <c r="P120" s="147" t="s">
        <v>732</v>
      </c>
      <c r="Q120" s="148" t="s">
        <v>737</v>
      </c>
      <c r="R120" s="61" t="s">
        <v>738</v>
      </c>
      <c r="S120" s="61" t="s">
        <v>57</v>
      </c>
      <c r="T120" s="69">
        <v>1726340938</v>
      </c>
      <c r="U120" s="71" t="s">
        <v>58</v>
      </c>
      <c r="V120" s="71">
        <v>0</v>
      </c>
      <c r="W120" s="72">
        <v>1</v>
      </c>
      <c r="Y120" s="61" t="s">
        <v>739</v>
      </c>
      <c r="Z120" s="74" t="s">
        <v>740</v>
      </c>
      <c r="AA120" s="74"/>
    </row>
    <row r="121" spans="1:27" ht="15" customHeight="1" x14ac:dyDescent="0.3">
      <c r="A121" s="57" t="s">
        <v>741</v>
      </c>
      <c r="B121" s="78" t="s">
        <v>35</v>
      </c>
      <c r="C121" s="100" t="s">
        <v>742</v>
      </c>
      <c r="D121" s="100"/>
      <c r="E121" s="100" t="s">
        <v>743</v>
      </c>
      <c r="F121" s="79">
        <v>64</v>
      </c>
      <c r="G121" s="79">
        <v>8</v>
      </c>
      <c r="H121" s="79">
        <v>8</v>
      </c>
      <c r="I121" s="79" t="str">
        <f>IF(OR(O121={"T410","T420","T400"}), "8", "16")</f>
        <v>16</v>
      </c>
      <c r="J121" s="79">
        <f>Table1[[#This Row],[Memory slot2-GB]]+Table1[[#This Row],[Memory slot1-GB]]</f>
        <v>16</v>
      </c>
      <c r="K121" s="79">
        <v>0</v>
      </c>
      <c r="L121" s="79"/>
      <c r="M121" s="79"/>
      <c r="N121" s="57">
        <v>2019</v>
      </c>
      <c r="O121" s="57" t="s">
        <v>744</v>
      </c>
      <c r="P121" s="57" t="s">
        <v>745</v>
      </c>
      <c r="Q121" s="58" t="s">
        <v>746</v>
      </c>
      <c r="R121" s="57" t="s">
        <v>747</v>
      </c>
      <c r="S121" s="57" t="s">
        <v>57</v>
      </c>
      <c r="T121" s="80">
        <v>1486474160</v>
      </c>
      <c r="U121" s="83" t="s">
        <v>58</v>
      </c>
      <c r="V121" s="83">
        <v>0</v>
      </c>
      <c r="W121" s="72">
        <v>1</v>
      </c>
      <c r="X121" s="57" t="s">
        <v>59</v>
      </c>
      <c r="Z121" s="141"/>
      <c r="AA121" s="60"/>
    </row>
    <row r="122" spans="1:27" ht="15" customHeight="1" x14ac:dyDescent="0.3">
      <c r="A122" s="57" t="s">
        <v>748</v>
      </c>
      <c r="B122" s="78" t="s">
        <v>749</v>
      </c>
      <c r="C122" s="78" t="s">
        <v>750</v>
      </c>
      <c r="D122" s="78"/>
      <c r="E122" s="100" t="s">
        <v>751</v>
      </c>
      <c r="F122" s="79">
        <v>32</v>
      </c>
      <c r="G122" s="79">
        <v>2</v>
      </c>
      <c r="H122" s="79">
        <v>2</v>
      </c>
      <c r="I122" s="79"/>
      <c r="J122" s="79"/>
      <c r="K122" s="79"/>
      <c r="L122" s="79"/>
      <c r="M122" s="79"/>
      <c r="O122" s="57" t="s">
        <v>752</v>
      </c>
      <c r="P122" s="57" t="s">
        <v>753</v>
      </c>
      <c r="Q122" s="58" t="s">
        <v>754</v>
      </c>
      <c r="R122" s="57" t="s">
        <v>755</v>
      </c>
      <c r="S122" s="57" t="s">
        <v>57</v>
      </c>
      <c r="T122" s="80"/>
      <c r="U122" s="57" t="s">
        <v>756</v>
      </c>
      <c r="V122" s="57"/>
      <c r="W122" s="57"/>
      <c r="X122" s="57"/>
      <c r="Z122" s="141" t="s">
        <v>757</v>
      </c>
      <c r="AA122" s="60"/>
    </row>
    <row r="123" spans="1:27" ht="15" customHeight="1" x14ac:dyDescent="0.3">
      <c r="A123" s="57" t="s">
        <v>758</v>
      </c>
      <c r="B123" s="78" t="s">
        <v>749</v>
      </c>
      <c r="C123" s="57" t="s">
        <v>759</v>
      </c>
      <c r="D123" s="78"/>
      <c r="E123" s="100"/>
      <c r="F123" s="79"/>
      <c r="G123" s="79"/>
      <c r="H123" s="79"/>
      <c r="I123" s="79"/>
      <c r="J123" s="79"/>
      <c r="K123" s="79"/>
      <c r="L123" s="79"/>
      <c r="M123" s="79"/>
      <c r="Q123" s="58"/>
      <c r="T123" s="80"/>
      <c r="V123" s="57"/>
      <c r="W123" s="57"/>
      <c r="X123" s="57"/>
      <c r="Z123" s="141"/>
      <c r="AA123" s="60"/>
    </row>
    <row r="124" spans="1:27" ht="15" customHeight="1" x14ac:dyDescent="0.3">
      <c r="C124" s="57"/>
      <c r="D124" s="78"/>
      <c r="E124" s="100"/>
      <c r="F124" s="79"/>
      <c r="G124" s="79"/>
      <c r="H124" s="79"/>
      <c r="I124" s="79"/>
      <c r="J124" s="79"/>
      <c r="K124" s="79"/>
      <c r="L124" s="79"/>
      <c r="M124" s="79"/>
      <c r="Q124" s="58"/>
      <c r="T124" s="80"/>
      <c r="V124" s="57"/>
      <c r="W124" s="57"/>
      <c r="X124" s="57"/>
      <c r="Z124" s="141"/>
      <c r="AA124" s="60"/>
    </row>
    <row r="125" spans="1:27" ht="15" customHeight="1" x14ac:dyDescent="0.3">
      <c r="B125" s="78"/>
      <c r="C125" s="57"/>
      <c r="D125" s="78"/>
      <c r="E125" s="100"/>
      <c r="F125" s="79"/>
      <c r="G125" s="79"/>
      <c r="H125" s="79"/>
      <c r="I125" s="79"/>
      <c r="J125" s="79"/>
      <c r="K125" s="79"/>
      <c r="L125" s="79"/>
      <c r="M125" s="79"/>
      <c r="Q125" s="58"/>
      <c r="T125" s="80"/>
      <c r="V125" s="57"/>
      <c r="W125" s="57"/>
      <c r="X125" s="57"/>
      <c r="Z125" s="141"/>
      <c r="AA125" s="60"/>
    </row>
    <row r="126" spans="1:27" ht="15" customHeight="1" x14ac:dyDescent="0.3">
      <c r="B126" s="78"/>
      <c r="C126" s="57"/>
      <c r="D126" s="78"/>
      <c r="E126" s="100"/>
      <c r="F126" s="79"/>
      <c r="G126" s="79"/>
      <c r="H126" s="79"/>
      <c r="I126" s="79"/>
      <c r="J126" s="79"/>
      <c r="K126" s="79"/>
      <c r="L126" s="79"/>
      <c r="M126" s="79"/>
      <c r="Q126" s="58"/>
      <c r="T126" s="80"/>
      <c r="V126" s="57"/>
      <c r="W126" s="57"/>
      <c r="X126" s="57"/>
      <c r="Z126" s="141"/>
      <c r="AA126" s="60"/>
    </row>
    <row r="127" spans="1:27" ht="15" customHeight="1" x14ac:dyDescent="0.3">
      <c r="B127" s="78"/>
      <c r="C127" s="57"/>
      <c r="D127" s="78"/>
      <c r="E127" s="100"/>
      <c r="F127" s="79"/>
      <c r="G127" s="79"/>
      <c r="H127" s="79"/>
      <c r="I127" s="79"/>
      <c r="J127" s="79"/>
      <c r="K127" s="79"/>
      <c r="L127" s="79"/>
      <c r="M127" s="79"/>
      <c r="Q127" s="58"/>
      <c r="T127" s="80"/>
      <c r="V127" s="57"/>
      <c r="W127" s="57"/>
      <c r="X127" s="57"/>
      <c r="Z127" s="141"/>
      <c r="AA127" s="60"/>
    </row>
    <row r="128" spans="1:27" ht="15" customHeight="1" x14ac:dyDescent="0.3">
      <c r="C128" s="57"/>
      <c r="D128" s="78"/>
      <c r="E128" s="100"/>
      <c r="F128" s="79"/>
      <c r="G128" s="79"/>
      <c r="H128" s="79"/>
      <c r="I128" s="149" t="str">
        <f>IF(OR(O128={"T410","T420","T400"}), "Y", "N")</f>
        <v>N</v>
      </c>
      <c r="J128" s="149">
        <f>Table1[[#This Row],[Memory slot2-GB]]+Table1[[#This Row],[Memory slot1-GB]]</f>
        <v>0</v>
      </c>
      <c r="K128" s="149"/>
      <c r="L128" s="149"/>
      <c r="M128" s="149"/>
      <c r="Q128" s="58"/>
      <c r="T128" s="80"/>
      <c r="V128" s="57"/>
      <c r="W128" s="57"/>
      <c r="X128" s="57"/>
      <c r="Z128" s="141"/>
      <c r="AA128" s="60"/>
    </row>
    <row r="129" spans="1:27" ht="15" customHeight="1" x14ac:dyDescent="0.3">
      <c r="B129" s="78"/>
      <c r="C129" s="78"/>
      <c r="D129" s="78"/>
      <c r="E129" s="78"/>
      <c r="F129" s="79"/>
      <c r="G129" s="79"/>
      <c r="H129" s="79"/>
      <c r="I129" s="79"/>
      <c r="J129" s="79"/>
      <c r="K129" s="79"/>
      <c r="L129" s="79"/>
      <c r="M129" s="79"/>
      <c r="Q129" s="58"/>
      <c r="T129" s="80"/>
      <c r="V129" s="57"/>
      <c r="W129" s="57"/>
      <c r="X129" s="57"/>
      <c r="Z129" s="141"/>
      <c r="AA129" s="60"/>
    </row>
    <row r="130" spans="1:27" ht="15" customHeight="1" x14ac:dyDescent="0.3">
      <c r="A130" s="150" t="s">
        <v>760</v>
      </c>
      <c r="B130" s="78"/>
      <c r="C130" s="78"/>
      <c r="D130" s="78"/>
      <c r="E130" s="78"/>
      <c r="F130" s="79"/>
      <c r="G130" s="151">
        <f>COUNTIF(G8:G121,0)</f>
        <v>4</v>
      </c>
      <c r="H130" s="151">
        <f>COUNTIF(H8:H121,0)</f>
        <v>29</v>
      </c>
      <c r="I130" s="151"/>
      <c r="J130" s="151">
        <f>Table1[[#This Row],[Memory slot2-GB]]+Table1[[#This Row],[Memory slot1-GB]]</f>
        <v>33</v>
      </c>
      <c r="K130" s="151"/>
      <c r="L130" s="151"/>
      <c r="M130" s="151"/>
      <c r="Q130" s="58"/>
      <c r="T130" s="80"/>
      <c r="V130" s="57"/>
      <c r="W130" s="57"/>
      <c r="X130" s="57"/>
      <c r="Z130" s="141"/>
      <c r="AA130" s="60"/>
    </row>
    <row r="131" spans="1:27" ht="15" customHeight="1" x14ac:dyDescent="0.3">
      <c r="B131" s="78"/>
      <c r="C131" s="78"/>
      <c r="D131" s="78"/>
      <c r="E131" s="78"/>
      <c r="F131" s="79"/>
      <c r="G131" s="79"/>
      <c r="H131" s="79"/>
      <c r="I131" s="79"/>
      <c r="J131" s="79"/>
      <c r="K131" s="79"/>
      <c r="L131" s="79"/>
      <c r="M131" s="79"/>
      <c r="Q131" s="58"/>
      <c r="T131" s="80"/>
      <c r="V131" s="57"/>
      <c r="W131" s="57"/>
      <c r="X131" s="57"/>
      <c r="Z131" s="141"/>
      <c r="AA131" s="60"/>
    </row>
    <row r="132" spans="1:27" ht="15" customHeight="1" x14ac:dyDescent="0.3">
      <c r="B132" s="78"/>
      <c r="C132" s="78"/>
      <c r="D132" s="78"/>
      <c r="E132" s="78"/>
      <c r="F132" s="79"/>
      <c r="G132" s="79"/>
      <c r="H132" s="79"/>
      <c r="I132" s="57" t="s">
        <v>761</v>
      </c>
      <c r="K132" s="57">
        <f>SUM(K8:K121)</f>
        <v>133</v>
      </c>
      <c r="L132" s="79"/>
      <c r="M132" s="79"/>
      <c r="Q132" s="58"/>
      <c r="T132" s="80"/>
      <c r="V132" s="57"/>
      <c r="W132" s="57"/>
      <c r="X132" s="57"/>
      <c r="Z132" s="141"/>
      <c r="AA132" s="60"/>
    </row>
    <row r="133" spans="1:27" ht="15" customHeight="1" x14ac:dyDescent="0.3">
      <c r="C133" s="57"/>
      <c r="D133" s="57"/>
      <c r="E133" s="57"/>
      <c r="H133" s="58"/>
      <c r="L133" s="58"/>
      <c r="M133" s="58"/>
      <c r="Q133" s="58"/>
      <c r="T133" s="80"/>
      <c r="V133" s="57"/>
      <c r="W133" s="57"/>
      <c r="X133" s="57"/>
      <c r="Z133" s="59"/>
      <c r="AA133" s="60"/>
    </row>
    <row r="134" spans="1:27" x14ac:dyDescent="0.3">
      <c r="C134" s="57"/>
      <c r="D134" s="57"/>
      <c r="E134" s="57"/>
      <c r="H134" s="58"/>
      <c r="I134" s="57" t="s">
        <v>762</v>
      </c>
      <c r="K134" s="57">
        <v>71</v>
      </c>
      <c r="L134" s="58"/>
      <c r="M134" s="58"/>
      <c r="Q134" s="58"/>
      <c r="T134" s="80"/>
      <c r="V134" s="57"/>
      <c r="W134" s="57"/>
      <c r="X134" s="57"/>
      <c r="Z134" s="59"/>
      <c r="AA134" s="60"/>
    </row>
    <row r="135" spans="1:27" ht="57.6" x14ac:dyDescent="0.3">
      <c r="A135" s="57" t="s">
        <v>763</v>
      </c>
      <c r="C135" s="57"/>
      <c r="D135" s="57"/>
      <c r="E135" s="57"/>
      <c r="H135" s="58"/>
      <c r="L135" s="58"/>
      <c r="M135" s="58"/>
      <c r="Q135" s="58"/>
      <c r="T135" s="80"/>
      <c r="V135" s="57"/>
      <c r="W135" s="57"/>
      <c r="X135" s="57"/>
      <c r="Z135" s="59"/>
      <c r="AA135" s="60"/>
    </row>
    <row r="136" spans="1:27" ht="15" customHeight="1" x14ac:dyDescent="0.3">
      <c r="A136" s="57" t="s">
        <v>764</v>
      </c>
      <c r="C136" s="57"/>
      <c r="D136" s="57"/>
      <c r="E136" s="57"/>
      <c r="H136" s="58"/>
      <c r="I136" s="58" t="s">
        <v>765</v>
      </c>
      <c r="J136" s="58"/>
      <c r="K136" s="58">
        <v>1</v>
      </c>
      <c r="L136" s="58"/>
      <c r="M136" s="58"/>
      <c r="Q136" s="58"/>
      <c r="T136" s="80"/>
      <c r="V136" s="152">
        <f>SUM(V6:V133)</f>
        <v>0</v>
      </c>
      <c r="W136" s="152">
        <f>SUM(W6:W133)</f>
        <v>85</v>
      </c>
      <c r="X136" s="152" t="s">
        <v>766</v>
      </c>
      <c r="Y136" s="152"/>
      <c r="Z136" s="59"/>
      <c r="AA136" s="60"/>
    </row>
    <row r="137" spans="1:27" ht="10.199999999999999" customHeight="1" x14ac:dyDescent="0.3">
      <c r="C137" s="57"/>
      <c r="D137" s="57"/>
      <c r="E137" s="57"/>
      <c r="H137" s="58"/>
      <c r="I137" s="58"/>
      <c r="J137" s="58"/>
      <c r="K137" s="58"/>
      <c r="L137" s="58"/>
      <c r="M137" s="58"/>
      <c r="Q137" s="58"/>
      <c r="T137" s="80"/>
      <c r="V137" s="57"/>
      <c r="W137" s="57"/>
      <c r="X137" s="57"/>
      <c r="Z137" s="59"/>
      <c r="AA137" s="60"/>
    </row>
    <row r="138" spans="1:27" ht="24.6" customHeight="1" x14ac:dyDescent="0.3">
      <c r="A138" s="153" t="s">
        <v>767</v>
      </c>
      <c r="C138" s="153" t="str">
        <f t="shared" ref="C138:C157" si="0">IF(COUNTIF(A8:H8, 0) &gt; 0, A8, "")</f>
        <v>NATC-WP003</v>
      </c>
      <c r="D138" s="153" t="str">
        <f t="shared" ref="D138:D157" si="1">IF(COUNTIF(A28:H28, 0) &gt; 0, A28, "")</f>
        <v/>
      </c>
      <c r="E138" s="153" t="str">
        <f t="shared" ref="E138:E157" si="2">IF(COUNTIF(A48:H48, 0) &gt; 0, A48, "")</f>
        <v/>
      </c>
      <c r="F138" s="154" t="str">
        <f t="shared" ref="F138:F157" si="3">IF(COUNTIF(A68:H68, 0) &gt; 0, A68, "")</f>
        <v/>
      </c>
      <c r="G138" s="154" t="str">
        <f t="shared" ref="G138:G157" si="4">IF(COUNTIF(A88:H88, 0) &gt; 0, A88, "")</f>
        <v/>
      </c>
      <c r="H138" s="154" t="str">
        <f t="shared" ref="H138:H151" si="5">IF(COUNTIF(A108:H108, 0) &gt; 0, A108, "")</f>
        <v/>
      </c>
      <c r="I138" s="154"/>
      <c r="J138" s="154"/>
      <c r="K138" s="154"/>
      <c r="L138" s="154"/>
      <c r="M138" s="154"/>
      <c r="Q138" s="58"/>
      <c r="T138" s="80"/>
      <c r="U138" s="57" t="s">
        <v>41</v>
      </c>
      <c r="V138" s="57">
        <f>V140-V136</f>
        <v>98</v>
      </c>
      <c r="W138" s="57">
        <f>W140-W136</f>
        <v>31</v>
      </c>
      <c r="X138" s="57"/>
      <c r="Z138" s="59"/>
      <c r="AA138" s="60"/>
    </row>
    <row r="139" spans="1:27" ht="15" customHeight="1" x14ac:dyDescent="0.3">
      <c r="C139" s="153" t="str">
        <f t="shared" si="0"/>
        <v>NATC-WP004</v>
      </c>
      <c r="D139" s="153" t="str">
        <f t="shared" si="1"/>
        <v/>
      </c>
      <c r="E139" s="153" t="str">
        <f t="shared" si="2"/>
        <v/>
      </c>
      <c r="F139" s="154" t="str">
        <f t="shared" si="3"/>
        <v/>
      </c>
      <c r="G139" s="154" t="str">
        <f t="shared" si="4"/>
        <v/>
      </c>
      <c r="H139" s="154" t="str">
        <f t="shared" si="5"/>
        <v/>
      </c>
      <c r="I139" s="154"/>
      <c r="J139" s="154"/>
      <c r="K139" s="154"/>
      <c r="L139" s="154"/>
      <c r="M139" s="154"/>
      <c r="Q139" s="58"/>
      <c r="T139" s="80"/>
      <c r="U139" s="57" t="s">
        <v>768</v>
      </c>
      <c r="V139" s="57"/>
      <c r="W139" s="57">
        <f>SUM(W5:W134)</f>
        <v>85</v>
      </c>
      <c r="X139" s="57"/>
      <c r="Z139" s="141"/>
      <c r="AA139" s="60"/>
    </row>
    <row r="140" spans="1:27" ht="15" customHeight="1" x14ac:dyDescent="0.3">
      <c r="C140" s="153" t="str">
        <f t="shared" si="0"/>
        <v/>
      </c>
      <c r="D140" s="153" t="str">
        <f t="shared" si="1"/>
        <v/>
      </c>
      <c r="E140" s="153" t="str">
        <f t="shared" si="2"/>
        <v>NATC-WP045</v>
      </c>
      <c r="F140" s="154" t="str">
        <f t="shared" si="3"/>
        <v/>
      </c>
      <c r="G140" s="154" t="str">
        <f t="shared" si="4"/>
        <v/>
      </c>
      <c r="H140" s="154" t="str">
        <f t="shared" si="5"/>
        <v>NATC-WP102</v>
      </c>
      <c r="I140" s="154"/>
      <c r="J140" s="154"/>
      <c r="K140" s="154"/>
      <c r="L140" s="154"/>
      <c r="M140" s="154"/>
      <c r="Q140" s="58"/>
      <c r="T140" s="80"/>
      <c r="U140" s="57" t="s">
        <v>769</v>
      </c>
      <c r="V140" s="57">
        <f>COUNTA(U6,U8:U14,U17,U19:U48,U50:U52,U57,U59:U69,U71,U73:U98,U100:U116)+COUNTBLANK(U6:U121)</f>
        <v>98</v>
      </c>
      <c r="W140" s="57">
        <f>COUNTA(W6:W134)</f>
        <v>116</v>
      </c>
      <c r="X140" s="57"/>
      <c r="Z140" s="59"/>
      <c r="AA140" s="60"/>
    </row>
    <row r="141" spans="1:27" ht="15" customHeight="1" x14ac:dyDescent="0.3">
      <c r="C141" s="153" t="str">
        <f t="shared" si="0"/>
        <v/>
      </c>
      <c r="D141" s="153" t="str">
        <f t="shared" si="1"/>
        <v>NATC-WP026</v>
      </c>
      <c r="E141" s="153" t="str">
        <f t="shared" si="2"/>
        <v>NATC-WP046</v>
      </c>
      <c r="F141" s="154" t="str">
        <f t="shared" si="3"/>
        <v/>
      </c>
      <c r="G141" s="154" t="str">
        <f t="shared" si="4"/>
        <v/>
      </c>
      <c r="H141" s="154" t="str">
        <f t="shared" si="5"/>
        <v/>
      </c>
      <c r="I141" s="154"/>
      <c r="J141" s="154"/>
      <c r="K141" s="154"/>
      <c r="L141" s="154"/>
      <c r="M141" s="154"/>
      <c r="Q141" s="58"/>
      <c r="T141" s="80"/>
      <c r="U141" s="57" t="s">
        <v>770</v>
      </c>
      <c r="V141" s="155">
        <f>V138/V140</f>
        <v>1</v>
      </c>
      <c r="W141" s="155">
        <f>W138/W140</f>
        <v>0.26724137931034481</v>
      </c>
      <c r="X141" s="57"/>
      <c r="Z141" s="59"/>
      <c r="AA141" s="60"/>
    </row>
    <row r="142" spans="1:27" ht="15" customHeight="1" x14ac:dyDescent="0.3">
      <c r="C142" s="153" t="str">
        <f t="shared" si="0"/>
        <v>NATC-WP007</v>
      </c>
      <c r="D142" s="153" t="str">
        <f t="shared" si="1"/>
        <v>NATC-WP027</v>
      </c>
      <c r="E142" s="153" t="str">
        <f t="shared" si="2"/>
        <v>NATC-WP047</v>
      </c>
      <c r="F142" s="154" t="str">
        <f t="shared" si="3"/>
        <v/>
      </c>
      <c r="G142" s="154" t="str">
        <f t="shared" si="4"/>
        <v/>
      </c>
      <c r="H142" s="154" t="str">
        <f t="shared" si="5"/>
        <v/>
      </c>
      <c r="I142" s="154"/>
      <c r="J142" s="154"/>
      <c r="K142" s="154"/>
      <c r="L142" s="154"/>
      <c r="M142" s="154"/>
      <c r="Q142" s="58"/>
      <c r="T142" s="80"/>
      <c r="V142" s="57"/>
      <c r="W142" s="57"/>
      <c r="X142" s="57"/>
      <c r="Z142" s="59"/>
      <c r="AA142" s="60"/>
    </row>
    <row r="143" spans="1:27" ht="15" customHeight="1" x14ac:dyDescent="0.3">
      <c r="C143" s="153" t="str">
        <f t="shared" si="0"/>
        <v>NATC-WP008</v>
      </c>
      <c r="D143" s="153" t="str">
        <f t="shared" si="1"/>
        <v/>
      </c>
      <c r="E143" s="153" t="str">
        <f t="shared" si="2"/>
        <v/>
      </c>
      <c r="F143" s="154" t="str">
        <f t="shared" si="3"/>
        <v/>
      </c>
      <c r="G143" s="154" t="str">
        <f t="shared" si="4"/>
        <v/>
      </c>
      <c r="H143" s="154" t="str">
        <f t="shared" si="5"/>
        <v/>
      </c>
      <c r="I143" s="154"/>
      <c r="J143" s="154"/>
      <c r="K143" s="154"/>
      <c r="L143" s="154"/>
      <c r="M143" s="154"/>
      <c r="Q143" s="58"/>
      <c r="T143" s="80"/>
      <c r="V143" s="57"/>
      <c r="W143" s="57"/>
      <c r="X143" s="57"/>
      <c r="Z143" s="59"/>
      <c r="AA143" s="60"/>
    </row>
    <row r="144" spans="1:27" ht="15" customHeight="1" x14ac:dyDescent="0.3">
      <c r="C144" s="153" t="str">
        <f t="shared" si="0"/>
        <v/>
      </c>
      <c r="D144" s="153" t="str">
        <f t="shared" si="1"/>
        <v/>
      </c>
      <c r="E144" s="153" t="str">
        <f t="shared" si="2"/>
        <v/>
      </c>
      <c r="F144" s="154" t="str">
        <f t="shared" si="3"/>
        <v>NATC-WP069</v>
      </c>
      <c r="G144" s="154" t="str">
        <f t="shared" si="4"/>
        <v>NATC-WP089</v>
      </c>
      <c r="H144" s="154" t="str">
        <f t="shared" si="5"/>
        <v/>
      </c>
      <c r="I144" s="154"/>
      <c r="J144" s="154"/>
      <c r="K144" s="154"/>
      <c r="L144" s="154"/>
      <c r="M144" s="154"/>
      <c r="Q144" s="58"/>
      <c r="T144" s="80"/>
      <c r="V144" s="57"/>
      <c r="W144" s="57"/>
      <c r="X144" s="57"/>
      <c r="Z144" s="59"/>
      <c r="AA144" s="60"/>
    </row>
    <row r="145" spans="3:27" ht="15" customHeight="1" x14ac:dyDescent="0.3">
      <c r="C145" s="153" t="str">
        <f t="shared" si="0"/>
        <v/>
      </c>
      <c r="D145" s="153" t="str">
        <f t="shared" si="1"/>
        <v/>
      </c>
      <c r="E145" s="153" t="str">
        <f t="shared" si="2"/>
        <v/>
      </c>
      <c r="F145" s="154" t="str">
        <f t="shared" si="3"/>
        <v/>
      </c>
      <c r="G145" s="154" t="str">
        <f t="shared" si="4"/>
        <v/>
      </c>
      <c r="H145" s="154" t="str">
        <f t="shared" si="5"/>
        <v/>
      </c>
      <c r="I145" s="154"/>
      <c r="J145" s="154"/>
      <c r="K145" s="154"/>
      <c r="L145" s="154"/>
      <c r="M145" s="154"/>
      <c r="Q145" s="58"/>
      <c r="T145" s="80"/>
      <c r="V145" s="57"/>
      <c r="W145" s="57"/>
      <c r="X145" s="57"/>
      <c r="Z145" s="59"/>
      <c r="AA145" s="60"/>
    </row>
    <row r="146" spans="3:27" ht="15" customHeight="1" x14ac:dyDescent="0.3">
      <c r="C146" s="153" t="str">
        <f t="shared" si="0"/>
        <v/>
      </c>
      <c r="D146" s="153" t="str">
        <f t="shared" si="1"/>
        <v>NATC-WP031</v>
      </c>
      <c r="E146" s="153" t="str">
        <f t="shared" si="2"/>
        <v/>
      </c>
      <c r="F146" s="154" t="str">
        <f t="shared" si="3"/>
        <v/>
      </c>
      <c r="G146" s="154" t="str">
        <f t="shared" si="4"/>
        <v/>
      </c>
      <c r="H146" s="154" t="str">
        <f t="shared" si="5"/>
        <v>NATC-WP108</v>
      </c>
      <c r="I146" s="154"/>
      <c r="J146" s="154"/>
      <c r="K146" s="154"/>
      <c r="L146" s="154"/>
      <c r="M146" s="154"/>
      <c r="Q146" s="58"/>
      <c r="T146" s="80"/>
      <c r="V146" s="57"/>
      <c r="W146" s="57"/>
      <c r="X146" s="57"/>
      <c r="Z146" s="59"/>
      <c r="AA146" s="60"/>
    </row>
    <row r="147" spans="3:27" ht="15" customHeight="1" x14ac:dyDescent="0.3">
      <c r="C147" s="153" t="str">
        <f t="shared" si="0"/>
        <v>NATC-WP012</v>
      </c>
      <c r="D147" s="153" t="str">
        <f t="shared" si="1"/>
        <v>NATC-WP032</v>
      </c>
      <c r="E147" s="153" t="str">
        <f t="shared" si="2"/>
        <v/>
      </c>
      <c r="F147" s="154" t="str">
        <f t="shared" si="3"/>
        <v/>
      </c>
      <c r="G147" s="154" t="str">
        <f t="shared" si="4"/>
        <v/>
      </c>
      <c r="H147" s="154" t="str">
        <f t="shared" si="5"/>
        <v/>
      </c>
      <c r="I147" s="154"/>
      <c r="J147" s="154"/>
      <c r="K147" s="154"/>
      <c r="L147" s="154"/>
      <c r="M147" s="154"/>
      <c r="Q147" s="58"/>
      <c r="T147" s="80"/>
      <c r="V147" s="57"/>
      <c r="W147" s="57"/>
      <c r="X147" s="57"/>
      <c r="Z147" s="59"/>
      <c r="AA147" s="60"/>
    </row>
    <row r="148" spans="3:27" ht="15" customHeight="1" x14ac:dyDescent="0.3">
      <c r="C148" s="153" t="str">
        <f t="shared" si="0"/>
        <v/>
      </c>
      <c r="D148" s="153" t="str">
        <f t="shared" si="1"/>
        <v/>
      </c>
      <c r="E148" s="153" t="str">
        <f t="shared" si="2"/>
        <v/>
      </c>
      <c r="F148" s="154" t="str">
        <f t="shared" si="3"/>
        <v/>
      </c>
      <c r="G148" s="154" t="str">
        <f t="shared" si="4"/>
        <v/>
      </c>
      <c r="H148" s="154" t="str">
        <f t="shared" si="5"/>
        <v/>
      </c>
      <c r="I148" s="154"/>
      <c r="J148" s="154"/>
      <c r="K148" s="154"/>
      <c r="L148" s="154"/>
      <c r="M148" s="154"/>
      <c r="Q148" s="58"/>
      <c r="T148" s="80"/>
      <c r="V148" s="57"/>
      <c r="W148" s="57"/>
      <c r="X148" s="57"/>
      <c r="Z148" s="59"/>
      <c r="AA148" s="60"/>
    </row>
    <row r="149" spans="3:27" ht="15" customHeight="1" x14ac:dyDescent="0.3">
      <c r="C149" s="153" t="str">
        <f t="shared" si="0"/>
        <v/>
      </c>
      <c r="D149" s="153" t="str">
        <f t="shared" si="1"/>
        <v/>
      </c>
      <c r="E149" s="153" t="str">
        <f t="shared" si="2"/>
        <v/>
      </c>
      <c r="F149" s="154" t="str">
        <f t="shared" si="3"/>
        <v/>
      </c>
      <c r="G149" s="154" t="str">
        <f t="shared" si="4"/>
        <v/>
      </c>
      <c r="H149" s="154" t="str">
        <f t="shared" si="5"/>
        <v>NATC-WP111</v>
      </c>
      <c r="I149" s="154"/>
      <c r="J149" s="154"/>
      <c r="K149" s="154"/>
      <c r="L149" s="154"/>
      <c r="M149" s="154"/>
      <c r="Q149" s="58"/>
      <c r="T149" s="80"/>
      <c r="V149" s="57"/>
      <c r="W149" s="57"/>
      <c r="X149" s="57"/>
      <c r="Z149" s="59"/>
      <c r="AA149" s="60"/>
    </row>
    <row r="150" spans="3:27" ht="15" customHeight="1" x14ac:dyDescent="0.3">
      <c r="C150" s="153" t="str">
        <f t="shared" si="0"/>
        <v>NATC-WP015</v>
      </c>
      <c r="D150" s="153" t="str">
        <f t="shared" si="1"/>
        <v>NATC-WP035</v>
      </c>
      <c r="E150" s="153" t="str">
        <f t="shared" si="2"/>
        <v/>
      </c>
      <c r="F150" s="154" t="str">
        <f t="shared" si="3"/>
        <v/>
      </c>
      <c r="G150" s="154" t="str">
        <f t="shared" si="4"/>
        <v/>
      </c>
      <c r="H150" s="154" t="str">
        <f t="shared" si="5"/>
        <v>NATC-WP112</v>
      </c>
      <c r="I150" s="154"/>
      <c r="J150" s="154"/>
      <c r="K150" s="154"/>
      <c r="L150" s="154"/>
      <c r="M150" s="154"/>
      <c r="Q150" s="58"/>
      <c r="T150" s="80"/>
      <c r="V150" s="57"/>
      <c r="W150" s="57"/>
      <c r="X150" s="57"/>
      <c r="Z150" s="59"/>
      <c r="AA150" s="60"/>
    </row>
    <row r="151" spans="3:27" ht="28.8" x14ac:dyDescent="0.3">
      <c r="C151" s="153" t="str">
        <f t="shared" si="0"/>
        <v/>
      </c>
      <c r="D151" s="153" t="str">
        <f t="shared" si="1"/>
        <v>NATC-WP036</v>
      </c>
      <c r="E151" s="153" t="str">
        <f t="shared" si="2"/>
        <v/>
      </c>
      <c r="F151" s="154" t="str">
        <f t="shared" si="3"/>
        <v/>
      </c>
      <c r="G151" s="154" t="str">
        <f t="shared" si="4"/>
        <v/>
      </c>
      <c r="H151" s="154" t="str">
        <f t="shared" si="5"/>
        <v/>
      </c>
      <c r="I151" s="154"/>
      <c r="J151" s="154"/>
      <c r="K151" s="154"/>
      <c r="L151" s="154"/>
      <c r="M151" s="154"/>
      <c r="Q151" s="58"/>
      <c r="T151" s="80"/>
      <c r="V151" s="57"/>
      <c r="W151" s="57"/>
      <c r="X151" s="59"/>
      <c r="Y151" s="156"/>
      <c r="Z151" s="141"/>
      <c r="AA151" s="60"/>
    </row>
    <row r="152" spans="3:27" x14ac:dyDescent="0.3">
      <c r="C152" s="153" t="str">
        <f t="shared" si="0"/>
        <v>NATC-WP017</v>
      </c>
      <c r="D152" s="153" t="str">
        <f t="shared" si="1"/>
        <v/>
      </c>
      <c r="E152" s="153" t="str">
        <f t="shared" si="2"/>
        <v>NATC-WP057</v>
      </c>
      <c r="F152" s="154" t="str">
        <f t="shared" si="3"/>
        <v/>
      </c>
      <c r="G152" s="154" t="str">
        <f t="shared" si="4"/>
        <v>NATC-WP094</v>
      </c>
      <c r="H152" s="154" t="str">
        <f>IF(COUNTIF(A123:H123, 0) &gt; 0,#REF!, "")</f>
        <v/>
      </c>
      <c r="I152" s="154"/>
      <c r="J152" s="154"/>
      <c r="K152" s="154"/>
      <c r="L152" s="154"/>
      <c r="M152" s="154"/>
      <c r="Q152" s="58"/>
      <c r="T152" s="80"/>
      <c r="V152" s="57"/>
      <c r="W152" s="57"/>
      <c r="X152" s="59"/>
      <c r="Y152" s="156"/>
      <c r="Z152" s="141"/>
      <c r="AA152" s="60"/>
    </row>
    <row r="153" spans="3:27" x14ac:dyDescent="0.3">
      <c r="C153" s="153" t="str">
        <f t="shared" si="0"/>
        <v>NATC-WP018</v>
      </c>
      <c r="D153" s="153" t="str">
        <f t="shared" si="1"/>
        <v/>
      </c>
      <c r="E153" s="153" t="str">
        <f t="shared" si="2"/>
        <v/>
      </c>
      <c r="F153" s="154" t="str">
        <f t="shared" si="3"/>
        <v>NATC-WP078</v>
      </c>
      <c r="G153" s="154" t="str">
        <f t="shared" si="4"/>
        <v/>
      </c>
      <c r="H153" s="154" t="str">
        <f t="shared" ref="H153:H157" si="6">IF(COUNTIF(A129:H129, 0) &gt; 0, A129, "")</f>
        <v/>
      </c>
      <c r="I153" s="154"/>
      <c r="J153" s="154"/>
      <c r="K153" s="154"/>
      <c r="L153" s="154"/>
      <c r="M153" s="154"/>
      <c r="Q153" s="58"/>
      <c r="T153" s="80"/>
      <c r="V153" s="57"/>
      <c r="W153" s="57"/>
      <c r="X153" s="59"/>
      <c r="Y153" s="156"/>
      <c r="Z153" s="141"/>
      <c r="AA153" s="60"/>
    </row>
    <row r="154" spans="3:27" x14ac:dyDescent="0.3">
      <c r="C154" s="153" t="str">
        <f t="shared" si="0"/>
        <v/>
      </c>
      <c r="D154" s="153" t="str">
        <f t="shared" si="1"/>
        <v/>
      </c>
      <c r="E154" s="153" t="str">
        <f t="shared" si="2"/>
        <v>NATC-WP059</v>
      </c>
      <c r="F154" s="154" t="str">
        <f t="shared" si="3"/>
        <v>NATC-WP079</v>
      </c>
      <c r="G154" s="154" t="str">
        <f t="shared" si="4"/>
        <v/>
      </c>
      <c r="H154" s="154" t="str">
        <f t="shared" si="6"/>
        <v/>
      </c>
      <c r="I154" s="154"/>
      <c r="J154" s="154"/>
      <c r="K154" s="154"/>
      <c r="L154" s="154"/>
      <c r="M154" s="154"/>
      <c r="Q154" s="58"/>
      <c r="T154" s="80"/>
      <c r="V154" s="57"/>
      <c r="W154" s="57"/>
      <c r="X154" s="59"/>
      <c r="Y154" s="156"/>
      <c r="Z154" s="141"/>
      <c r="AA154" s="60"/>
    </row>
    <row r="155" spans="3:27" ht="28.8" x14ac:dyDescent="0.3">
      <c r="C155" s="153" t="str">
        <f t="shared" si="0"/>
        <v>NATC-WP020</v>
      </c>
      <c r="D155" s="153" t="str">
        <f t="shared" si="1"/>
        <v>NATC-WP040</v>
      </c>
      <c r="E155" s="153" t="str">
        <f t="shared" si="2"/>
        <v>NATC-WP060</v>
      </c>
      <c r="F155" s="154" t="str">
        <f t="shared" si="3"/>
        <v/>
      </c>
      <c r="G155" s="154" t="str">
        <f t="shared" si="4"/>
        <v/>
      </c>
      <c r="H155" s="154" t="str">
        <f t="shared" si="6"/>
        <v/>
      </c>
      <c r="I155" s="154"/>
      <c r="J155" s="154"/>
      <c r="K155" s="154"/>
      <c r="L155" s="154"/>
      <c r="M155" s="154"/>
      <c r="Q155" s="58"/>
      <c r="T155" s="80"/>
      <c r="V155" s="57"/>
      <c r="W155" s="57"/>
      <c r="X155" s="59"/>
      <c r="Y155" s="156"/>
      <c r="Z155" s="141"/>
      <c r="AA155" s="60"/>
    </row>
    <row r="156" spans="3:27" ht="28.8" x14ac:dyDescent="0.3">
      <c r="C156" s="153" t="str">
        <f t="shared" si="0"/>
        <v/>
      </c>
      <c r="D156" s="153" t="str">
        <f t="shared" si="1"/>
        <v>NATC-WP041</v>
      </c>
      <c r="E156" s="153" t="str">
        <f t="shared" si="2"/>
        <v>NATC-WP061</v>
      </c>
      <c r="F156" s="154" t="str">
        <f t="shared" si="3"/>
        <v/>
      </c>
      <c r="G156" s="154" t="str">
        <f t="shared" si="4"/>
        <v/>
      </c>
      <c r="H156" s="154" t="str">
        <f t="shared" si="6"/>
        <v/>
      </c>
      <c r="I156" s="154"/>
      <c r="J156" s="154"/>
      <c r="K156" s="154"/>
      <c r="L156" s="154"/>
      <c r="M156" s="154"/>
      <c r="Q156" s="58"/>
      <c r="T156" s="80"/>
      <c r="V156" s="57"/>
      <c r="W156" s="57"/>
      <c r="X156" s="59"/>
      <c r="Y156" s="156"/>
      <c r="Z156" s="141"/>
      <c r="AA156" s="60"/>
    </row>
    <row r="157" spans="3:27" x14ac:dyDescent="0.3">
      <c r="C157" s="153" t="str">
        <f t="shared" si="0"/>
        <v/>
      </c>
      <c r="D157" s="153" t="str">
        <f t="shared" si="1"/>
        <v/>
      </c>
      <c r="E157" s="153" t="str">
        <f t="shared" si="2"/>
        <v/>
      </c>
      <c r="F157" s="154" t="str">
        <f t="shared" si="3"/>
        <v/>
      </c>
      <c r="G157" s="154" t="str">
        <f t="shared" si="4"/>
        <v/>
      </c>
      <c r="H157" s="154" t="str">
        <f t="shared" si="6"/>
        <v/>
      </c>
      <c r="I157" s="154"/>
      <c r="J157" s="154"/>
      <c r="K157" s="154"/>
      <c r="L157" s="154"/>
      <c r="M157" s="154"/>
      <c r="Q157" s="58"/>
      <c r="T157" s="80"/>
      <c r="V157" s="57"/>
      <c r="W157" s="57"/>
      <c r="X157" s="59"/>
      <c r="Y157" s="156"/>
      <c r="Z157" s="141"/>
      <c r="AA157" s="60"/>
    </row>
    <row r="158" spans="3:27" x14ac:dyDescent="0.3">
      <c r="V158" s="59" t="s">
        <v>771</v>
      </c>
    </row>
  </sheetData>
  <pageMargins left="0.7" right="0.7" top="0.75" bottom="0.75" header="0.3" footer="0.3"/>
  <pageSetup scale="60" fitToHeight="0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52"/>
  <sheetViews>
    <sheetView topLeftCell="A44" workbookViewId="0">
      <selection activeCell="C79" sqref="C79"/>
    </sheetView>
  </sheetViews>
  <sheetFormatPr defaultColWidth="9.109375" defaultRowHeight="14.4" x14ac:dyDescent="0.3"/>
  <cols>
    <col min="1" max="1" width="24.109375" style="6" customWidth="1"/>
    <col min="2" max="2" width="19.109375" style="6" customWidth="1"/>
    <col min="3" max="3" width="32.6640625" style="6" customWidth="1"/>
    <col min="4" max="4" width="19.109375" style="6" customWidth="1"/>
    <col min="5" max="5" width="43.109375" style="6" customWidth="1"/>
    <col min="6" max="6" width="17.6640625" style="6" customWidth="1"/>
    <col min="7" max="7" width="20.88671875" style="6" customWidth="1"/>
    <col min="8" max="8" width="12.88671875" style="6" customWidth="1"/>
    <col min="9" max="9" width="23.109375" style="12" customWidth="1"/>
    <col min="10" max="11" width="16.5546875" style="12" customWidth="1"/>
    <col min="12" max="12" width="29.5546875" style="9" customWidth="1"/>
    <col min="13" max="13" width="58.109375" style="6" customWidth="1"/>
    <col min="14" max="14" width="11" style="6" customWidth="1"/>
    <col min="15" max="15" width="57.6640625" style="6" customWidth="1"/>
    <col min="16" max="16384" width="9.109375" style="6"/>
  </cols>
  <sheetData>
    <row r="1" spans="1:14" x14ac:dyDescent="0.3">
      <c r="A1" s="6" t="s">
        <v>0</v>
      </c>
    </row>
    <row r="2" spans="1:14" x14ac:dyDescent="0.3">
      <c r="A2" s="6" t="s">
        <v>1</v>
      </c>
      <c r="C2" s="6" t="s">
        <v>4</v>
      </c>
      <c r="E2" s="13" t="s">
        <v>772</v>
      </c>
    </row>
    <row r="3" spans="1:14" x14ac:dyDescent="0.3">
      <c r="I3" s="22" t="s">
        <v>773</v>
      </c>
      <c r="J3" s="22"/>
      <c r="K3" s="22"/>
    </row>
    <row r="5" spans="1:14" x14ac:dyDescent="0.3">
      <c r="A5" s="6" t="s">
        <v>6</v>
      </c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  <c r="G5" s="6" t="s">
        <v>25</v>
      </c>
      <c r="H5" s="6" t="s">
        <v>28</v>
      </c>
      <c r="I5" s="6" t="s">
        <v>29</v>
      </c>
      <c r="J5" s="6" t="s">
        <v>774</v>
      </c>
      <c r="K5" s="6" t="s">
        <v>775</v>
      </c>
      <c r="L5" s="12" t="s">
        <v>31</v>
      </c>
      <c r="M5" s="9" t="s">
        <v>32</v>
      </c>
      <c r="N5" s="6" t="s">
        <v>33</v>
      </c>
    </row>
    <row r="6" spans="1:14" ht="15" customHeight="1" x14ac:dyDescent="0.3">
      <c r="A6" s="6" t="s">
        <v>34</v>
      </c>
      <c r="B6" s="7" t="s">
        <v>36</v>
      </c>
      <c r="C6" s="7" t="s">
        <v>37</v>
      </c>
      <c r="D6" s="1" t="s">
        <v>38</v>
      </c>
      <c r="E6" s="6" t="s">
        <v>39</v>
      </c>
      <c r="F6" s="6" t="s">
        <v>71</v>
      </c>
      <c r="G6" s="8">
        <v>834532168</v>
      </c>
      <c r="H6" s="11">
        <v>1</v>
      </c>
      <c r="I6" s="6" t="s">
        <v>42</v>
      </c>
      <c r="J6" s="11">
        <v>0</v>
      </c>
      <c r="K6" s="6"/>
      <c r="L6" s="12"/>
      <c r="M6" s="9"/>
    </row>
    <row r="7" spans="1:14" ht="15.75" customHeight="1" x14ac:dyDescent="0.3">
      <c r="A7" s="6" t="s">
        <v>44</v>
      </c>
      <c r="B7" s="7" t="s">
        <v>36</v>
      </c>
      <c r="C7" s="7" t="s">
        <v>45</v>
      </c>
      <c r="D7" s="1" t="s">
        <v>46</v>
      </c>
      <c r="F7" s="6" t="s">
        <v>71</v>
      </c>
      <c r="G7" s="8"/>
      <c r="H7" s="11">
        <v>1</v>
      </c>
      <c r="I7" s="6"/>
      <c r="J7" s="11">
        <v>0</v>
      </c>
      <c r="K7" s="6"/>
      <c r="L7" s="12"/>
      <c r="M7" s="9"/>
    </row>
    <row r="8" spans="1:14" ht="15" customHeight="1" x14ac:dyDescent="0.3">
      <c r="A8" s="6" t="s">
        <v>49</v>
      </c>
      <c r="B8" s="7" t="s">
        <v>53</v>
      </c>
      <c r="C8" s="7" t="s">
        <v>54</v>
      </c>
      <c r="D8" s="1" t="s">
        <v>55</v>
      </c>
      <c r="E8" s="6" t="s">
        <v>56</v>
      </c>
      <c r="F8" s="6" t="s">
        <v>57</v>
      </c>
      <c r="G8" s="8">
        <v>789843396</v>
      </c>
      <c r="H8" s="11">
        <v>1</v>
      </c>
      <c r="I8" s="6" t="s">
        <v>59</v>
      </c>
      <c r="J8" s="11">
        <v>1</v>
      </c>
      <c r="K8" s="6"/>
      <c r="L8" s="12"/>
      <c r="M8" s="9"/>
    </row>
    <row r="9" spans="1:14" ht="15" customHeight="1" x14ac:dyDescent="0.3">
      <c r="A9" s="6" t="s">
        <v>60</v>
      </c>
      <c r="B9" s="7" t="s">
        <v>53</v>
      </c>
      <c r="C9" s="7" t="s">
        <v>54</v>
      </c>
      <c r="D9" s="1" t="s">
        <v>63</v>
      </c>
      <c r="E9" s="6" t="s">
        <v>64</v>
      </c>
      <c r="F9" s="6" t="s">
        <v>57</v>
      </c>
      <c r="G9" s="8">
        <v>789866268</v>
      </c>
      <c r="H9" s="11">
        <v>1</v>
      </c>
      <c r="I9" s="6" t="s">
        <v>59</v>
      </c>
      <c r="J9" s="11">
        <v>1</v>
      </c>
      <c r="K9" s="6"/>
      <c r="L9" s="12"/>
      <c r="M9" s="9"/>
    </row>
    <row r="10" spans="1:14" ht="15" customHeight="1" x14ac:dyDescent="0.3">
      <c r="A10" s="6" t="s">
        <v>65</v>
      </c>
      <c r="B10" s="7" t="s">
        <v>36</v>
      </c>
      <c r="C10" s="7" t="s">
        <v>37</v>
      </c>
      <c r="D10" s="1" t="s">
        <v>66</v>
      </c>
      <c r="F10" s="6" t="s">
        <v>40</v>
      </c>
      <c r="G10" s="8"/>
      <c r="H10" s="11">
        <v>1</v>
      </c>
      <c r="I10" s="6"/>
      <c r="J10" s="11">
        <v>0</v>
      </c>
      <c r="K10" s="6"/>
      <c r="L10" s="12"/>
      <c r="M10" s="9"/>
    </row>
    <row r="11" spans="1:14" ht="15.75" customHeight="1" x14ac:dyDescent="0.3">
      <c r="A11" s="6" t="s">
        <v>68</v>
      </c>
      <c r="B11" s="14" t="s">
        <v>36</v>
      </c>
      <c r="C11" s="7" t="s">
        <v>69</v>
      </c>
      <c r="D11" s="1" t="s">
        <v>70</v>
      </c>
      <c r="F11" s="6" t="s">
        <v>71</v>
      </c>
      <c r="G11" s="8">
        <v>1044211323</v>
      </c>
      <c r="H11" s="11">
        <v>1</v>
      </c>
      <c r="I11" s="6"/>
      <c r="J11" s="11">
        <v>0</v>
      </c>
      <c r="K11" s="6"/>
      <c r="L11" s="12"/>
      <c r="M11" s="9"/>
    </row>
    <row r="12" spans="1:14" ht="15" customHeight="1" x14ac:dyDescent="0.3">
      <c r="A12" s="6" t="s">
        <v>776</v>
      </c>
      <c r="B12" s="7" t="s">
        <v>53</v>
      </c>
      <c r="C12" s="7" t="s">
        <v>54</v>
      </c>
      <c r="D12" s="1" t="s">
        <v>76</v>
      </c>
      <c r="E12" s="6" t="s">
        <v>77</v>
      </c>
      <c r="F12" s="6" t="s">
        <v>57</v>
      </c>
      <c r="G12" s="8">
        <v>180065251</v>
      </c>
      <c r="H12" s="11">
        <v>1</v>
      </c>
      <c r="I12" s="6" t="s">
        <v>59</v>
      </c>
      <c r="J12" s="11">
        <v>1</v>
      </c>
      <c r="K12" s="6"/>
      <c r="L12" s="12"/>
      <c r="M12" s="9"/>
    </row>
    <row r="13" spans="1:14" ht="15" customHeight="1" x14ac:dyDescent="0.3">
      <c r="A13" s="6" t="s">
        <v>80</v>
      </c>
      <c r="B13" s="7" t="s">
        <v>53</v>
      </c>
      <c r="C13" s="7" t="s">
        <v>54</v>
      </c>
      <c r="D13" s="1" t="s">
        <v>83</v>
      </c>
      <c r="E13" s="6" t="s">
        <v>84</v>
      </c>
      <c r="F13" s="6" t="s">
        <v>57</v>
      </c>
      <c r="G13" s="8" t="s">
        <v>85</v>
      </c>
      <c r="H13" s="11">
        <v>1</v>
      </c>
      <c r="I13" s="6" t="s">
        <v>59</v>
      </c>
      <c r="J13" s="11">
        <v>1</v>
      </c>
      <c r="K13" s="6"/>
      <c r="L13" s="12"/>
      <c r="M13" s="9"/>
    </row>
    <row r="14" spans="1:14" ht="15" customHeight="1" x14ac:dyDescent="0.3">
      <c r="A14" s="6" t="s">
        <v>86</v>
      </c>
      <c r="B14" s="7" t="s">
        <v>91</v>
      </c>
      <c r="C14" s="7" t="s">
        <v>92</v>
      </c>
      <c r="D14" s="1" t="s">
        <v>93</v>
      </c>
      <c r="E14" s="6" t="s">
        <v>94</v>
      </c>
      <c r="F14" s="6" t="s">
        <v>57</v>
      </c>
      <c r="G14" s="8"/>
      <c r="H14" s="11">
        <v>1</v>
      </c>
      <c r="I14" s="6" t="s">
        <v>42</v>
      </c>
      <c r="J14" s="11">
        <v>1</v>
      </c>
      <c r="K14" s="6"/>
      <c r="L14" s="12"/>
      <c r="M14" s="9"/>
    </row>
    <row r="15" spans="1:14" ht="15" customHeight="1" x14ac:dyDescent="0.3">
      <c r="A15" s="6" t="s">
        <v>95</v>
      </c>
      <c r="B15" s="7" t="s">
        <v>36</v>
      </c>
      <c r="C15" s="7" t="s">
        <v>96</v>
      </c>
      <c r="D15" s="1" t="s">
        <v>97</v>
      </c>
      <c r="F15" s="6" t="s">
        <v>71</v>
      </c>
      <c r="G15" s="8"/>
      <c r="H15" s="11">
        <v>1</v>
      </c>
      <c r="I15" s="6"/>
      <c r="J15" s="11">
        <v>0</v>
      </c>
      <c r="K15" s="6"/>
      <c r="L15" s="12"/>
      <c r="M15" s="9"/>
    </row>
    <row r="16" spans="1:14" ht="15" customHeight="1" x14ac:dyDescent="0.3">
      <c r="A16" s="6" t="s">
        <v>98</v>
      </c>
      <c r="B16" s="14" t="s">
        <v>36</v>
      </c>
      <c r="C16" s="7" t="s">
        <v>99</v>
      </c>
      <c r="D16" s="1" t="s">
        <v>100</v>
      </c>
      <c r="F16" s="6" t="s">
        <v>71</v>
      </c>
      <c r="G16" s="8"/>
      <c r="H16" s="11">
        <v>1</v>
      </c>
      <c r="I16" s="6"/>
      <c r="J16" s="11">
        <v>0</v>
      </c>
      <c r="K16" s="6"/>
      <c r="L16" s="12"/>
      <c r="M16" s="9"/>
    </row>
    <row r="17" spans="1:13" ht="15" customHeight="1" x14ac:dyDescent="0.3">
      <c r="A17" s="6" t="s">
        <v>101</v>
      </c>
      <c r="B17" s="7" t="s">
        <v>104</v>
      </c>
      <c r="C17" s="7" t="s">
        <v>105</v>
      </c>
      <c r="D17" s="1" t="s">
        <v>106</v>
      </c>
      <c r="E17" s="6" t="s">
        <v>107</v>
      </c>
      <c r="F17" s="6" t="s">
        <v>57</v>
      </c>
      <c r="G17" s="8">
        <v>177404820</v>
      </c>
      <c r="H17" s="11">
        <v>1</v>
      </c>
      <c r="I17" s="6"/>
      <c r="J17" s="11">
        <v>1</v>
      </c>
      <c r="K17" s="6"/>
      <c r="L17" s="12"/>
      <c r="M17" s="9"/>
    </row>
    <row r="18" spans="1:13" ht="15" customHeight="1" x14ac:dyDescent="0.3">
      <c r="A18" s="6" t="s">
        <v>109</v>
      </c>
      <c r="B18" s="7" t="s">
        <v>91</v>
      </c>
      <c r="C18" s="7" t="s">
        <v>110</v>
      </c>
      <c r="D18" s="1" t="s">
        <v>111</v>
      </c>
      <c r="F18" s="6" t="s">
        <v>71</v>
      </c>
      <c r="G18" s="8"/>
      <c r="H18" s="11">
        <v>1</v>
      </c>
      <c r="I18" s="6"/>
      <c r="J18" s="11">
        <v>0</v>
      </c>
      <c r="K18" s="6"/>
      <c r="L18" s="12"/>
      <c r="M18" s="9"/>
    </row>
    <row r="19" spans="1:13" ht="15.75" customHeight="1" x14ac:dyDescent="0.3">
      <c r="A19" s="6" t="s">
        <v>112</v>
      </c>
      <c r="B19" s="2" t="s">
        <v>116</v>
      </c>
      <c r="C19" s="15" t="s">
        <v>117</v>
      </c>
      <c r="D19" s="1" t="s">
        <v>118</v>
      </c>
      <c r="E19" s="6" t="s">
        <v>119</v>
      </c>
      <c r="F19" s="6" t="s">
        <v>57</v>
      </c>
      <c r="G19" s="8"/>
      <c r="H19" s="11">
        <v>1</v>
      </c>
      <c r="I19" s="6"/>
      <c r="J19" s="11">
        <v>1</v>
      </c>
      <c r="K19" s="6"/>
      <c r="L19" s="12"/>
      <c r="M19" s="9"/>
    </row>
    <row r="20" spans="1:13" ht="15" customHeight="1" x14ac:dyDescent="0.3">
      <c r="A20" s="6" t="s">
        <v>121</v>
      </c>
      <c r="B20" s="7" t="s">
        <v>91</v>
      </c>
      <c r="C20" s="7" t="s">
        <v>124</v>
      </c>
      <c r="D20" s="1" t="s">
        <v>125</v>
      </c>
      <c r="E20" s="6" t="s">
        <v>126</v>
      </c>
      <c r="F20" s="6" t="s">
        <v>57</v>
      </c>
      <c r="G20" s="8"/>
      <c r="H20" s="11">
        <v>1</v>
      </c>
      <c r="I20" s="6"/>
      <c r="J20" s="11">
        <v>1</v>
      </c>
      <c r="K20" s="6"/>
      <c r="L20" s="12"/>
      <c r="M20" s="9" t="s">
        <v>128</v>
      </c>
    </row>
    <row r="21" spans="1:13" ht="15" customHeight="1" x14ac:dyDescent="0.3">
      <c r="A21" s="6" t="s">
        <v>129</v>
      </c>
      <c r="B21" s="7" t="s">
        <v>91</v>
      </c>
      <c r="C21" s="7" t="s">
        <v>132</v>
      </c>
      <c r="D21" s="1" t="s">
        <v>133</v>
      </c>
      <c r="E21" s="6" t="s">
        <v>134</v>
      </c>
      <c r="F21" s="6" t="s">
        <v>57</v>
      </c>
      <c r="G21" s="8">
        <v>360876056</v>
      </c>
      <c r="H21" s="11">
        <v>1</v>
      </c>
      <c r="I21" s="6"/>
      <c r="J21" s="11">
        <v>1</v>
      </c>
      <c r="K21" s="6"/>
      <c r="L21" s="12"/>
      <c r="M21" s="9"/>
    </row>
    <row r="22" spans="1:13" ht="15" customHeight="1" x14ac:dyDescent="0.3">
      <c r="A22" s="6" t="s">
        <v>136</v>
      </c>
      <c r="B22" s="7" t="s">
        <v>104</v>
      </c>
      <c r="C22" s="7" t="s">
        <v>105</v>
      </c>
      <c r="D22" s="1" t="s">
        <v>139</v>
      </c>
      <c r="E22" s="6" t="s">
        <v>140</v>
      </c>
      <c r="F22" s="6" t="s">
        <v>57</v>
      </c>
      <c r="G22" s="8">
        <v>908245437</v>
      </c>
      <c r="H22" s="11">
        <v>1</v>
      </c>
      <c r="I22" s="6" t="s">
        <v>59</v>
      </c>
      <c r="J22" s="11">
        <v>1</v>
      </c>
      <c r="K22" s="6"/>
      <c r="L22" s="12"/>
      <c r="M22" s="9" t="s">
        <v>142</v>
      </c>
    </row>
    <row r="23" spans="1:13" ht="15" customHeight="1" x14ac:dyDescent="0.3">
      <c r="A23" s="6" t="s">
        <v>143</v>
      </c>
      <c r="B23" s="7" t="s">
        <v>104</v>
      </c>
      <c r="C23" s="7" t="s">
        <v>105</v>
      </c>
      <c r="D23" s="1" t="s">
        <v>147</v>
      </c>
      <c r="E23" s="6" t="s">
        <v>148</v>
      </c>
      <c r="F23" s="6" t="s">
        <v>57</v>
      </c>
      <c r="G23" s="8">
        <v>969973396</v>
      </c>
      <c r="H23" s="11">
        <v>1</v>
      </c>
      <c r="I23" s="6" t="s">
        <v>59</v>
      </c>
      <c r="J23" s="11">
        <v>1</v>
      </c>
      <c r="K23" s="6"/>
      <c r="L23" s="12"/>
      <c r="M23" s="9"/>
    </row>
    <row r="24" spans="1:13" ht="15" customHeight="1" x14ac:dyDescent="0.3">
      <c r="A24" s="6" t="s">
        <v>150</v>
      </c>
      <c r="B24" s="7" t="s">
        <v>104</v>
      </c>
      <c r="C24" s="7" t="s">
        <v>105</v>
      </c>
      <c r="D24" s="1" t="s">
        <v>154</v>
      </c>
      <c r="E24" s="6" t="s">
        <v>155</v>
      </c>
      <c r="F24" s="6" t="s">
        <v>57</v>
      </c>
      <c r="G24" s="8">
        <v>494549281</v>
      </c>
      <c r="H24" s="11">
        <v>1</v>
      </c>
      <c r="I24" s="6" t="s">
        <v>59</v>
      </c>
      <c r="J24" s="11">
        <v>1</v>
      </c>
      <c r="K24" s="6"/>
      <c r="L24" s="12"/>
      <c r="M24" s="9" t="s">
        <v>157</v>
      </c>
    </row>
    <row r="25" spans="1:13" ht="15" customHeight="1" x14ac:dyDescent="0.3">
      <c r="A25" s="6" t="s">
        <v>158</v>
      </c>
      <c r="B25" s="7" t="s">
        <v>53</v>
      </c>
      <c r="C25" s="7" t="s">
        <v>54</v>
      </c>
      <c r="D25" s="1" t="s">
        <v>161</v>
      </c>
      <c r="E25" s="6" t="s">
        <v>162</v>
      </c>
      <c r="F25" s="6" t="s">
        <v>57</v>
      </c>
      <c r="G25" s="8">
        <v>936355448</v>
      </c>
      <c r="H25" s="11">
        <v>1</v>
      </c>
      <c r="I25" s="6" t="s">
        <v>59</v>
      </c>
      <c r="J25" s="11">
        <v>1</v>
      </c>
      <c r="K25" s="6"/>
      <c r="L25" s="12"/>
      <c r="M25" s="9" t="s">
        <v>164</v>
      </c>
    </row>
    <row r="26" spans="1:13" ht="15" customHeight="1" x14ac:dyDescent="0.3">
      <c r="A26" s="6" t="s">
        <v>165</v>
      </c>
      <c r="B26" s="7" t="s">
        <v>53</v>
      </c>
      <c r="C26" s="7" t="s">
        <v>54</v>
      </c>
      <c r="D26" s="1" t="s">
        <v>168</v>
      </c>
      <c r="E26" s="6" t="s">
        <v>169</v>
      </c>
      <c r="F26" s="6" t="s">
        <v>57</v>
      </c>
      <c r="G26" s="8">
        <v>936304373</v>
      </c>
      <c r="H26" s="11">
        <v>1</v>
      </c>
      <c r="I26" s="6" t="s">
        <v>59</v>
      </c>
      <c r="J26" s="11">
        <v>1</v>
      </c>
      <c r="K26" s="6"/>
      <c r="L26" s="12"/>
      <c r="M26" s="9"/>
    </row>
    <row r="27" spans="1:13" ht="15" customHeight="1" x14ac:dyDescent="0.3">
      <c r="A27" s="6" t="s">
        <v>171</v>
      </c>
      <c r="B27" s="7" t="s">
        <v>53</v>
      </c>
      <c r="C27" s="7" t="s">
        <v>54</v>
      </c>
      <c r="D27" s="1" t="s">
        <v>174</v>
      </c>
      <c r="E27" s="6" t="s">
        <v>175</v>
      </c>
      <c r="F27" s="6" t="s">
        <v>57</v>
      </c>
      <c r="G27" s="8">
        <v>981034947</v>
      </c>
      <c r="H27" s="11">
        <v>1</v>
      </c>
      <c r="I27" s="6" t="s">
        <v>59</v>
      </c>
      <c r="J27" s="11">
        <v>1</v>
      </c>
      <c r="K27" s="6"/>
      <c r="L27" s="12"/>
      <c r="M27" s="9"/>
    </row>
    <row r="28" spans="1:13" ht="15" customHeight="1" x14ac:dyDescent="0.3">
      <c r="A28" s="6" t="s">
        <v>177</v>
      </c>
      <c r="B28" s="7" t="s">
        <v>53</v>
      </c>
      <c r="C28" s="7" t="s">
        <v>54</v>
      </c>
      <c r="D28" s="1" t="s">
        <v>180</v>
      </c>
      <c r="E28" s="6" t="s">
        <v>181</v>
      </c>
      <c r="F28" s="6" t="s">
        <v>57</v>
      </c>
      <c r="G28" s="8">
        <v>977759087</v>
      </c>
      <c r="H28" s="11">
        <v>1</v>
      </c>
      <c r="I28" s="6" t="s">
        <v>59</v>
      </c>
      <c r="J28" s="11">
        <v>1</v>
      </c>
      <c r="K28" s="6"/>
      <c r="L28" s="12"/>
      <c r="M28" s="9"/>
    </row>
    <row r="29" spans="1:13" ht="15" customHeight="1" x14ac:dyDescent="0.3">
      <c r="A29" s="6" t="s">
        <v>182</v>
      </c>
      <c r="B29" s="7" t="s">
        <v>104</v>
      </c>
      <c r="C29" s="7" t="s">
        <v>105</v>
      </c>
      <c r="D29" s="1" t="s">
        <v>185</v>
      </c>
      <c r="F29" s="6" t="s">
        <v>57</v>
      </c>
      <c r="G29" s="8">
        <v>616607680</v>
      </c>
      <c r="H29" s="11">
        <v>1</v>
      </c>
      <c r="I29" s="6" t="s">
        <v>59</v>
      </c>
      <c r="J29" s="11">
        <v>1</v>
      </c>
      <c r="K29" s="6"/>
      <c r="L29" s="12"/>
      <c r="M29" s="6" t="s">
        <v>187</v>
      </c>
    </row>
    <row r="30" spans="1:13" ht="15" customHeight="1" x14ac:dyDescent="0.3">
      <c r="A30" s="6" t="s">
        <v>188</v>
      </c>
      <c r="B30" s="7" t="s">
        <v>104</v>
      </c>
      <c r="C30" s="7" t="s">
        <v>105</v>
      </c>
      <c r="D30" s="1" t="s">
        <v>189</v>
      </c>
      <c r="E30" s="6" t="s">
        <v>190</v>
      </c>
      <c r="F30" s="6" t="s">
        <v>40</v>
      </c>
      <c r="G30" s="8">
        <v>852116416</v>
      </c>
      <c r="H30" s="11">
        <v>1</v>
      </c>
      <c r="I30" s="6" t="s">
        <v>59</v>
      </c>
      <c r="J30" s="11">
        <v>0</v>
      </c>
      <c r="K30" s="6"/>
      <c r="L30" s="12"/>
      <c r="M30" s="9" t="s">
        <v>192</v>
      </c>
    </row>
    <row r="31" spans="1:13" ht="15" customHeight="1" x14ac:dyDescent="0.3">
      <c r="A31" s="6" t="s">
        <v>193</v>
      </c>
      <c r="B31" s="7" t="s">
        <v>53</v>
      </c>
      <c r="C31" s="7" t="s">
        <v>54</v>
      </c>
      <c r="D31" s="1" t="s">
        <v>196</v>
      </c>
      <c r="E31" s="6" t="s">
        <v>197</v>
      </c>
      <c r="F31" s="6" t="s">
        <v>57</v>
      </c>
      <c r="G31" s="8">
        <v>838944147</v>
      </c>
      <c r="H31" s="11">
        <v>1</v>
      </c>
      <c r="I31" s="6" t="s">
        <v>42</v>
      </c>
      <c r="J31" s="11">
        <v>1</v>
      </c>
      <c r="K31" s="6"/>
      <c r="L31" s="12"/>
      <c r="M31" s="9"/>
    </row>
    <row r="32" spans="1:13" ht="15" customHeight="1" x14ac:dyDescent="0.3">
      <c r="A32" s="6" t="s">
        <v>199</v>
      </c>
      <c r="B32" s="7" t="s">
        <v>53</v>
      </c>
      <c r="C32" s="7" t="s">
        <v>54</v>
      </c>
      <c r="D32" s="1" t="s">
        <v>202</v>
      </c>
      <c r="E32" s="6" t="s">
        <v>203</v>
      </c>
      <c r="F32" s="6" t="s">
        <v>57</v>
      </c>
      <c r="G32" s="8">
        <v>838857508</v>
      </c>
      <c r="H32" s="11">
        <v>1</v>
      </c>
      <c r="I32" s="6" t="s">
        <v>42</v>
      </c>
      <c r="J32" s="11">
        <v>1</v>
      </c>
      <c r="K32" s="6"/>
      <c r="L32" s="12"/>
      <c r="M32" s="9"/>
    </row>
    <row r="33" spans="1:13" ht="18" customHeight="1" x14ac:dyDescent="0.3">
      <c r="A33" s="6" t="s">
        <v>204</v>
      </c>
      <c r="B33" s="7" t="s">
        <v>104</v>
      </c>
      <c r="C33" s="7" t="s">
        <v>105</v>
      </c>
      <c r="D33" s="1" t="s">
        <v>207</v>
      </c>
      <c r="E33" s="6" t="s">
        <v>208</v>
      </c>
      <c r="F33" s="6" t="s">
        <v>57</v>
      </c>
      <c r="G33" s="8">
        <v>982874662</v>
      </c>
      <c r="H33" s="11">
        <v>1</v>
      </c>
      <c r="I33" s="6" t="s">
        <v>59</v>
      </c>
      <c r="J33" s="11">
        <v>1</v>
      </c>
      <c r="K33" s="6"/>
      <c r="L33" s="12"/>
      <c r="M33" s="9"/>
    </row>
    <row r="34" spans="1:13" ht="15" customHeight="1" x14ac:dyDescent="0.3">
      <c r="A34" s="6" t="s">
        <v>210</v>
      </c>
      <c r="B34" s="7" t="s">
        <v>36</v>
      </c>
      <c r="C34" s="7" t="s">
        <v>213</v>
      </c>
      <c r="D34" s="1" t="s">
        <v>214</v>
      </c>
      <c r="E34" s="6" t="s">
        <v>215</v>
      </c>
      <c r="F34" s="6" t="s">
        <v>57</v>
      </c>
      <c r="G34" s="8">
        <v>1661101892</v>
      </c>
      <c r="H34" s="11">
        <v>1</v>
      </c>
      <c r="I34" s="6" t="s">
        <v>42</v>
      </c>
      <c r="J34" s="11">
        <v>1</v>
      </c>
      <c r="K34" s="6"/>
      <c r="L34" s="12"/>
      <c r="M34" s="9"/>
    </row>
    <row r="35" spans="1:13" ht="15" customHeight="1" x14ac:dyDescent="0.3">
      <c r="A35" s="6" t="s">
        <v>217</v>
      </c>
      <c r="B35" s="7" t="s">
        <v>218</v>
      </c>
      <c r="C35" s="7" t="s">
        <v>219</v>
      </c>
      <c r="D35" s="1" t="s">
        <v>220</v>
      </c>
      <c r="E35" s="6" t="s">
        <v>208</v>
      </c>
      <c r="F35" s="6" t="s">
        <v>71</v>
      </c>
      <c r="G35" s="8"/>
      <c r="H35" s="11">
        <v>1</v>
      </c>
      <c r="I35" s="6" t="s">
        <v>42</v>
      </c>
      <c r="J35" s="11">
        <v>0</v>
      </c>
      <c r="K35" s="6"/>
      <c r="L35" s="12"/>
      <c r="M35" s="9" t="s">
        <v>222</v>
      </c>
    </row>
    <row r="36" spans="1:13" ht="15" customHeight="1" x14ac:dyDescent="0.3">
      <c r="A36" s="6" t="s">
        <v>223</v>
      </c>
      <c r="B36" s="7" t="s">
        <v>104</v>
      </c>
      <c r="C36" s="7" t="s">
        <v>226</v>
      </c>
      <c r="D36" s="1" t="s">
        <v>227</v>
      </c>
      <c r="E36" s="6" t="s">
        <v>228</v>
      </c>
      <c r="F36" s="6" t="s">
        <v>57</v>
      </c>
      <c r="G36" s="8" t="s">
        <v>229</v>
      </c>
      <c r="H36" s="11">
        <v>1</v>
      </c>
      <c r="I36" s="6"/>
      <c r="J36" s="11">
        <v>1</v>
      </c>
      <c r="K36" s="6"/>
      <c r="L36" s="12"/>
      <c r="M36" s="9"/>
    </row>
    <row r="37" spans="1:13" ht="15" customHeight="1" x14ac:dyDescent="0.3">
      <c r="A37" s="6" t="s">
        <v>231</v>
      </c>
      <c r="B37" s="7" t="s">
        <v>104</v>
      </c>
      <c r="C37" s="7" t="s">
        <v>105</v>
      </c>
      <c r="D37" s="1" t="s">
        <v>234</v>
      </c>
      <c r="E37" s="6" t="s">
        <v>235</v>
      </c>
      <c r="F37" s="6" t="s">
        <v>57</v>
      </c>
      <c r="G37" s="8" t="s">
        <v>236</v>
      </c>
      <c r="H37" s="11">
        <v>1</v>
      </c>
      <c r="I37" s="6"/>
      <c r="J37" s="11">
        <v>1</v>
      </c>
      <c r="K37" s="6"/>
      <c r="L37" s="12"/>
      <c r="M37" s="9"/>
    </row>
    <row r="38" spans="1:13" ht="15" customHeight="1" x14ac:dyDescent="0.3">
      <c r="A38" s="6" t="s">
        <v>238</v>
      </c>
      <c r="B38" s="7" t="s">
        <v>104</v>
      </c>
      <c r="C38" s="7" t="s">
        <v>105</v>
      </c>
      <c r="D38" s="1" t="s">
        <v>241</v>
      </c>
      <c r="E38" s="6" t="s">
        <v>777</v>
      </c>
      <c r="F38" s="6" t="s">
        <v>57</v>
      </c>
      <c r="G38" s="8" t="s">
        <v>243</v>
      </c>
      <c r="H38" s="11">
        <v>1</v>
      </c>
      <c r="I38" s="6" t="s">
        <v>59</v>
      </c>
      <c r="J38" s="11">
        <v>1</v>
      </c>
      <c r="K38" s="6"/>
      <c r="L38" s="12"/>
      <c r="M38" s="9"/>
    </row>
    <row r="39" spans="1:13" ht="15" customHeight="1" x14ac:dyDescent="0.3">
      <c r="A39" s="6" t="s">
        <v>245</v>
      </c>
      <c r="B39" s="7" t="s">
        <v>104</v>
      </c>
      <c r="C39" s="7" t="s">
        <v>105</v>
      </c>
      <c r="D39" s="1" t="s">
        <v>249</v>
      </c>
      <c r="E39" s="6" t="s">
        <v>250</v>
      </c>
      <c r="F39" s="6" t="s">
        <v>57</v>
      </c>
      <c r="G39" s="8">
        <v>904468604</v>
      </c>
      <c r="H39" s="11">
        <v>1</v>
      </c>
      <c r="I39" s="6" t="s">
        <v>59</v>
      </c>
      <c r="J39" s="11">
        <v>1</v>
      </c>
      <c r="K39" s="6"/>
      <c r="L39" s="12"/>
      <c r="M39" s="9"/>
    </row>
    <row r="40" spans="1:13" ht="15" customHeight="1" x14ac:dyDescent="0.3">
      <c r="A40" s="6" t="s">
        <v>251</v>
      </c>
      <c r="B40" s="7" t="s">
        <v>91</v>
      </c>
      <c r="C40" s="7" t="s">
        <v>254</v>
      </c>
      <c r="D40" s="1" t="s">
        <v>255</v>
      </c>
      <c r="E40" s="6" t="s">
        <v>256</v>
      </c>
      <c r="F40" s="6" t="s">
        <v>57</v>
      </c>
      <c r="G40" s="8">
        <v>360874488</v>
      </c>
      <c r="H40" s="11">
        <v>1</v>
      </c>
      <c r="I40" s="6"/>
      <c r="J40" s="11">
        <v>1</v>
      </c>
      <c r="K40" s="6"/>
      <c r="L40" s="12"/>
      <c r="M40" s="9"/>
    </row>
    <row r="41" spans="1:13" ht="15" customHeight="1" x14ac:dyDescent="0.3">
      <c r="A41" s="6" t="s">
        <v>257</v>
      </c>
      <c r="B41" s="7" t="s">
        <v>91</v>
      </c>
      <c r="C41" s="7" t="s">
        <v>254</v>
      </c>
      <c r="D41" s="1" t="s">
        <v>260</v>
      </c>
      <c r="E41" s="6" t="s">
        <v>261</v>
      </c>
      <c r="F41" s="6" t="s">
        <v>57</v>
      </c>
      <c r="G41" s="8">
        <v>616597961</v>
      </c>
      <c r="H41" s="11">
        <v>1</v>
      </c>
      <c r="I41" s="6" t="s">
        <v>42</v>
      </c>
      <c r="J41" s="11">
        <v>1</v>
      </c>
      <c r="K41" s="6"/>
      <c r="L41" s="12"/>
      <c r="M41" s="9"/>
    </row>
    <row r="42" spans="1:13" ht="15" customHeight="1" x14ac:dyDescent="0.3">
      <c r="A42" s="6" t="s">
        <v>263</v>
      </c>
      <c r="B42" s="7" t="s">
        <v>91</v>
      </c>
      <c r="C42" s="7" t="s">
        <v>92</v>
      </c>
      <c r="D42" s="1" t="s">
        <v>266</v>
      </c>
      <c r="E42" s="6" t="s">
        <v>267</v>
      </c>
      <c r="F42" s="6" t="s">
        <v>57</v>
      </c>
      <c r="G42" s="8">
        <v>933467912</v>
      </c>
      <c r="H42" s="11">
        <v>1</v>
      </c>
      <c r="I42" s="6" t="s">
        <v>42</v>
      </c>
      <c r="J42" s="11">
        <v>1</v>
      </c>
      <c r="K42" s="6"/>
      <c r="L42" s="12"/>
      <c r="M42" s="9"/>
    </row>
    <row r="43" spans="1:13" ht="15" customHeight="1" x14ac:dyDescent="0.3">
      <c r="A43" s="6" t="s">
        <v>269</v>
      </c>
      <c r="B43" s="7" t="s">
        <v>104</v>
      </c>
      <c r="C43" s="7" t="s">
        <v>105</v>
      </c>
      <c r="D43" s="1" t="s">
        <v>272</v>
      </c>
      <c r="E43" s="6" t="s">
        <v>273</v>
      </c>
      <c r="F43" s="6" t="s">
        <v>57</v>
      </c>
      <c r="G43" s="8">
        <v>177426404</v>
      </c>
      <c r="H43" s="11">
        <v>1</v>
      </c>
      <c r="I43" s="6"/>
      <c r="J43" s="11">
        <v>1</v>
      </c>
      <c r="K43" s="6"/>
      <c r="L43" s="12"/>
      <c r="M43" s="9"/>
    </row>
    <row r="44" spans="1:13" ht="15" customHeight="1" x14ac:dyDescent="0.3">
      <c r="A44" s="6" t="s">
        <v>274</v>
      </c>
      <c r="B44" s="7" t="s">
        <v>104</v>
      </c>
      <c r="C44" s="7" t="s">
        <v>105</v>
      </c>
      <c r="D44" s="1" t="s">
        <v>277</v>
      </c>
      <c r="E44" s="6" t="s">
        <v>278</v>
      </c>
      <c r="F44" s="6" t="s">
        <v>57</v>
      </c>
      <c r="G44" s="8">
        <v>1021366445</v>
      </c>
      <c r="H44" s="11">
        <v>1</v>
      </c>
      <c r="I44" s="6"/>
      <c r="J44" s="11">
        <v>1</v>
      </c>
      <c r="K44" s="6"/>
      <c r="L44" s="12"/>
      <c r="M44" s="9"/>
    </row>
    <row r="45" spans="1:13" ht="15" customHeight="1" x14ac:dyDescent="0.3">
      <c r="A45" s="6" t="s">
        <v>281</v>
      </c>
      <c r="B45" s="7" t="s">
        <v>104</v>
      </c>
      <c r="C45" s="7" t="s">
        <v>105</v>
      </c>
      <c r="D45" s="1" t="s">
        <v>284</v>
      </c>
      <c r="E45" s="6" t="s">
        <v>285</v>
      </c>
      <c r="F45" s="6" t="s">
        <v>57</v>
      </c>
      <c r="G45" s="8">
        <v>187256239</v>
      </c>
      <c r="H45" s="11">
        <v>1</v>
      </c>
      <c r="I45" s="6"/>
      <c r="J45" s="11">
        <v>1</v>
      </c>
      <c r="K45" s="6"/>
      <c r="L45" s="12"/>
      <c r="M45" s="9"/>
    </row>
    <row r="46" spans="1:13" ht="15" customHeight="1" x14ac:dyDescent="0.3">
      <c r="A46" s="6" t="s">
        <v>287</v>
      </c>
      <c r="B46" s="7" t="s">
        <v>104</v>
      </c>
      <c r="C46" s="7" t="s">
        <v>105</v>
      </c>
      <c r="D46" s="1" t="s">
        <v>290</v>
      </c>
      <c r="E46" s="6" t="s">
        <v>291</v>
      </c>
      <c r="F46" s="6" t="s">
        <v>57</v>
      </c>
      <c r="G46" s="8">
        <v>187298314</v>
      </c>
      <c r="H46" s="11">
        <v>1</v>
      </c>
      <c r="I46" s="6"/>
      <c r="J46" s="11">
        <v>1</v>
      </c>
      <c r="K46" s="6"/>
      <c r="L46" s="12"/>
      <c r="M46" s="9"/>
    </row>
    <row r="47" spans="1:13" ht="15" customHeight="1" x14ac:dyDescent="0.3">
      <c r="A47" s="6" t="s">
        <v>292</v>
      </c>
      <c r="B47" s="7" t="s">
        <v>36</v>
      </c>
      <c r="C47" s="7" t="s">
        <v>294</v>
      </c>
      <c r="D47" s="1" t="s">
        <v>295</v>
      </c>
      <c r="F47" s="6" t="s">
        <v>71</v>
      </c>
      <c r="G47" s="8"/>
      <c r="H47" s="11">
        <v>1</v>
      </c>
      <c r="I47" s="6"/>
      <c r="J47" s="11">
        <v>0</v>
      </c>
      <c r="K47" s="6"/>
      <c r="L47" s="12"/>
      <c r="M47" s="12" t="s">
        <v>297</v>
      </c>
    </row>
    <row r="48" spans="1:13" ht="15" customHeight="1" x14ac:dyDescent="0.3">
      <c r="A48" s="6" t="s">
        <v>298</v>
      </c>
      <c r="B48" s="7" t="s">
        <v>36</v>
      </c>
      <c r="C48" s="7" t="s">
        <v>301</v>
      </c>
      <c r="D48" s="1" t="s">
        <v>302</v>
      </c>
      <c r="E48" s="6" t="s">
        <v>303</v>
      </c>
      <c r="F48" s="6" t="s">
        <v>57</v>
      </c>
      <c r="G48" s="8">
        <v>272341080</v>
      </c>
      <c r="H48" s="11">
        <v>1</v>
      </c>
      <c r="I48" s="6" t="s">
        <v>42</v>
      </c>
      <c r="J48" s="11">
        <v>1</v>
      </c>
      <c r="K48" s="6"/>
      <c r="L48" s="12"/>
      <c r="M48" s="9"/>
    </row>
    <row r="49" spans="1:13" ht="15" customHeight="1" x14ac:dyDescent="0.3">
      <c r="A49" s="6" t="s">
        <v>305</v>
      </c>
      <c r="B49" s="7" t="s">
        <v>104</v>
      </c>
      <c r="C49" s="7" t="s">
        <v>308</v>
      </c>
      <c r="D49" s="1" t="s">
        <v>309</v>
      </c>
      <c r="E49" s="16" t="s">
        <v>310</v>
      </c>
      <c r="F49" s="6" t="s">
        <v>57</v>
      </c>
      <c r="G49" s="8"/>
      <c r="H49" s="11">
        <v>1</v>
      </c>
      <c r="I49" s="6"/>
      <c r="J49" s="11">
        <v>1</v>
      </c>
      <c r="K49" s="6"/>
      <c r="L49" s="12"/>
      <c r="M49" s="9"/>
    </row>
    <row r="50" spans="1:13" ht="15" customHeight="1" x14ac:dyDescent="0.3">
      <c r="A50" s="6" t="s">
        <v>313</v>
      </c>
      <c r="B50" s="7" t="s">
        <v>53</v>
      </c>
      <c r="C50" s="7" t="s">
        <v>54</v>
      </c>
      <c r="D50" s="1" t="s">
        <v>316</v>
      </c>
      <c r="E50" s="6" t="s">
        <v>317</v>
      </c>
      <c r="F50" s="6" t="s">
        <v>57</v>
      </c>
      <c r="G50" s="8">
        <v>943299153</v>
      </c>
      <c r="H50" s="11">
        <v>1</v>
      </c>
      <c r="I50" s="6" t="s">
        <v>59</v>
      </c>
      <c r="J50" s="11">
        <v>1</v>
      </c>
      <c r="K50" s="6"/>
      <c r="L50" s="12"/>
      <c r="M50" s="9"/>
    </row>
    <row r="51" spans="1:13" ht="15" customHeight="1" x14ac:dyDescent="0.3">
      <c r="A51" s="6" t="s">
        <v>318</v>
      </c>
      <c r="B51" s="7" t="s">
        <v>53</v>
      </c>
      <c r="C51" s="7" t="s">
        <v>54</v>
      </c>
      <c r="D51" s="1" t="s">
        <v>321</v>
      </c>
      <c r="E51" s="6" t="s">
        <v>322</v>
      </c>
      <c r="F51" s="6" t="s">
        <v>57</v>
      </c>
      <c r="G51" s="8">
        <v>943190152</v>
      </c>
      <c r="H51" s="11">
        <v>1</v>
      </c>
      <c r="I51" s="6" t="s">
        <v>59</v>
      </c>
      <c r="J51" s="11">
        <v>1</v>
      </c>
      <c r="K51" s="6"/>
      <c r="L51" s="12"/>
      <c r="M51" s="9"/>
    </row>
    <row r="52" spans="1:13" ht="15" customHeight="1" x14ac:dyDescent="0.3">
      <c r="A52" s="6" t="s">
        <v>323</v>
      </c>
      <c r="B52" s="7" t="s">
        <v>104</v>
      </c>
      <c r="C52" s="7" t="s">
        <v>105</v>
      </c>
      <c r="D52" s="1" t="s">
        <v>326</v>
      </c>
      <c r="E52" s="6" t="s">
        <v>327</v>
      </c>
      <c r="F52" s="6" t="s">
        <v>57</v>
      </c>
      <c r="G52" s="8">
        <v>852111483</v>
      </c>
      <c r="H52" s="11">
        <v>1</v>
      </c>
      <c r="I52" s="6" t="s">
        <v>59</v>
      </c>
      <c r="J52" s="11">
        <v>1</v>
      </c>
      <c r="K52" s="6"/>
      <c r="L52" s="12"/>
      <c r="M52" s="9"/>
    </row>
    <row r="53" spans="1:13" ht="15.75" customHeight="1" x14ac:dyDescent="0.3">
      <c r="A53" s="6" t="s">
        <v>328</v>
      </c>
      <c r="B53" s="14" t="s">
        <v>36</v>
      </c>
      <c r="C53" s="7" t="s">
        <v>329</v>
      </c>
      <c r="D53" s="1" t="s">
        <v>330</v>
      </c>
      <c r="F53" s="6" t="s">
        <v>71</v>
      </c>
      <c r="G53" s="8"/>
      <c r="H53" s="11">
        <v>1</v>
      </c>
      <c r="I53" s="6"/>
      <c r="J53" s="11">
        <v>0</v>
      </c>
      <c r="K53" s="6"/>
      <c r="L53" s="12"/>
      <c r="M53" s="9"/>
    </row>
    <row r="54" spans="1:13" ht="15.75" customHeight="1" x14ac:dyDescent="0.3">
      <c r="A54" s="6" t="s">
        <v>331</v>
      </c>
      <c r="B54" s="2" t="s">
        <v>116</v>
      </c>
      <c r="C54" s="17" t="s">
        <v>117</v>
      </c>
      <c r="D54" s="3" t="s">
        <v>332</v>
      </c>
      <c r="F54" s="6" t="s">
        <v>71</v>
      </c>
      <c r="G54" s="8"/>
      <c r="H54" s="11">
        <v>1</v>
      </c>
      <c r="I54" s="6"/>
      <c r="J54" s="11">
        <v>0</v>
      </c>
      <c r="K54" s="6"/>
      <c r="L54" s="12"/>
      <c r="M54" s="9"/>
    </row>
    <row r="55" spans="1:13" ht="15.75" customHeight="1" x14ac:dyDescent="0.3">
      <c r="A55" s="6" t="s">
        <v>334</v>
      </c>
      <c r="B55" s="2" t="s">
        <v>116</v>
      </c>
      <c r="C55" s="15" t="s">
        <v>117</v>
      </c>
      <c r="D55" s="1" t="s">
        <v>335</v>
      </c>
      <c r="F55" s="6" t="s">
        <v>71</v>
      </c>
      <c r="G55" s="8"/>
      <c r="H55" s="11">
        <v>1</v>
      </c>
      <c r="I55" s="6"/>
      <c r="J55" s="11">
        <v>0</v>
      </c>
      <c r="K55" s="6"/>
      <c r="L55" s="12"/>
      <c r="M55" s="9"/>
    </row>
    <row r="56" spans="1:13" ht="15" customHeight="1" x14ac:dyDescent="0.3">
      <c r="A56" s="6" t="s">
        <v>337</v>
      </c>
      <c r="B56" s="7" t="s">
        <v>36</v>
      </c>
      <c r="C56" s="7" t="s">
        <v>338</v>
      </c>
      <c r="D56" s="1" t="s">
        <v>339</v>
      </c>
      <c r="F56" s="6" t="s">
        <v>71</v>
      </c>
      <c r="G56" s="8"/>
      <c r="H56" s="11">
        <v>1</v>
      </c>
      <c r="I56" s="6"/>
      <c r="J56" s="11">
        <v>0</v>
      </c>
      <c r="K56" s="6"/>
      <c r="L56" s="12"/>
      <c r="M56" s="9"/>
    </row>
    <row r="57" spans="1:13" ht="15" customHeight="1" x14ac:dyDescent="0.3">
      <c r="A57" s="6" t="s">
        <v>340</v>
      </c>
      <c r="B57" s="7" t="s">
        <v>91</v>
      </c>
      <c r="C57" s="7" t="s">
        <v>92</v>
      </c>
      <c r="D57" s="1" t="s">
        <v>342</v>
      </c>
      <c r="E57" s="6" t="s">
        <v>343</v>
      </c>
      <c r="F57" s="6" t="s">
        <v>57</v>
      </c>
      <c r="G57" s="8">
        <v>1195615591</v>
      </c>
      <c r="H57" s="11">
        <v>1</v>
      </c>
      <c r="I57" s="6"/>
      <c r="J57" s="11">
        <v>1</v>
      </c>
      <c r="K57" s="6"/>
      <c r="L57" s="18"/>
      <c r="M57" s="9"/>
    </row>
    <row r="58" spans="1:13" ht="15" customHeight="1" x14ac:dyDescent="0.3">
      <c r="A58" s="6" t="s">
        <v>345</v>
      </c>
      <c r="B58" s="7" t="s">
        <v>91</v>
      </c>
      <c r="C58" s="7" t="s">
        <v>92</v>
      </c>
      <c r="D58" s="1" t="s">
        <v>346</v>
      </c>
      <c r="E58" s="6" t="s">
        <v>261</v>
      </c>
      <c r="F58" s="6" t="s">
        <v>71</v>
      </c>
      <c r="G58" s="8"/>
      <c r="H58" s="11">
        <v>1</v>
      </c>
      <c r="I58" s="6"/>
      <c r="J58" s="11">
        <v>0</v>
      </c>
      <c r="K58" s="6"/>
      <c r="L58" s="12"/>
      <c r="M58" s="9"/>
    </row>
    <row r="59" spans="1:13" ht="15" customHeight="1" x14ac:dyDescent="0.3">
      <c r="A59" s="6" t="s">
        <v>348</v>
      </c>
      <c r="B59" s="7" t="s">
        <v>36</v>
      </c>
      <c r="C59" s="7" t="s">
        <v>350</v>
      </c>
      <c r="D59" s="1" t="s">
        <v>351</v>
      </c>
      <c r="E59" s="6" t="s">
        <v>352</v>
      </c>
      <c r="F59" s="6" t="s">
        <v>57</v>
      </c>
      <c r="G59" s="8" t="s">
        <v>353</v>
      </c>
      <c r="H59" s="11">
        <v>1</v>
      </c>
      <c r="I59" s="6" t="s">
        <v>42</v>
      </c>
      <c r="J59" s="11">
        <v>1</v>
      </c>
      <c r="K59" s="6"/>
      <c r="L59" s="12"/>
      <c r="M59" s="9"/>
    </row>
    <row r="60" spans="1:13" ht="15" customHeight="1" x14ac:dyDescent="0.3">
      <c r="A60" s="6" t="s">
        <v>355</v>
      </c>
      <c r="B60" s="7" t="s">
        <v>91</v>
      </c>
      <c r="C60" s="7" t="s">
        <v>358</v>
      </c>
      <c r="D60" s="1" t="s">
        <v>359</v>
      </c>
      <c r="E60" s="6" t="s">
        <v>360</v>
      </c>
      <c r="F60" s="6" t="s">
        <v>57</v>
      </c>
      <c r="G60" s="8"/>
      <c r="H60" s="11">
        <v>1</v>
      </c>
      <c r="I60" s="6" t="s">
        <v>59</v>
      </c>
      <c r="J60" s="11">
        <v>1</v>
      </c>
      <c r="K60" s="6"/>
      <c r="L60" s="12"/>
      <c r="M60" s="9"/>
    </row>
    <row r="61" spans="1:13" ht="15" customHeight="1" x14ac:dyDescent="0.3">
      <c r="A61" s="6" t="s">
        <v>362</v>
      </c>
      <c r="B61" s="7" t="s">
        <v>363</v>
      </c>
      <c r="C61" s="7" t="s">
        <v>364</v>
      </c>
      <c r="D61" s="1" t="s">
        <v>365</v>
      </c>
      <c r="E61" s="6" t="s">
        <v>366</v>
      </c>
      <c r="F61" s="6" t="s">
        <v>57</v>
      </c>
      <c r="G61" s="8">
        <v>1188538924</v>
      </c>
      <c r="H61" s="11">
        <v>1</v>
      </c>
      <c r="I61" s="6" t="s">
        <v>59</v>
      </c>
      <c r="J61" s="11">
        <v>1</v>
      </c>
      <c r="K61" s="6"/>
      <c r="L61" s="12"/>
      <c r="M61" s="9"/>
    </row>
    <row r="62" spans="1:13" ht="15" customHeight="1" x14ac:dyDescent="0.3">
      <c r="A62" s="6" t="s">
        <v>367</v>
      </c>
      <c r="B62" s="7" t="s">
        <v>370</v>
      </c>
      <c r="C62" s="7" t="s">
        <v>371</v>
      </c>
      <c r="D62" s="1" t="s">
        <v>372</v>
      </c>
      <c r="E62" s="6" t="s">
        <v>373</v>
      </c>
      <c r="F62" s="6" t="s">
        <v>57</v>
      </c>
      <c r="G62" s="8">
        <v>906446272</v>
      </c>
      <c r="H62" s="11">
        <v>1</v>
      </c>
      <c r="I62" s="6"/>
      <c r="J62" s="11">
        <v>1</v>
      </c>
      <c r="K62" s="6"/>
      <c r="L62" s="12"/>
      <c r="M62" s="9" t="s">
        <v>374</v>
      </c>
    </row>
    <row r="63" spans="1:13" ht="15" customHeight="1" x14ac:dyDescent="0.3">
      <c r="A63" s="6" t="s">
        <v>375</v>
      </c>
      <c r="B63" s="7" t="s">
        <v>378</v>
      </c>
      <c r="C63" s="7" t="s">
        <v>379</v>
      </c>
      <c r="D63" s="1" t="s">
        <v>380</v>
      </c>
      <c r="E63" s="6" t="s">
        <v>381</v>
      </c>
      <c r="F63" s="6" t="s">
        <v>57</v>
      </c>
      <c r="G63" s="8" t="s">
        <v>382</v>
      </c>
      <c r="H63" s="11">
        <v>1</v>
      </c>
      <c r="I63" s="6"/>
      <c r="J63" s="11">
        <v>1</v>
      </c>
      <c r="K63" s="6"/>
      <c r="L63" s="12"/>
      <c r="M63" s="9"/>
    </row>
    <row r="64" spans="1:13" ht="15" customHeight="1" x14ac:dyDescent="0.3">
      <c r="A64" s="6" t="s">
        <v>384</v>
      </c>
      <c r="B64" s="7" t="s">
        <v>378</v>
      </c>
      <c r="C64" s="7" t="s">
        <v>379</v>
      </c>
      <c r="D64" s="1" t="s">
        <v>387</v>
      </c>
      <c r="E64" s="17" t="s">
        <v>388</v>
      </c>
      <c r="F64" s="6" t="s">
        <v>57</v>
      </c>
      <c r="G64" s="8">
        <v>1721093780</v>
      </c>
      <c r="H64" s="11">
        <v>1</v>
      </c>
      <c r="I64" s="6"/>
      <c r="J64" s="11">
        <v>1</v>
      </c>
      <c r="K64" s="6"/>
      <c r="L64" s="12"/>
      <c r="M64" s="9"/>
    </row>
    <row r="65" spans="1:15" ht="15" customHeight="1" x14ac:dyDescent="0.3">
      <c r="A65" s="6" t="s">
        <v>390</v>
      </c>
      <c r="B65" s="7" t="s">
        <v>53</v>
      </c>
      <c r="C65" s="7" t="s">
        <v>54</v>
      </c>
      <c r="D65" s="1" t="s">
        <v>393</v>
      </c>
      <c r="E65" s="6" t="s">
        <v>394</v>
      </c>
      <c r="F65" s="6" t="s">
        <v>57</v>
      </c>
      <c r="G65" s="8">
        <v>977402284</v>
      </c>
      <c r="H65" s="11">
        <v>1</v>
      </c>
      <c r="I65" s="6" t="s">
        <v>59</v>
      </c>
      <c r="J65" s="11">
        <v>1</v>
      </c>
      <c r="K65" s="6"/>
      <c r="L65" s="12"/>
      <c r="M65" s="9"/>
    </row>
    <row r="66" spans="1:15" ht="15" customHeight="1" x14ac:dyDescent="0.3">
      <c r="A66" s="6" t="s">
        <v>395</v>
      </c>
      <c r="B66" s="7" t="s">
        <v>53</v>
      </c>
      <c r="C66" s="7" t="s">
        <v>54</v>
      </c>
      <c r="D66" s="1" t="s">
        <v>398</v>
      </c>
      <c r="E66" s="6" t="s">
        <v>399</v>
      </c>
      <c r="F66" s="6" t="s">
        <v>57</v>
      </c>
      <c r="G66" s="8" t="s">
        <v>400</v>
      </c>
      <c r="H66" s="11">
        <v>1</v>
      </c>
      <c r="I66" s="6" t="s">
        <v>59</v>
      </c>
      <c r="J66" s="11">
        <v>1</v>
      </c>
      <c r="K66" s="6"/>
      <c r="L66" s="12"/>
      <c r="M66" s="9"/>
    </row>
    <row r="67" spans="1:15" ht="15" customHeight="1" x14ac:dyDescent="0.3">
      <c r="A67" s="6" t="s">
        <v>402</v>
      </c>
      <c r="B67" s="7" t="s">
        <v>91</v>
      </c>
      <c r="C67" s="7" t="s">
        <v>405</v>
      </c>
      <c r="D67" s="1" t="s">
        <v>406</v>
      </c>
      <c r="G67" s="8">
        <v>404160981</v>
      </c>
      <c r="H67" s="11">
        <v>1</v>
      </c>
      <c r="I67" s="6"/>
      <c r="J67" s="11">
        <v>1</v>
      </c>
      <c r="K67" s="6"/>
      <c r="L67" s="19"/>
      <c r="M67" s="12"/>
    </row>
    <row r="68" spans="1:15" ht="15" customHeight="1" x14ac:dyDescent="0.3">
      <c r="A68" s="6" t="s">
        <v>408</v>
      </c>
      <c r="B68" s="7" t="s">
        <v>104</v>
      </c>
      <c r="C68" s="7" t="s">
        <v>308</v>
      </c>
      <c r="D68" s="1" t="s">
        <v>412</v>
      </c>
      <c r="E68" s="6" t="s">
        <v>413</v>
      </c>
      <c r="F68" s="6" t="s">
        <v>57</v>
      </c>
      <c r="G68" s="8"/>
      <c r="H68" s="11">
        <v>1</v>
      </c>
      <c r="I68" s="6" t="s">
        <v>59</v>
      </c>
      <c r="J68" s="11">
        <v>1</v>
      </c>
      <c r="K68" s="6"/>
      <c r="L68" s="12"/>
      <c r="M68" s="9"/>
    </row>
    <row r="69" spans="1:15" ht="15" customHeight="1" x14ac:dyDescent="0.3">
      <c r="A69" s="6" t="s">
        <v>414</v>
      </c>
      <c r="D69" s="4"/>
      <c r="F69" s="6" t="s">
        <v>415</v>
      </c>
      <c r="G69" s="8"/>
      <c r="H69" s="11">
        <v>1</v>
      </c>
      <c r="I69" s="6"/>
      <c r="J69" s="11">
        <v>0</v>
      </c>
      <c r="K69" s="6"/>
      <c r="L69" s="12"/>
      <c r="M69" s="9"/>
    </row>
    <row r="70" spans="1:15" ht="15" customHeight="1" x14ac:dyDescent="0.3">
      <c r="A70" s="6" t="s">
        <v>417</v>
      </c>
      <c r="B70" s="7" t="s">
        <v>104</v>
      </c>
      <c r="C70" s="7" t="s">
        <v>420</v>
      </c>
      <c r="D70" s="1" t="s">
        <v>421</v>
      </c>
      <c r="F70" s="6" t="s">
        <v>57</v>
      </c>
      <c r="G70" s="8">
        <v>1361231431</v>
      </c>
      <c r="H70" s="11">
        <v>1</v>
      </c>
      <c r="I70" s="6"/>
      <c r="J70" s="11">
        <v>1</v>
      </c>
      <c r="K70" s="6"/>
      <c r="L70" s="12"/>
      <c r="M70" s="9"/>
    </row>
    <row r="71" spans="1:15" ht="15" customHeight="1" x14ac:dyDescent="0.3">
      <c r="A71" s="6" t="s">
        <v>423</v>
      </c>
      <c r="B71" s="7" t="s">
        <v>104</v>
      </c>
      <c r="C71" s="7" t="s">
        <v>420</v>
      </c>
      <c r="D71" s="1" t="s">
        <v>427</v>
      </c>
      <c r="E71" s="6" t="s">
        <v>428</v>
      </c>
      <c r="F71" s="6" t="s">
        <v>57</v>
      </c>
      <c r="G71" s="8">
        <v>1228040415</v>
      </c>
      <c r="H71" s="11">
        <v>1</v>
      </c>
      <c r="I71" s="6"/>
      <c r="J71" s="11">
        <v>1</v>
      </c>
      <c r="K71" s="6"/>
      <c r="L71" s="12"/>
      <c r="M71" s="9"/>
    </row>
    <row r="72" spans="1:15" ht="15" customHeight="1" x14ac:dyDescent="0.3">
      <c r="A72" s="6" t="s">
        <v>430</v>
      </c>
      <c r="B72" s="7" t="s">
        <v>104</v>
      </c>
      <c r="C72" s="7" t="s">
        <v>308</v>
      </c>
      <c r="D72" s="1" t="s">
        <v>431</v>
      </c>
      <c r="E72" s="6" t="s">
        <v>250</v>
      </c>
      <c r="F72" s="6" t="s">
        <v>71</v>
      </c>
      <c r="G72" s="8"/>
      <c r="H72" s="11">
        <v>1</v>
      </c>
      <c r="I72" s="6" t="s">
        <v>59</v>
      </c>
      <c r="J72" s="11">
        <v>0</v>
      </c>
      <c r="K72" s="6"/>
      <c r="L72" s="12"/>
      <c r="M72" s="9"/>
    </row>
    <row r="73" spans="1:15" ht="15" customHeight="1" x14ac:dyDescent="0.3">
      <c r="A73" s="6" t="s">
        <v>435</v>
      </c>
      <c r="B73" s="7" t="s">
        <v>104</v>
      </c>
      <c r="C73" s="7" t="s">
        <v>308</v>
      </c>
      <c r="D73" s="1" t="s">
        <v>438</v>
      </c>
      <c r="E73" s="12" t="s">
        <v>439</v>
      </c>
      <c r="F73" s="6" t="s">
        <v>57</v>
      </c>
      <c r="G73" s="8">
        <v>455429533</v>
      </c>
      <c r="H73" s="11">
        <v>1</v>
      </c>
      <c r="I73" s="6"/>
      <c r="J73" s="11">
        <v>1</v>
      </c>
      <c r="K73" s="6"/>
      <c r="L73" s="12"/>
      <c r="M73" s="9" t="s">
        <v>440</v>
      </c>
    </row>
    <row r="74" spans="1:15" ht="15" customHeight="1" x14ac:dyDescent="0.3">
      <c r="A74" s="6" t="s">
        <v>441</v>
      </c>
      <c r="B74" s="7" t="s">
        <v>370</v>
      </c>
      <c r="C74" s="7" t="s">
        <v>445</v>
      </c>
      <c r="D74" s="1" t="s">
        <v>446</v>
      </c>
      <c r="E74" s="6" t="s">
        <v>447</v>
      </c>
      <c r="G74" s="8" t="s">
        <v>448</v>
      </c>
      <c r="H74" s="11">
        <v>1</v>
      </c>
      <c r="I74" s="6" t="s">
        <v>59</v>
      </c>
      <c r="J74" s="11">
        <v>1</v>
      </c>
      <c r="K74" s="6"/>
      <c r="L74" s="12"/>
      <c r="M74" s="9"/>
    </row>
    <row r="75" spans="1:15" ht="15.75" customHeight="1" x14ac:dyDescent="0.3">
      <c r="A75" s="6" t="s">
        <v>450</v>
      </c>
      <c r="B75" s="14" t="s">
        <v>36</v>
      </c>
      <c r="C75" s="7" t="s">
        <v>453</v>
      </c>
      <c r="D75" s="1" t="s">
        <v>454</v>
      </c>
      <c r="E75" s="6" t="s">
        <v>39</v>
      </c>
      <c r="F75" s="6" t="s">
        <v>57</v>
      </c>
      <c r="G75" s="8"/>
      <c r="H75" s="11">
        <v>1</v>
      </c>
      <c r="I75" s="6"/>
      <c r="J75" s="11">
        <v>1</v>
      </c>
      <c r="K75" s="6"/>
      <c r="L75" s="12"/>
      <c r="M75" s="9"/>
    </row>
    <row r="76" spans="1:15" ht="15" customHeight="1" x14ac:dyDescent="0.3">
      <c r="A76" s="6" t="s">
        <v>459</v>
      </c>
      <c r="B76" s="7" t="s">
        <v>104</v>
      </c>
      <c r="C76" s="7" t="s">
        <v>462</v>
      </c>
      <c r="D76" s="1" t="s">
        <v>463</v>
      </c>
      <c r="E76" s="6" t="s">
        <v>464</v>
      </c>
      <c r="F76" s="6" t="s">
        <v>57</v>
      </c>
      <c r="G76" s="8" t="s">
        <v>465</v>
      </c>
      <c r="H76" s="11">
        <v>1</v>
      </c>
      <c r="I76" s="6" t="s">
        <v>59</v>
      </c>
      <c r="J76" s="11">
        <v>1</v>
      </c>
      <c r="K76" s="6"/>
      <c r="L76" s="12"/>
      <c r="M76" s="9"/>
    </row>
    <row r="77" spans="1:15" ht="15" customHeight="1" x14ac:dyDescent="0.3">
      <c r="A77" s="6" t="s">
        <v>467</v>
      </c>
      <c r="B77" s="7" t="s">
        <v>104</v>
      </c>
      <c r="C77" s="7" t="s">
        <v>308</v>
      </c>
      <c r="D77" s="1" t="s">
        <v>470</v>
      </c>
      <c r="E77" s="6" t="s">
        <v>471</v>
      </c>
      <c r="F77" s="6" t="s">
        <v>57</v>
      </c>
      <c r="G77" s="8" t="s">
        <v>472</v>
      </c>
      <c r="H77" s="11">
        <v>1</v>
      </c>
      <c r="I77" s="6" t="s">
        <v>59</v>
      </c>
      <c r="J77" s="11">
        <v>1</v>
      </c>
      <c r="K77" s="6"/>
      <c r="L77" s="12"/>
      <c r="M77" s="12"/>
    </row>
    <row r="78" spans="1:15" ht="15" customHeight="1" x14ac:dyDescent="0.3">
      <c r="A78" s="6" t="s">
        <v>473</v>
      </c>
      <c r="B78" s="7" t="s">
        <v>91</v>
      </c>
      <c r="C78" s="7" t="s">
        <v>358</v>
      </c>
      <c r="D78" s="1" t="s">
        <v>476</v>
      </c>
      <c r="E78" s="6" t="s">
        <v>477</v>
      </c>
      <c r="F78" s="6" t="s">
        <v>57</v>
      </c>
      <c r="G78" s="8">
        <v>267819163</v>
      </c>
      <c r="H78" s="11">
        <v>1</v>
      </c>
      <c r="I78" s="6"/>
      <c r="J78" s="11">
        <v>1</v>
      </c>
      <c r="K78" s="6"/>
      <c r="L78" s="12"/>
      <c r="M78" s="9" t="s">
        <v>479</v>
      </c>
      <c r="O78" s="6" t="s">
        <v>480</v>
      </c>
    </row>
    <row r="79" spans="1:15" ht="15" customHeight="1" x14ac:dyDescent="0.3">
      <c r="A79" s="6" t="s">
        <v>481</v>
      </c>
      <c r="B79" s="7" t="s">
        <v>104</v>
      </c>
      <c r="C79" s="7" t="s">
        <v>484</v>
      </c>
      <c r="D79" s="1" t="s">
        <v>485</v>
      </c>
      <c r="E79" s="6" t="s">
        <v>486</v>
      </c>
      <c r="F79" s="6" t="s">
        <v>57</v>
      </c>
      <c r="G79" s="8" t="s">
        <v>487</v>
      </c>
      <c r="H79" s="11">
        <v>1</v>
      </c>
      <c r="I79" s="6" t="s">
        <v>59</v>
      </c>
      <c r="J79" s="11">
        <v>1</v>
      </c>
      <c r="K79" s="6"/>
      <c r="L79" s="12"/>
      <c r="M79" s="9"/>
    </row>
    <row r="80" spans="1:15" ht="15" customHeight="1" x14ac:dyDescent="0.3">
      <c r="A80" s="6" t="s">
        <v>489</v>
      </c>
      <c r="B80" s="7" t="s">
        <v>104</v>
      </c>
      <c r="C80" s="7" t="s">
        <v>484</v>
      </c>
      <c r="D80" s="1" t="s">
        <v>491</v>
      </c>
      <c r="E80" s="6" t="s">
        <v>492</v>
      </c>
      <c r="F80" s="6" t="s">
        <v>57</v>
      </c>
      <c r="G80" s="8" t="s">
        <v>493</v>
      </c>
      <c r="H80" s="11">
        <v>1</v>
      </c>
      <c r="I80" s="6" t="s">
        <v>59</v>
      </c>
      <c r="J80" s="11">
        <v>1</v>
      </c>
      <c r="K80" s="6"/>
      <c r="L80" s="12"/>
      <c r="M80" s="9"/>
    </row>
    <row r="81" spans="1:13" ht="15" customHeight="1" x14ac:dyDescent="0.3">
      <c r="A81" s="6" t="s">
        <v>494</v>
      </c>
      <c r="B81" s="7" t="s">
        <v>104</v>
      </c>
      <c r="C81" s="7" t="s">
        <v>308</v>
      </c>
      <c r="D81" s="1" t="s">
        <v>498</v>
      </c>
      <c r="E81" s="6" t="s">
        <v>499</v>
      </c>
      <c r="F81" s="6" t="s">
        <v>57</v>
      </c>
      <c r="G81" s="8">
        <v>733412860</v>
      </c>
      <c r="H81" s="11">
        <v>1</v>
      </c>
      <c r="I81" s="6" t="s">
        <v>59</v>
      </c>
      <c r="J81" s="11">
        <v>1</v>
      </c>
      <c r="K81" s="6"/>
      <c r="L81" s="12"/>
      <c r="M81" s="9"/>
    </row>
    <row r="82" spans="1:13" ht="15" customHeight="1" x14ac:dyDescent="0.3">
      <c r="A82" s="6" t="s">
        <v>501</v>
      </c>
      <c r="B82" s="6" t="s">
        <v>91</v>
      </c>
      <c r="C82" s="6" t="s">
        <v>504</v>
      </c>
      <c r="D82" s="4" t="s">
        <v>505</v>
      </c>
      <c r="E82" s="6" t="s">
        <v>506</v>
      </c>
      <c r="F82" s="6" t="s">
        <v>57</v>
      </c>
      <c r="G82" s="8">
        <v>854134604</v>
      </c>
      <c r="H82" s="11">
        <v>1</v>
      </c>
      <c r="I82" s="6"/>
      <c r="J82" s="11">
        <v>1</v>
      </c>
      <c r="K82" s="6"/>
      <c r="L82" s="12"/>
      <c r="M82" s="9"/>
    </row>
    <row r="83" spans="1:13" ht="15" customHeight="1" x14ac:dyDescent="0.3">
      <c r="A83" s="6" t="s">
        <v>508</v>
      </c>
      <c r="B83" s="7" t="s">
        <v>53</v>
      </c>
      <c r="C83" s="7" t="s">
        <v>54</v>
      </c>
      <c r="D83" s="1" t="s">
        <v>511</v>
      </c>
      <c r="E83" s="6" t="s">
        <v>512</v>
      </c>
      <c r="F83" s="6" t="s">
        <v>57</v>
      </c>
      <c r="G83" s="8">
        <v>729515094</v>
      </c>
      <c r="H83" s="11">
        <v>1</v>
      </c>
      <c r="I83" s="6" t="s">
        <v>59</v>
      </c>
      <c r="J83" s="11">
        <v>1</v>
      </c>
      <c r="K83" s="6"/>
      <c r="L83" s="12"/>
      <c r="M83" s="9"/>
    </row>
    <row r="84" spans="1:13" ht="15" customHeight="1" x14ac:dyDescent="0.3">
      <c r="A84" s="6" t="s">
        <v>514</v>
      </c>
      <c r="B84" s="7" t="s">
        <v>53</v>
      </c>
      <c r="C84" s="7" t="s">
        <v>54</v>
      </c>
      <c r="D84" s="1" t="s">
        <v>517</v>
      </c>
      <c r="E84" s="6" t="s">
        <v>518</v>
      </c>
      <c r="F84" s="6" t="s">
        <v>57</v>
      </c>
      <c r="G84" s="8">
        <v>736707447</v>
      </c>
      <c r="H84" s="11">
        <v>1</v>
      </c>
      <c r="I84" s="6" t="s">
        <v>59</v>
      </c>
      <c r="J84" s="11">
        <v>1</v>
      </c>
      <c r="K84" s="6"/>
      <c r="L84" s="12"/>
      <c r="M84" s="9"/>
    </row>
    <row r="85" spans="1:13" ht="15" customHeight="1" x14ac:dyDescent="0.3">
      <c r="A85" s="6" t="s">
        <v>520</v>
      </c>
      <c r="B85" s="6" t="s">
        <v>523</v>
      </c>
      <c r="C85" s="6" t="s">
        <v>523</v>
      </c>
      <c r="D85" s="1" t="s">
        <v>524</v>
      </c>
      <c r="E85" s="6" t="s">
        <v>525</v>
      </c>
      <c r="F85" s="6" t="s">
        <v>57</v>
      </c>
      <c r="G85" s="8">
        <v>1167806905</v>
      </c>
      <c r="H85" s="11">
        <v>0</v>
      </c>
      <c r="I85" s="6" t="s">
        <v>59</v>
      </c>
      <c r="J85" s="11">
        <v>1</v>
      </c>
      <c r="K85" s="6"/>
      <c r="L85" s="12"/>
      <c r="M85" s="9"/>
    </row>
    <row r="86" spans="1:13" ht="15" customHeight="1" x14ac:dyDescent="0.3">
      <c r="A86" s="6" t="s">
        <v>526</v>
      </c>
      <c r="B86" s="6" t="s">
        <v>523</v>
      </c>
      <c r="C86" s="6" t="s">
        <v>529</v>
      </c>
      <c r="D86" s="1" t="s">
        <v>530</v>
      </c>
      <c r="E86" s="6" t="s">
        <v>531</v>
      </c>
      <c r="F86" s="6" t="s">
        <v>57</v>
      </c>
      <c r="G86" s="8" t="s">
        <v>532</v>
      </c>
      <c r="H86" s="11">
        <v>1</v>
      </c>
      <c r="I86" s="6" t="s">
        <v>59</v>
      </c>
      <c r="J86" s="11">
        <v>1</v>
      </c>
      <c r="K86" s="6"/>
      <c r="L86" s="12"/>
      <c r="M86" s="9"/>
    </row>
    <row r="87" spans="1:13" ht="15" customHeight="1" x14ac:dyDescent="0.3">
      <c r="A87" s="6" t="s">
        <v>534</v>
      </c>
      <c r="B87" s="7" t="s">
        <v>536</v>
      </c>
      <c r="C87" s="6" t="s">
        <v>537</v>
      </c>
      <c r="D87" s="4" t="s">
        <v>538</v>
      </c>
      <c r="E87" s="6" t="s">
        <v>778</v>
      </c>
      <c r="F87" s="6" t="s">
        <v>57</v>
      </c>
      <c r="G87" s="8">
        <v>418338590</v>
      </c>
      <c r="H87" s="11">
        <v>1</v>
      </c>
      <c r="I87" s="6" t="s">
        <v>59</v>
      </c>
      <c r="J87" s="11">
        <v>1</v>
      </c>
      <c r="K87" s="6"/>
      <c r="L87" s="12"/>
      <c r="M87" s="9"/>
    </row>
    <row r="88" spans="1:13" ht="15" customHeight="1" x14ac:dyDescent="0.3">
      <c r="A88" s="6" t="s">
        <v>542</v>
      </c>
      <c r="B88" s="7" t="s">
        <v>536</v>
      </c>
      <c r="C88" s="6" t="s">
        <v>545</v>
      </c>
      <c r="D88" s="4" t="s">
        <v>546</v>
      </c>
      <c r="E88" s="6" t="s">
        <v>547</v>
      </c>
      <c r="F88" s="6" t="s">
        <v>57</v>
      </c>
      <c r="G88" s="8" t="s">
        <v>548</v>
      </c>
      <c r="H88" s="11">
        <v>1</v>
      </c>
      <c r="I88" s="6" t="s">
        <v>59</v>
      </c>
      <c r="J88" s="11">
        <v>1</v>
      </c>
      <c r="K88" s="6"/>
      <c r="L88" s="12"/>
      <c r="M88" s="9"/>
    </row>
    <row r="89" spans="1:13" ht="15" customHeight="1" x14ac:dyDescent="0.3">
      <c r="A89" s="6" t="s">
        <v>550</v>
      </c>
      <c r="B89" s="6" t="s">
        <v>536</v>
      </c>
      <c r="C89" s="6" t="s">
        <v>545</v>
      </c>
      <c r="D89" s="4" t="s">
        <v>553</v>
      </c>
      <c r="E89" s="6" t="s">
        <v>554</v>
      </c>
      <c r="F89" s="6" t="s">
        <v>57</v>
      </c>
      <c r="G89" s="8">
        <v>1025292235</v>
      </c>
      <c r="H89" s="11">
        <v>1</v>
      </c>
      <c r="I89" s="6" t="s">
        <v>59</v>
      </c>
      <c r="J89" s="11">
        <v>1</v>
      </c>
      <c r="K89" s="6"/>
      <c r="L89" s="12"/>
      <c r="M89" s="9"/>
    </row>
    <row r="90" spans="1:13" x14ac:dyDescent="0.3">
      <c r="A90" s="6" t="s">
        <v>556</v>
      </c>
      <c r="B90" s="6" t="s">
        <v>536</v>
      </c>
      <c r="C90" s="6" t="s">
        <v>559</v>
      </c>
      <c r="D90" s="4" t="s">
        <v>560</v>
      </c>
      <c r="E90" s="6" t="s">
        <v>561</v>
      </c>
      <c r="F90" s="6" t="s">
        <v>57</v>
      </c>
      <c r="G90" s="8" t="s">
        <v>563</v>
      </c>
      <c r="H90" s="11">
        <v>1</v>
      </c>
      <c r="I90" s="6" t="s">
        <v>59</v>
      </c>
      <c r="J90" s="11">
        <v>1</v>
      </c>
      <c r="K90" s="6"/>
      <c r="L90" s="12"/>
      <c r="M90" s="9"/>
    </row>
    <row r="91" spans="1:13" ht="15" customHeight="1" x14ac:dyDescent="0.3">
      <c r="A91" s="6" t="s">
        <v>564</v>
      </c>
      <c r="B91" s="6" t="s">
        <v>536</v>
      </c>
      <c r="C91" s="6" t="s">
        <v>559</v>
      </c>
      <c r="D91" s="4" t="s">
        <v>567</v>
      </c>
      <c r="E91" s="6" t="s">
        <v>568</v>
      </c>
      <c r="F91" s="6" t="s">
        <v>57</v>
      </c>
      <c r="G91" s="8">
        <v>1010004543</v>
      </c>
      <c r="H91" s="11">
        <v>1</v>
      </c>
      <c r="I91" s="6" t="s">
        <v>59</v>
      </c>
      <c r="J91" s="11">
        <v>1</v>
      </c>
      <c r="K91" s="6"/>
      <c r="L91" s="12"/>
      <c r="M91" s="9"/>
    </row>
    <row r="92" spans="1:13" ht="15" customHeight="1" x14ac:dyDescent="0.3">
      <c r="A92" s="6" t="s">
        <v>570</v>
      </c>
      <c r="B92" s="6" t="s">
        <v>536</v>
      </c>
      <c r="C92" s="6" t="s">
        <v>545</v>
      </c>
      <c r="D92" s="4" t="s">
        <v>574</v>
      </c>
      <c r="E92" s="6" t="s">
        <v>575</v>
      </c>
      <c r="F92" s="6" t="s">
        <v>57</v>
      </c>
      <c r="G92" s="8">
        <v>467847020</v>
      </c>
      <c r="H92" s="11">
        <v>1</v>
      </c>
      <c r="I92" s="6"/>
      <c r="J92" s="11">
        <v>1</v>
      </c>
      <c r="K92" s="6"/>
      <c r="L92" s="12"/>
      <c r="M92" s="9"/>
    </row>
    <row r="93" spans="1:13" ht="15" customHeight="1" x14ac:dyDescent="0.3">
      <c r="A93" s="6" t="s">
        <v>577</v>
      </c>
      <c r="B93" s="6" t="s">
        <v>536</v>
      </c>
      <c r="C93" s="6" t="s">
        <v>579</v>
      </c>
      <c r="D93" s="4" t="s">
        <v>580</v>
      </c>
      <c r="E93" s="6" t="s">
        <v>779</v>
      </c>
      <c r="G93" s="8">
        <v>1058284048</v>
      </c>
      <c r="H93" s="11">
        <v>1</v>
      </c>
      <c r="I93" s="6" t="s">
        <v>59</v>
      </c>
      <c r="J93" s="11">
        <v>1</v>
      </c>
      <c r="K93" s="6"/>
      <c r="L93" s="12"/>
      <c r="M93" s="9"/>
    </row>
    <row r="94" spans="1:13" ht="15" customHeight="1" x14ac:dyDescent="0.3">
      <c r="A94" s="6" t="s">
        <v>583</v>
      </c>
      <c r="B94" s="6" t="s">
        <v>536</v>
      </c>
      <c r="C94" s="6" t="s">
        <v>559</v>
      </c>
      <c r="D94" s="4" t="s">
        <v>585</v>
      </c>
      <c r="F94" s="6" t="s">
        <v>57</v>
      </c>
      <c r="G94" s="8">
        <v>1619053744</v>
      </c>
      <c r="H94" s="11">
        <v>1</v>
      </c>
      <c r="I94" s="6"/>
      <c r="J94" s="11">
        <v>1</v>
      </c>
      <c r="K94" s="6"/>
      <c r="L94" s="12"/>
      <c r="M94" s="9"/>
    </row>
    <row r="95" spans="1:13" ht="16.5" customHeight="1" x14ac:dyDescent="0.3">
      <c r="A95" s="6" t="s">
        <v>587</v>
      </c>
      <c r="B95" s="6" t="s">
        <v>536</v>
      </c>
      <c r="C95" s="6" t="s">
        <v>545</v>
      </c>
      <c r="D95" s="4" t="s">
        <v>590</v>
      </c>
      <c r="E95" s="12" t="s">
        <v>591</v>
      </c>
      <c r="F95" s="6" t="s">
        <v>57</v>
      </c>
      <c r="G95" s="8" t="s">
        <v>592</v>
      </c>
      <c r="H95" s="11">
        <v>0</v>
      </c>
      <c r="I95" s="6"/>
      <c r="J95" s="11">
        <v>1</v>
      </c>
      <c r="K95" s="6"/>
      <c r="L95" s="12"/>
      <c r="M95" s="9"/>
    </row>
    <row r="96" spans="1:13" ht="14.25" customHeight="1" x14ac:dyDescent="0.3">
      <c r="A96" s="6" t="s">
        <v>594</v>
      </c>
      <c r="B96" s="6" t="s">
        <v>536</v>
      </c>
      <c r="C96" s="6" t="s">
        <v>559</v>
      </c>
      <c r="D96" s="4" t="s">
        <v>595</v>
      </c>
      <c r="E96" s="6" t="s">
        <v>596</v>
      </c>
      <c r="F96" s="6" t="s">
        <v>57</v>
      </c>
      <c r="G96" s="8">
        <v>795654090</v>
      </c>
      <c r="H96" s="11">
        <v>1</v>
      </c>
      <c r="I96" s="6" t="s">
        <v>59</v>
      </c>
      <c r="J96" s="11">
        <v>1</v>
      </c>
      <c r="K96" s="6"/>
      <c r="L96" s="12"/>
      <c r="M96" s="9"/>
    </row>
    <row r="97" spans="1:13" ht="15" customHeight="1" x14ac:dyDescent="0.3">
      <c r="A97" s="6" t="s">
        <v>598</v>
      </c>
      <c r="B97" s="6" t="s">
        <v>104</v>
      </c>
      <c r="C97" s="6" t="s">
        <v>484</v>
      </c>
      <c r="D97" s="4" t="s">
        <v>601</v>
      </c>
      <c r="E97" s="6" t="s">
        <v>602</v>
      </c>
      <c r="F97" s="6" t="s">
        <v>57</v>
      </c>
      <c r="G97" s="8">
        <v>973683730</v>
      </c>
      <c r="H97" s="11">
        <v>1</v>
      </c>
      <c r="I97" s="6" t="s">
        <v>59</v>
      </c>
      <c r="J97" s="11">
        <v>1</v>
      </c>
      <c r="K97" s="6"/>
      <c r="L97" s="12"/>
      <c r="M97" s="9" t="s">
        <v>603</v>
      </c>
    </row>
    <row r="98" spans="1:13" ht="15" customHeight="1" x14ac:dyDescent="0.3">
      <c r="A98" s="6" t="s">
        <v>604</v>
      </c>
      <c r="B98" s="6" t="s">
        <v>104</v>
      </c>
      <c r="C98" s="6" t="s">
        <v>484</v>
      </c>
      <c r="D98" s="4" t="s">
        <v>607</v>
      </c>
      <c r="E98" s="6" t="s">
        <v>608</v>
      </c>
      <c r="F98" s="6" t="s">
        <v>57</v>
      </c>
      <c r="G98" s="8">
        <v>973708330</v>
      </c>
      <c r="H98" s="11">
        <v>1</v>
      </c>
      <c r="I98" s="6" t="s">
        <v>59</v>
      </c>
      <c r="J98" s="11">
        <v>1</v>
      </c>
      <c r="K98" s="6"/>
      <c r="L98" s="12"/>
      <c r="M98" s="9" t="s">
        <v>603</v>
      </c>
    </row>
    <row r="99" spans="1:13" ht="15" customHeight="1" x14ac:dyDescent="0.3">
      <c r="A99" s="6" t="s">
        <v>609</v>
      </c>
      <c r="B99" s="6" t="s">
        <v>91</v>
      </c>
      <c r="C99" s="6" t="s">
        <v>610</v>
      </c>
      <c r="D99" s="4" t="s">
        <v>611</v>
      </c>
      <c r="F99" s="6" t="s">
        <v>71</v>
      </c>
      <c r="G99" s="8"/>
      <c r="H99" s="11">
        <v>1</v>
      </c>
      <c r="I99" s="6"/>
      <c r="J99" s="11">
        <v>0</v>
      </c>
      <c r="K99" s="6"/>
      <c r="L99" s="12"/>
      <c r="M99" s="9"/>
    </row>
    <row r="100" spans="1:13" ht="15" customHeight="1" x14ac:dyDescent="0.3">
      <c r="A100" s="6" t="s">
        <v>612</v>
      </c>
      <c r="B100" s="6" t="s">
        <v>218</v>
      </c>
      <c r="C100" s="6" t="s">
        <v>219</v>
      </c>
      <c r="D100" s="4" t="s">
        <v>613</v>
      </c>
      <c r="F100" s="6" t="s">
        <v>71</v>
      </c>
      <c r="G100" s="8"/>
      <c r="H100" s="11">
        <v>1</v>
      </c>
      <c r="I100" s="6"/>
      <c r="J100" s="11">
        <v>0</v>
      </c>
      <c r="K100" s="6"/>
      <c r="L100" s="10"/>
      <c r="M100" s="9"/>
    </row>
    <row r="101" spans="1:13" ht="15" customHeight="1" x14ac:dyDescent="0.3">
      <c r="A101" s="6" t="s">
        <v>615</v>
      </c>
      <c r="B101" s="6" t="s">
        <v>36</v>
      </c>
      <c r="C101" s="6" t="s">
        <v>617</v>
      </c>
      <c r="D101" s="4" t="s">
        <v>618</v>
      </c>
      <c r="G101" s="8"/>
      <c r="H101" s="11">
        <v>1</v>
      </c>
      <c r="I101" s="6"/>
      <c r="J101" s="11">
        <v>1</v>
      </c>
      <c r="K101" s="6"/>
      <c r="L101" s="10"/>
      <c r="M101" s="9"/>
    </row>
    <row r="102" spans="1:13" ht="15" customHeight="1" x14ac:dyDescent="0.3">
      <c r="A102" s="6" t="s">
        <v>620</v>
      </c>
      <c r="B102" s="6" t="s">
        <v>536</v>
      </c>
      <c r="C102" s="6" t="s">
        <v>622</v>
      </c>
      <c r="D102" s="4" t="s">
        <v>623</v>
      </c>
      <c r="F102" s="6" t="s">
        <v>57</v>
      </c>
      <c r="G102" s="8">
        <v>1060148270</v>
      </c>
      <c r="H102" s="11">
        <v>1</v>
      </c>
      <c r="I102" s="6"/>
      <c r="J102" s="11">
        <v>1</v>
      </c>
      <c r="K102" s="6"/>
      <c r="L102" s="12"/>
      <c r="M102" s="9"/>
    </row>
    <row r="103" spans="1:13" ht="15" customHeight="1" x14ac:dyDescent="0.3">
      <c r="A103" s="6" t="s">
        <v>625</v>
      </c>
      <c r="B103" s="6" t="s">
        <v>536</v>
      </c>
      <c r="C103" s="6" t="s">
        <v>622</v>
      </c>
      <c r="D103" s="4" t="s">
        <v>628</v>
      </c>
      <c r="E103" s="6" t="s">
        <v>629</v>
      </c>
      <c r="F103" s="6" t="s">
        <v>57</v>
      </c>
      <c r="G103" s="8">
        <v>1641649886</v>
      </c>
      <c r="H103" s="11">
        <v>1</v>
      </c>
      <c r="I103" s="6" t="s">
        <v>59</v>
      </c>
      <c r="J103" s="11">
        <v>1</v>
      </c>
      <c r="K103" s="6"/>
      <c r="L103" s="12"/>
      <c r="M103" s="9"/>
    </row>
    <row r="104" spans="1:13" ht="15" customHeight="1" x14ac:dyDescent="0.3">
      <c r="A104" s="6" t="s">
        <v>630</v>
      </c>
      <c r="B104" s="6" t="s">
        <v>536</v>
      </c>
      <c r="C104" s="6" t="s">
        <v>622</v>
      </c>
      <c r="D104" s="4" t="s">
        <v>633</v>
      </c>
      <c r="E104" s="6" t="s">
        <v>634</v>
      </c>
      <c r="F104" s="6" t="s">
        <v>57</v>
      </c>
      <c r="G104" s="8">
        <v>191737979</v>
      </c>
      <c r="H104" s="11">
        <v>1</v>
      </c>
      <c r="I104" s="6" t="s">
        <v>59</v>
      </c>
      <c r="J104" s="11">
        <v>1</v>
      </c>
      <c r="K104" s="6"/>
      <c r="L104" s="12"/>
      <c r="M104" s="9"/>
    </row>
    <row r="105" spans="1:13" ht="15" customHeight="1" x14ac:dyDescent="0.3">
      <c r="A105" s="6" t="s">
        <v>635</v>
      </c>
      <c r="B105" s="6" t="s">
        <v>536</v>
      </c>
      <c r="C105" s="6" t="s">
        <v>622</v>
      </c>
      <c r="D105" s="4" t="s">
        <v>638</v>
      </c>
      <c r="E105" s="6" t="s">
        <v>639</v>
      </c>
      <c r="F105" s="6" t="s">
        <v>57</v>
      </c>
      <c r="G105" s="8">
        <v>191952282</v>
      </c>
      <c r="H105" s="11">
        <v>1</v>
      </c>
      <c r="I105" s="6" t="s">
        <v>59</v>
      </c>
      <c r="J105" s="11">
        <v>1</v>
      </c>
      <c r="K105" s="6"/>
      <c r="L105" s="12"/>
      <c r="M105" s="9"/>
    </row>
    <row r="106" spans="1:13" ht="15" customHeight="1" x14ac:dyDescent="0.3">
      <c r="A106" s="6" t="s">
        <v>640</v>
      </c>
      <c r="B106" s="6" t="s">
        <v>536</v>
      </c>
      <c r="C106" s="6" t="s">
        <v>622</v>
      </c>
      <c r="D106" s="4" t="s">
        <v>643</v>
      </c>
      <c r="E106" s="6" t="s">
        <v>644</v>
      </c>
      <c r="F106" s="6" t="s">
        <v>57</v>
      </c>
      <c r="G106" s="8">
        <v>821641606</v>
      </c>
      <c r="H106" s="11">
        <v>1</v>
      </c>
      <c r="I106" s="6" t="s">
        <v>59</v>
      </c>
      <c r="J106" s="11">
        <v>1</v>
      </c>
      <c r="K106" s="6"/>
      <c r="L106" s="12"/>
      <c r="M106" s="9" t="s">
        <v>646</v>
      </c>
    </row>
    <row r="107" spans="1:13" ht="15" customHeight="1" x14ac:dyDescent="0.3">
      <c r="A107" s="6" t="s">
        <v>647</v>
      </c>
      <c r="B107" s="6" t="s">
        <v>536</v>
      </c>
      <c r="C107" s="6" t="s">
        <v>622</v>
      </c>
      <c r="D107" s="4" t="s">
        <v>650</v>
      </c>
      <c r="E107" s="6" t="s">
        <v>651</v>
      </c>
      <c r="F107" s="6" t="s">
        <v>57</v>
      </c>
      <c r="G107" s="8">
        <v>191954100</v>
      </c>
      <c r="H107" s="11">
        <v>1</v>
      </c>
      <c r="I107" s="6" t="s">
        <v>59</v>
      </c>
      <c r="J107" s="11">
        <v>1</v>
      </c>
      <c r="K107" s="6"/>
      <c r="L107" s="12"/>
      <c r="M107" s="9"/>
    </row>
    <row r="108" spans="1:13" ht="15" customHeight="1" x14ac:dyDescent="0.3">
      <c r="A108" s="6" t="s">
        <v>652</v>
      </c>
      <c r="B108" s="6" t="s">
        <v>536</v>
      </c>
      <c r="C108" s="6" t="s">
        <v>622</v>
      </c>
      <c r="D108" s="4" t="s">
        <v>655</v>
      </c>
      <c r="E108" s="6" t="s">
        <v>656</v>
      </c>
      <c r="F108" s="6" t="s">
        <v>57</v>
      </c>
      <c r="G108" s="8"/>
      <c r="H108" s="11">
        <v>1</v>
      </c>
      <c r="I108" s="6" t="s">
        <v>657</v>
      </c>
      <c r="J108" s="11">
        <v>1</v>
      </c>
      <c r="K108" s="6"/>
      <c r="L108" s="12"/>
      <c r="M108" s="9"/>
    </row>
    <row r="109" spans="1:13" ht="15" customHeight="1" x14ac:dyDescent="0.3">
      <c r="A109" s="6" t="s">
        <v>658</v>
      </c>
      <c r="B109" s="6" t="s">
        <v>662</v>
      </c>
      <c r="C109" s="6" t="s">
        <v>663</v>
      </c>
      <c r="D109" s="4" t="s">
        <v>664</v>
      </c>
      <c r="E109" s="6" t="s">
        <v>665</v>
      </c>
      <c r="F109" s="6" t="s">
        <v>57</v>
      </c>
      <c r="G109" s="8">
        <v>589304983</v>
      </c>
      <c r="H109" s="11">
        <v>0</v>
      </c>
      <c r="I109" s="6" t="s">
        <v>657</v>
      </c>
      <c r="J109" s="11">
        <v>1</v>
      </c>
      <c r="K109" s="6"/>
      <c r="L109" s="12"/>
      <c r="M109" s="9" t="s">
        <v>667</v>
      </c>
    </row>
    <row r="110" spans="1:13" ht="15" customHeight="1" x14ac:dyDescent="0.3">
      <c r="A110" s="6" t="s">
        <v>668</v>
      </c>
      <c r="B110" s="6" t="s">
        <v>662</v>
      </c>
      <c r="C110" s="6" t="s">
        <v>663</v>
      </c>
      <c r="D110" s="4" t="s">
        <v>671</v>
      </c>
      <c r="E110" s="6" t="s">
        <v>780</v>
      </c>
      <c r="F110" s="6" t="s">
        <v>57</v>
      </c>
      <c r="G110" s="8">
        <v>765946972</v>
      </c>
      <c r="H110" s="11">
        <v>1</v>
      </c>
      <c r="I110" s="6" t="s">
        <v>657</v>
      </c>
      <c r="J110" s="11">
        <v>1</v>
      </c>
      <c r="K110" s="6"/>
      <c r="L110" s="12"/>
      <c r="M110" s="9" t="s">
        <v>667</v>
      </c>
    </row>
    <row r="111" spans="1:13" ht="15" customHeight="1" x14ac:dyDescent="0.3">
      <c r="A111" s="6" t="s">
        <v>674</v>
      </c>
      <c r="B111" s="6" t="s">
        <v>662</v>
      </c>
      <c r="C111" s="6" t="s">
        <v>677</v>
      </c>
      <c r="D111" s="4" t="s">
        <v>678</v>
      </c>
      <c r="E111" s="6" t="s">
        <v>780</v>
      </c>
      <c r="F111" s="6" t="s">
        <v>57</v>
      </c>
      <c r="G111" s="8">
        <v>763105835</v>
      </c>
      <c r="H111" s="11">
        <v>1</v>
      </c>
      <c r="I111" s="6" t="s">
        <v>657</v>
      </c>
      <c r="J111" s="11">
        <v>1</v>
      </c>
      <c r="K111" s="6"/>
      <c r="L111" s="12"/>
      <c r="M111" s="9" t="s">
        <v>667</v>
      </c>
    </row>
    <row r="112" spans="1:13" ht="15" customHeight="1" x14ac:dyDescent="0.3">
      <c r="A112" s="6" t="s">
        <v>681</v>
      </c>
      <c r="B112" s="6" t="s">
        <v>662</v>
      </c>
      <c r="C112" s="6" t="s">
        <v>684</v>
      </c>
      <c r="D112" s="4" t="s">
        <v>685</v>
      </c>
      <c r="E112" s="6" t="s">
        <v>686</v>
      </c>
      <c r="F112" s="6" t="s">
        <v>57</v>
      </c>
      <c r="G112" s="8">
        <v>554164949</v>
      </c>
      <c r="H112" s="11">
        <v>1</v>
      </c>
      <c r="I112" s="6" t="s">
        <v>657</v>
      </c>
      <c r="J112" s="11">
        <v>1</v>
      </c>
      <c r="K112" s="6"/>
      <c r="L112" s="12"/>
      <c r="M112" s="9" t="s">
        <v>667</v>
      </c>
    </row>
    <row r="113" spans="1:13" ht="15" customHeight="1" x14ac:dyDescent="0.3">
      <c r="A113" s="6" t="s">
        <v>688</v>
      </c>
      <c r="B113" s="6" t="s">
        <v>662</v>
      </c>
      <c r="C113" s="6" t="s">
        <v>691</v>
      </c>
      <c r="D113" s="4" t="s">
        <v>692</v>
      </c>
      <c r="E113" s="6" t="s">
        <v>693</v>
      </c>
      <c r="F113" s="6" t="s">
        <v>57</v>
      </c>
      <c r="G113" s="8">
        <v>554943740</v>
      </c>
      <c r="H113" s="11">
        <v>1</v>
      </c>
      <c r="I113" s="6" t="s">
        <v>657</v>
      </c>
      <c r="J113" s="11">
        <v>1</v>
      </c>
      <c r="K113" s="6"/>
      <c r="L113" s="12"/>
      <c r="M113" s="9" t="s">
        <v>667</v>
      </c>
    </row>
    <row r="114" spans="1:13" ht="15" customHeight="1" x14ac:dyDescent="0.3">
      <c r="A114" s="6" t="s">
        <v>695</v>
      </c>
      <c r="B114" s="6" t="s">
        <v>662</v>
      </c>
      <c r="C114" s="6" t="s">
        <v>663</v>
      </c>
      <c r="D114" s="4" t="s">
        <v>697</v>
      </c>
      <c r="E114" s="6" t="s">
        <v>780</v>
      </c>
      <c r="F114" s="6" t="s">
        <v>57</v>
      </c>
      <c r="G114" s="8">
        <v>559624517</v>
      </c>
      <c r="H114" s="11">
        <v>1</v>
      </c>
      <c r="I114" s="6" t="s">
        <v>657</v>
      </c>
      <c r="J114" s="11">
        <v>1</v>
      </c>
      <c r="K114" s="6"/>
      <c r="L114" s="12"/>
      <c r="M114" s="9" t="s">
        <v>667</v>
      </c>
    </row>
    <row r="115" spans="1:13" ht="15" customHeight="1" x14ac:dyDescent="0.3">
      <c r="A115" s="6" t="s">
        <v>701</v>
      </c>
      <c r="B115" s="6" t="s">
        <v>662</v>
      </c>
      <c r="C115" s="6" t="s">
        <v>663</v>
      </c>
      <c r="D115" s="4" t="s">
        <v>704</v>
      </c>
      <c r="E115" s="6" t="s">
        <v>698</v>
      </c>
      <c r="F115" s="6" t="s">
        <v>57</v>
      </c>
      <c r="G115" s="8">
        <v>547121360</v>
      </c>
      <c r="H115" s="11">
        <v>1</v>
      </c>
      <c r="I115" s="6" t="s">
        <v>59</v>
      </c>
      <c r="J115" s="11">
        <v>1</v>
      </c>
      <c r="K115" s="6"/>
      <c r="L115" s="12"/>
      <c r="M115" s="9" t="s">
        <v>667</v>
      </c>
    </row>
    <row r="116" spans="1:13" ht="15" customHeight="1" x14ac:dyDescent="0.3">
      <c r="A116" s="6" t="s">
        <v>708</v>
      </c>
      <c r="B116" s="6" t="s">
        <v>662</v>
      </c>
      <c r="C116" s="6" t="s">
        <v>663</v>
      </c>
      <c r="D116" s="4" t="s">
        <v>711</v>
      </c>
      <c r="E116" s="6" t="s">
        <v>712</v>
      </c>
      <c r="F116" s="6" t="s">
        <v>57</v>
      </c>
      <c r="G116" s="8">
        <v>543014302</v>
      </c>
      <c r="H116" s="11">
        <v>1</v>
      </c>
      <c r="I116" s="6" t="s">
        <v>59</v>
      </c>
      <c r="J116" s="11">
        <v>1</v>
      </c>
      <c r="K116" s="6"/>
      <c r="L116" s="12"/>
      <c r="M116" s="9" t="s">
        <v>667</v>
      </c>
    </row>
    <row r="117" spans="1:13" ht="15" customHeight="1" x14ac:dyDescent="0.3">
      <c r="A117" s="6" t="s">
        <v>714</v>
      </c>
      <c r="B117" s="6" t="s">
        <v>718</v>
      </c>
      <c r="C117" s="6" t="s">
        <v>719</v>
      </c>
      <c r="D117" s="4" t="s">
        <v>720</v>
      </c>
      <c r="E117" s="6" t="s">
        <v>721</v>
      </c>
      <c r="F117" s="6" t="s">
        <v>57</v>
      </c>
      <c r="G117" s="8">
        <v>474412325</v>
      </c>
      <c r="H117" s="11">
        <v>1</v>
      </c>
      <c r="I117" s="6" t="s">
        <v>657</v>
      </c>
      <c r="J117" s="11">
        <v>1</v>
      </c>
      <c r="K117" s="6"/>
      <c r="M117" s="9"/>
    </row>
    <row r="118" spans="1:13" ht="15" customHeight="1" x14ac:dyDescent="0.3">
      <c r="A118" s="6" t="s">
        <v>722</v>
      </c>
      <c r="B118" s="6" t="s">
        <v>724</v>
      </c>
      <c r="C118" s="6" t="s">
        <v>725</v>
      </c>
      <c r="D118" s="4" t="s">
        <v>726</v>
      </c>
      <c r="F118" s="6" t="s">
        <v>57</v>
      </c>
      <c r="G118" s="8">
        <v>1075010933</v>
      </c>
      <c r="H118" s="11">
        <v>1</v>
      </c>
      <c r="I118" s="6" t="s">
        <v>657</v>
      </c>
      <c r="J118" s="11">
        <v>1</v>
      </c>
      <c r="K118" s="6"/>
      <c r="M118" s="9" t="s">
        <v>728</v>
      </c>
    </row>
    <row r="119" spans="1:13" ht="15" customHeight="1" x14ac:dyDescent="0.3">
      <c r="A119" s="6" t="s">
        <v>730</v>
      </c>
      <c r="B119" s="6" t="s">
        <v>724</v>
      </c>
      <c r="C119" s="20" t="s">
        <v>732</v>
      </c>
      <c r="D119" s="21" t="s">
        <v>733</v>
      </c>
      <c r="F119" s="6" t="s">
        <v>57</v>
      </c>
      <c r="G119" s="8">
        <v>1075415665</v>
      </c>
      <c r="H119" s="11">
        <v>1</v>
      </c>
      <c r="I119" s="6" t="s">
        <v>657</v>
      </c>
      <c r="J119" s="11">
        <v>1</v>
      </c>
      <c r="K119" s="6"/>
      <c r="M119" s="9"/>
    </row>
    <row r="120" spans="1:13" ht="15" customHeight="1" x14ac:dyDescent="0.3">
      <c r="A120" s="6" t="s">
        <v>734</v>
      </c>
      <c r="B120" s="6" t="s">
        <v>736</v>
      </c>
      <c r="C120" s="20" t="s">
        <v>732</v>
      </c>
      <c r="D120" s="21" t="s">
        <v>737</v>
      </c>
      <c r="F120" s="6" t="s">
        <v>57</v>
      </c>
      <c r="G120" s="8">
        <v>1726340938</v>
      </c>
      <c r="H120" s="11">
        <v>1</v>
      </c>
      <c r="I120" s="6"/>
      <c r="J120" s="11">
        <v>1</v>
      </c>
      <c r="K120" s="6"/>
      <c r="M120" s="9"/>
    </row>
    <row r="121" spans="1:13" ht="15" customHeight="1" x14ac:dyDescent="0.3">
      <c r="A121" s="6" t="s">
        <v>741</v>
      </c>
      <c r="B121" s="6" t="s">
        <v>744</v>
      </c>
      <c r="C121" s="6" t="s">
        <v>745</v>
      </c>
      <c r="D121" s="4" t="s">
        <v>746</v>
      </c>
      <c r="E121" s="6" t="s">
        <v>747</v>
      </c>
      <c r="F121" s="6" t="s">
        <v>57</v>
      </c>
      <c r="G121" s="8">
        <v>1486474160</v>
      </c>
      <c r="H121" s="11">
        <v>1</v>
      </c>
      <c r="I121" s="6" t="s">
        <v>59</v>
      </c>
      <c r="J121" s="11">
        <v>1</v>
      </c>
      <c r="K121" s="6"/>
      <c r="L121" s="10"/>
      <c r="M121" s="9"/>
    </row>
    <row r="122" spans="1:13" ht="15" customHeight="1" x14ac:dyDescent="0.3">
      <c r="D122" s="4"/>
      <c r="G122" s="8"/>
      <c r="I122" s="6"/>
      <c r="J122" s="6"/>
      <c r="K122" s="6"/>
      <c r="L122" s="10"/>
      <c r="M122" s="9"/>
    </row>
    <row r="123" spans="1:13" ht="15" customHeight="1" x14ac:dyDescent="0.3">
      <c r="D123" s="4"/>
      <c r="G123" s="8"/>
      <c r="I123" s="6"/>
      <c r="J123" s="6"/>
      <c r="K123" s="6"/>
      <c r="L123" s="10"/>
      <c r="M123" s="9"/>
    </row>
    <row r="124" spans="1:13" ht="15" customHeight="1" x14ac:dyDescent="0.3">
      <c r="D124" s="4"/>
      <c r="G124" s="8"/>
      <c r="I124" s="6"/>
      <c r="J124" s="6"/>
      <c r="K124" s="6"/>
      <c r="L124" s="10"/>
      <c r="M124" s="9"/>
    </row>
    <row r="125" spans="1:13" ht="15" customHeight="1" x14ac:dyDescent="0.3">
      <c r="D125" s="4"/>
      <c r="G125" s="8"/>
      <c r="I125" s="6"/>
      <c r="J125" s="6"/>
      <c r="K125" s="6"/>
      <c r="L125" s="10"/>
      <c r="M125" s="9"/>
    </row>
    <row r="126" spans="1:13" ht="15" customHeight="1" x14ac:dyDescent="0.3">
      <c r="D126" s="4"/>
      <c r="G126" s="8"/>
      <c r="I126" s="6"/>
      <c r="J126" s="6"/>
      <c r="K126" s="6"/>
      <c r="L126" s="10"/>
      <c r="M126" s="9"/>
    </row>
    <row r="127" spans="1:13" ht="15" customHeight="1" x14ac:dyDescent="0.3">
      <c r="D127" s="4"/>
      <c r="G127" s="8"/>
      <c r="I127" s="6"/>
      <c r="J127" s="6"/>
      <c r="K127" s="6"/>
      <c r="L127" s="12"/>
      <c r="M127" s="9"/>
    </row>
    <row r="128" spans="1:13" ht="15" customHeight="1" x14ac:dyDescent="0.3">
      <c r="D128" s="4"/>
      <c r="G128" s="8"/>
      <c r="I128" s="6"/>
      <c r="J128" s="6"/>
      <c r="K128" s="6"/>
      <c r="L128" s="12"/>
      <c r="M128" s="9"/>
    </row>
    <row r="129" spans="1:13" ht="15" customHeight="1" x14ac:dyDescent="0.3">
      <c r="A129" s="6" t="s">
        <v>763</v>
      </c>
      <c r="D129" s="4"/>
      <c r="G129" s="8"/>
      <c r="I129" s="6"/>
      <c r="J129" s="6"/>
      <c r="K129" s="6"/>
      <c r="L129" s="12"/>
      <c r="M129" s="9"/>
    </row>
    <row r="130" spans="1:13" ht="15" customHeight="1" x14ac:dyDescent="0.3">
      <c r="A130" s="6" t="s">
        <v>764</v>
      </c>
      <c r="D130" s="4"/>
      <c r="G130" s="8"/>
      <c r="H130" s="16">
        <f>SUM(H6:H127)</f>
        <v>113</v>
      </c>
      <c r="I130" s="23" t="s">
        <v>781</v>
      </c>
      <c r="J130" s="23">
        <f>SUM(J6:J127)</f>
        <v>97</v>
      </c>
      <c r="K130" s="16"/>
      <c r="L130" s="12"/>
      <c r="M130" s="9"/>
    </row>
    <row r="131" spans="1:13" ht="15" customHeight="1" x14ac:dyDescent="0.3">
      <c r="D131" s="4"/>
      <c r="G131" s="8"/>
      <c r="I131" s="6"/>
      <c r="J131" s="6"/>
      <c r="K131" s="6"/>
      <c r="L131" s="12"/>
      <c r="M131" s="9"/>
    </row>
    <row r="132" spans="1:13" ht="15" customHeight="1" x14ac:dyDescent="0.3">
      <c r="D132" s="4"/>
      <c r="G132" s="8" t="s">
        <v>782</v>
      </c>
      <c r="H132" s="6">
        <f>H134-H130</f>
        <v>3</v>
      </c>
      <c r="I132" s="6"/>
      <c r="J132" s="6">
        <f>J134-J130</f>
        <v>19</v>
      </c>
      <c r="K132" s="6"/>
      <c r="L132" s="12"/>
      <c r="M132" s="9"/>
    </row>
    <row r="133" spans="1:13" ht="15" customHeight="1" x14ac:dyDescent="0.3">
      <c r="D133" s="4"/>
      <c r="G133" s="8"/>
      <c r="H133" s="6">
        <f>SUM(H5:H128)</f>
        <v>113</v>
      </c>
      <c r="I133" s="6"/>
      <c r="J133" s="6">
        <f>SUM(J5:J128)</f>
        <v>97</v>
      </c>
      <c r="K133" s="6"/>
      <c r="L133" s="10"/>
      <c r="M133" s="9"/>
    </row>
    <row r="134" spans="1:13" ht="15" customHeight="1" x14ac:dyDescent="0.3">
      <c r="D134" s="4"/>
      <c r="G134" s="8" t="s">
        <v>783</v>
      </c>
      <c r="H134" s="6">
        <f>COUNTA(H6:H128)</f>
        <v>116</v>
      </c>
      <c r="I134" s="6"/>
      <c r="J134" s="6">
        <f>COUNTA(J6:J128)</f>
        <v>116</v>
      </c>
      <c r="K134" s="6"/>
      <c r="L134" s="12"/>
      <c r="M134" s="9"/>
    </row>
    <row r="135" spans="1:13" ht="15" customHeight="1" x14ac:dyDescent="0.3">
      <c r="D135" s="4"/>
      <c r="G135" s="8" t="s">
        <v>784</v>
      </c>
      <c r="H135" s="5">
        <f>H132/H134</f>
        <v>2.5862068965517241E-2</v>
      </c>
      <c r="I135" s="6"/>
      <c r="J135" s="5">
        <f>J132/J134</f>
        <v>0.16379310344827586</v>
      </c>
      <c r="K135" s="6"/>
      <c r="L135" s="12"/>
      <c r="M135" s="9"/>
    </row>
    <row r="136" spans="1:13" ht="15" customHeight="1" x14ac:dyDescent="0.3">
      <c r="D136" s="4"/>
      <c r="G136" s="8"/>
      <c r="I136" s="6"/>
      <c r="J136" s="6"/>
      <c r="K136" s="6"/>
      <c r="L136" s="12"/>
      <c r="M136" s="9"/>
    </row>
    <row r="137" spans="1:13" ht="15" customHeight="1" x14ac:dyDescent="0.3">
      <c r="D137" s="4"/>
      <c r="G137" s="8"/>
      <c r="I137" s="6"/>
      <c r="J137" s="6"/>
      <c r="K137" s="6"/>
      <c r="L137" s="12"/>
      <c r="M137" s="9"/>
    </row>
    <row r="138" spans="1:13" ht="15" customHeight="1" x14ac:dyDescent="0.3">
      <c r="D138" s="4"/>
      <c r="G138" s="8"/>
      <c r="I138" s="6"/>
      <c r="J138" s="6"/>
      <c r="K138" s="6"/>
      <c r="L138" s="12"/>
      <c r="M138" s="9"/>
    </row>
    <row r="139" spans="1:13" ht="15" customHeight="1" x14ac:dyDescent="0.3">
      <c r="D139" s="4"/>
      <c r="G139" s="8"/>
      <c r="I139" s="6"/>
      <c r="J139" s="6"/>
      <c r="K139" s="6"/>
      <c r="L139" s="12"/>
      <c r="M139" s="9"/>
    </row>
    <row r="140" spans="1:13" ht="15" customHeight="1" x14ac:dyDescent="0.3">
      <c r="D140" s="4"/>
      <c r="G140" s="8"/>
      <c r="I140" s="6"/>
      <c r="J140" s="6"/>
      <c r="K140" s="6"/>
      <c r="L140" s="12"/>
      <c r="M140" s="9"/>
    </row>
    <row r="141" spans="1:13" ht="15" customHeight="1" x14ac:dyDescent="0.3">
      <c r="D141" s="4"/>
      <c r="G141" s="8"/>
      <c r="I141" s="6"/>
      <c r="J141" s="6"/>
      <c r="K141" s="6"/>
      <c r="L141" s="12"/>
      <c r="M141" s="9"/>
    </row>
    <row r="142" spans="1:13" ht="15" customHeight="1" x14ac:dyDescent="0.3">
      <c r="D142" s="4"/>
      <c r="G142" s="8"/>
      <c r="I142" s="6"/>
      <c r="J142" s="6"/>
      <c r="K142" s="6"/>
      <c r="L142" s="12"/>
      <c r="M142" s="9"/>
    </row>
    <row r="143" spans="1:13" ht="15" customHeight="1" x14ac:dyDescent="0.3">
      <c r="D143" s="4"/>
      <c r="G143" s="8"/>
      <c r="I143" s="6"/>
      <c r="J143" s="6"/>
      <c r="K143" s="6"/>
      <c r="L143" s="12"/>
      <c r="M143" s="9"/>
    </row>
    <row r="144" spans="1:13" ht="15" customHeight="1" x14ac:dyDescent="0.3">
      <c r="D144" s="4"/>
      <c r="G144" s="8"/>
      <c r="I144" s="6"/>
      <c r="J144" s="6"/>
      <c r="K144" s="6"/>
      <c r="L144" s="12"/>
      <c r="M144" s="9"/>
    </row>
    <row r="152" spans="9:9" x14ac:dyDescent="0.3">
      <c r="I152" s="12" t="s">
        <v>771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27"/>
  <sheetViews>
    <sheetView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L28" sqref="L28"/>
    </sheetView>
  </sheetViews>
  <sheetFormatPr defaultRowHeight="14.4" x14ac:dyDescent="0.3"/>
  <cols>
    <col min="1" max="1" width="17.5546875" bestFit="1" customWidth="1"/>
    <col min="2" max="2" width="16.6640625" style="27" customWidth="1"/>
    <col min="3" max="3" width="13" style="25" customWidth="1"/>
    <col min="4" max="4" width="21.109375" style="25" customWidth="1"/>
    <col min="5" max="6" width="21.6640625" style="25" customWidth="1"/>
    <col min="7" max="7" width="12.44140625" style="26" customWidth="1"/>
    <col min="8" max="9" width="12.33203125" style="25" customWidth="1"/>
    <col min="10" max="10" width="15.5546875" customWidth="1"/>
    <col min="11" max="11" width="13.6640625" bestFit="1" customWidth="1"/>
    <col min="12" max="14" width="13.6640625" customWidth="1"/>
    <col min="15" max="15" width="17.6640625" style="24" bestFit="1" customWidth="1"/>
    <col min="16" max="16" width="22.88671875" bestFit="1" customWidth="1"/>
    <col min="17" max="17" width="12.88671875" customWidth="1"/>
    <col min="18" max="20" width="15.5546875" customWidth="1"/>
    <col min="21" max="21" width="13.5546875" customWidth="1"/>
    <col min="22" max="22" width="26.6640625" bestFit="1" customWidth="1"/>
  </cols>
  <sheetData>
    <row r="1" spans="1:22" ht="28.8" x14ac:dyDescent="0.3">
      <c r="A1" s="56" t="s">
        <v>785</v>
      </c>
      <c r="B1" s="52" t="s">
        <v>786</v>
      </c>
      <c r="C1" s="52" t="s">
        <v>787</v>
      </c>
      <c r="D1" s="52" t="s">
        <v>788</v>
      </c>
      <c r="E1" s="52" t="s">
        <v>789</v>
      </c>
      <c r="F1" s="52" t="s">
        <v>790</v>
      </c>
      <c r="G1" s="55" t="s">
        <v>791</v>
      </c>
      <c r="H1" s="54" t="s">
        <v>792</v>
      </c>
      <c r="I1" s="54" t="s">
        <v>793</v>
      </c>
      <c r="J1" s="52" t="s">
        <v>794</v>
      </c>
      <c r="K1" s="52" t="s">
        <v>795</v>
      </c>
      <c r="L1" s="52" t="s">
        <v>796</v>
      </c>
      <c r="M1" s="52" t="s">
        <v>797</v>
      </c>
      <c r="N1" s="52" t="s">
        <v>17</v>
      </c>
      <c r="O1" s="52" t="s">
        <v>798</v>
      </c>
      <c r="P1" s="52" t="s">
        <v>799</v>
      </c>
      <c r="Q1" s="52" t="s">
        <v>800</v>
      </c>
      <c r="R1" s="52" t="s">
        <v>801</v>
      </c>
      <c r="S1" s="52" t="s">
        <v>802</v>
      </c>
      <c r="T1" s="52" t="s">
        <v>803</v>
      </c>
      <c r="U1" s="53" t="s">
        <v>804</v>
      </c>
      <c r="V1" s="52" t="s">
        <v>805</v>
      </c>
    </row>
    <row r="2" spans="1:22" x14ac:dyDescent="0.3">
      <c r="A2" s="30" t="s">
        <v>806</v>
      </c>
      <c r="B2" s="36" t="s">
        <v>807</v>
      </c>
      <c r="C2" s="32" t="s">
        <v>749</v>
      </c>
      <c r="D2" s="32" t="s">
        <v>808</v>
      </c>
      <c r="E2" s="32" t="s">
        <v>809</v>
      </c>
      <c r="F2" s="35" t="s">
        <v>810</v>
      </c>
      <c r="G2" s="34">
        <v>2010.11</v>
      </c>
      <c r="H2" s="32" t="s">
        <v>811</v>
      </c>
      <c r="I2" s="32">
        <v>922485819</v>
      </c>
      <c r="J2" s="32" t="s">
        <v>812</v>
      </c>
      <c r="K2" s="32">
        <v>2.4</v>
      </c>
      <c r="L2" s="32">
        <v>8</v>
      </c>
      <c r="M2" s="32">
        <v>0</v>
      </c>
      <c r="N2" s="32" t="s">
        <v>89</v>
      </c>
      <c r="O2" s="37" t="s">
        <v>813</v>
      </c>
      <c r="P2" s="32" t="s">
        <v>814</v>
      </c>
      <c r="Q2" s="32" t="s">
        <v>815</v>
      </c>
      <c r="R2" s="32" t="s">
        <v>816</v>
      </c>
      <c r="S2" s="31" t="s">
        <v>817</v>
      </c>
      <c r="T2" s="31">
        <v>2018</v>
      </c>
      <c r="U2" s="30" t="s">
        <v>807</v>
      </c>
      <c r="V2" s="30"/>
    </row>
    <row r="3" spans="1:22" x14ac:dyDescent="0.3">
      <c r="A3" s="30" t="s">
        <v>818</v>
      </c>
      <c r="B3" s="36" t="s">
        <v>819</v>
      </c>
      <c r="C3" s="32" t="s">
        <v>820</v>
      </c>
      <c r="D3" s="32" t="s">
        <v>821</v>
      </c>
      <c r="E3" s="32" t="s">
        <v>822</v>
      </c>
      <c r="F3" s="32" t="s">
        <v>823</v>
      </c>
      <c r="G3" s="34">
        <v>2015.12</v>
      </c>
      <c r="H3" s="32" t="s">
        <v>824</v>
      </c>
      <c r="I3" s="32">
        <v>1919937812</v>
      </c>
      <c r="J3" s="32" t="s">
        <v>825</v>
      </c>
      <c r="K3" s="32">
        <v>2.5</v>
      </c>
      <c r="L3" s="32">
        <v>32</v>
      </c>
      <c r="M3" s="32">
        <v>0</v>
      </c>
      <c r="N3" s="32" t="s">
        <v>661</v>
      </c>
      <c r="O3" s="37" t="s">
        <v>826</v>
      </c>
      <c r="P3" s="32" t="s">
        <v>827</v>
      </c>
      <c r="Q3" s="32" t="s">
        <v>828</v>
      </c>
      <c r="R3" s="32" t="s">
        <v>816</v>
      </c>
      <c r="S3" s="31" t="s">
        <v>829</v>
      </c>
      <c r="T3" s="31">
        <v>2015</v>
      </c>
      <c r="U3" s="30" t="s">
        <v>830</v>
      </c>
      <c r="V3" s="37" t="s">
        <v>831</v>
      </c>
    </row>
    <row r="4" spans="1:22" x14ac:dyDescent="0.3">
      <c r="A4" s="30" t="s">
        <v>832</v>
      </c>
      <c r="B4" s="36" t="s">
        <v>833</v>
      </c>
      <c r="C4" s="32" t="s">
        <v>820</v>
      </c>
      <c r="D4" s="32" t="s">
        <v>834</v>
      </c>
      <c r="E4" s="32" t="s">
        <v>835</v>
      </c>
      <c r="F4" s="35" t="s">
        <v>836</v>
      </c>
      <c r="G4" s="34" t="s">
        <v>837</v>
      </c>
      <c r="H4" s="32" t="s">
        <v>838</v>
      </c>
      <c r="I4" s="32">
        <v>882734376</v>
      </c>
      <c r="J4" s="32" t="s">
        <v>825</v>
      </c>
      <c r="K4" s="32">
        <v>2</v>
      </c>
      <c r="L4" s="32">
        <v>16</v>
      </c>
      <c r="M4" s="32">
        <v>2</v>
      </c>
      <c r="N4" s="32" t="s">
        <v>89</v>
      </c>
      <c r="O4" s="37" t="s">
        <v>826</v>
      </c>
      <c r="P4" s="32" t="s">
        <v>839</v>
      </c>
      <c r="Q4" s="32" t="s">
        <v>840</v>
      </c>
      <c r="R4" s="32" t="s">
        <v>816</v>
      </c>
      <c r="S4" s="31" t="s">
        <v>817</v>
      </c>
      <c r="T4" s="31">
        <v>2018</v>
      </c>
      <c r="U4" s="30" t="s">
        <v>833</v>
      </c>
      <c r="V4" s="32"/>
    </row>
    <row r="5" spans="1:22" x14ac:dyDescent="0.3">
      <c r="A5" s="30" t="s">
        <v>841</v>
      </c>
      <c r="B5" s="36" t="s">
        <v>842</v>
      </c>
      <c r="C5" s="32" t="s">
        <v>749</v>
      </c>
      <c r="D5" s="32" t="s">
        <v>843</v>
      </c>
      <c r="E5" s="32" t="s">
        <v>844</v>
      </c>
      <c r="F5" s="35" t="s">
        <v>845</v>
      </c>
      <c r="G5" s="34">
        <v>2014.06</v>
      </c>
      <c r="H5" s="32" t="s">
        <v>846</v>
      </c>
      <c r="I5" s="32">
        <v>932439598</v>
      </c>
      <c r="J5" s="32" t="s">
        <v>812</v>
      </c>
      <c r="K5" s="32">
        <v>2.7</v>
      </c>
      <c r="L5" s="32">
        <v>16</v>
      </c>
      <c r="M5" s="32">
        <v>2</v>
      </c>
      <c r="N5" s="32" t="s">
        <v>89</v>
      </c>
      <c r="O5" s="33" t="s">
        <v>847</v>
      </c>
      <c r="P5" s="32" t="s">
        <v>848</v>
      </c>
      <c r="Q5" s="32" t="s">
        <v>840</v>
      </c>
      <c r="R5" s="32" t="s">
        <v>816</v>
      </c>
      <c r="S5" s="31" t="s">
        <v>817</v>
      </c>
      <c r="T5" s="31">
        <v>2018</v>
      </c>
      <c r="U5" s="30" t="s">
        <v>842</v>
      </c>
      <c r="V5" s="30"/>
    </row>
    <row r="6" spans="1:22" x14ac:dyDescent="0.3">
      <c r="A6" s="30" t="s">
        <v>849</v>
      </c>
      <c r="B6" s="36" t="s">
        <v>850</v>
      </c>
      <c r="C6" s="32" t="s">
        <v>749</v>
      </c>
      <c r="D6" s="32" t="s">
        <v>843</v>
      </c>
      <c r="E6" s="32" t="s">
        <v>851</v>
      </c>
      <c r="F6" s="35" t="s">
        <v>852</v>
      </c>
      <c r="G6" s="34">
        <v>2014.05</v>
      </c>
      <c r="H6" s="32" t="s">
        <v>853</v>
      </c>
      <c r="I6" s="32">
        <v>902188027</v>
      </c>
      <c r="J6" s="32" t="s">
        <v>812</v>
      </c>
      <c r="K6" s="32">
        <v>2.7</v>
      </c>
      <c r="L6" s="32">
        <v>16</v>
      </c>
      <c r="M6" s="32">
        <v>2</v>
      </c>
      <c r="N6" s="32" t="s">
        <v>89</v>
      </c>
      <c r="O6" s="33" t="s">
        <v>847</v>
      </c>
      <c r="P6" s="32" t="s">
        <v>854</v>
      </c>
      <c r="Q6" s="32" t="s">
        <v>840</v>
      </c>
      <c r="R6" s="32" t="s">
        <v>816</v>
      </c>
      <c r="S6" s="31" t="s">
        <v>817</v>
      </c>
      <c r="T6" s="31">
        <v>2018</v>
      </c>
      <c r="U6" s="30" t="s">
        <v>850</v>
      </c>
      <c r="V6" s="30"/>
    </row>
    <row r="7" spans="1:22" x14ac:dyDescent="0.3">
      <c r="A7" s="30" t="s">
        <v>855</v>
      </c>
      <c r="B7" s="36" t="s">
        <v>856</v>
      </c>
      <c r="C7" s="32" t="s">
        <v>749</v>
      </c>
      <c r="D7" s="32" t="s">
        <v>843</v>
      </c>
      <c r="E7" s="32" t="s">
        <v>857</v>
      </c>
      <c r="F7" s="35" t="s">
        <v>858</v>
      </c>
      <c r="G7" s="34" t="s">
        <v>859</v>
      </c>
      <c r="H7" s="32" t="s">
        <v>860</v>
      </c>
      <c r="I7" s="32">
        <v>912434550</v>
      </c>
      <c r="J7" s="32" t="s">
        <v>812</v>
      </c>
      <c r="K7" s="32">
        <v>2.5</v>
      </c>
      <c r="L7" s="32">
        <v>8</v>
      </c>
      <c r="M7" s="32">
        <v>0</v>
      </c>
      <c r="N7" s="32" t="s">
        <v>89</v>
      </c>
      <c r="O7" s="33" t="s">
        <v>847</v>
      </c>
      <c r="P7" s="32" t="s">
        <v>861</v>
      </c>
      <c r="Q7" s="32" t="s">
        <v>862</v>
      </c>
      <c r="R7" s="32" t="s">
        <v>816</v>
      </c>
      <c r="S7" s="31" t="s">
        <v>817</v>
      </c>
      <c r="T7" s="31">
        <v>2018</v>
      </c>
      <c r="U7" s="30" t="s">
        <v>856</v>
      </c>
      <c r="V7" s="30"/>
    </row>
    <row r="8" spans="1:22" x14ac:dyDescent="0.3">
      <c r="A8" s="30" t="s">
        <v>863</v>
      </c>
      <c r="B8" s="36" t="s">
        <v>864</v>
      </c>
      <c r="C8" s="32" t="s">
        <v>820</v>
      </c>
      <c r="D8" s="32" t="s">
        <v>834</v>
      </c>
      <c r="E8" s="32" t="s">
        <v>865</v>
      </c>
      <c r="F8" s="35" t="s">
        <v>866</v>
      </c>
      <c r="G8" s="34" t="s">
        <v>867</v>
      </c>
      <c r="H8" s="32" t="s">
        <v>868</v>
      </c>
      <c r="I8" s="32">
        <v>861734934</v>
      </c>
      <c r="J8" s="32" t="s">
        <v>825</v>
      </c>
      <c r="K8" s="32">
        <v>2</v>
      </c>
      <c r="L8" s="32">
        <v>16</v>
      </c>
      <c r="M8" s="32">
        <v>2</v>
      </c>
      <c r="N8" s="32" t="s">
        <v>89</v>
      </c>
      <c r="O8" s="37" t="s">
        <v>826</v>
      </c>
      <c r="P8" s="32" t="s">
        <v>839</v>
      </c>
      <c r="Q8" s="32" t="s">
        <v>840</v>
      </c>
      <c r="R8" s="32" t="s">
        <v>816</v>
      </c>
      <c r="S8" s="31" t="s">
        <v>817</v>
      </c>
      <c r="T8" s="31">
        <v>2018</v>
      </c>
      <c r="U8" s="30" t="s">
        <v>864</v>
      </c>
      <c r="V8" s="30"/>
    </row>
    <row r="9" spans="1:22" x14ac:dyDescent="0.3">
      <c r="A9" s="30" t="s">
        <v>869</v>
      </c>
      <c r="B9" s="36" t="s">
        <v>870</v>
      </c>
      <c r="C9" s="32" t="s">
        <v>820</v>
      </c>
      <c r="D9" s="32" t="s">
        <v>834</v>
      </c>
      <c r="E9" s="32" t="s">
        <v>871</v>
      </c>
      <c r="F9" s="35" t="s">
        <v>872</v>
      </c>
      <c r="G9" s="34" t="s">
        <v>837</v>
      </c>
      <c r="H9" s="32" t="s">
        <v>873</v>
      </c>
      <c r="I9" s="32">
        <v>827930009</v>
      </c>
      <c r="J9" s="32" t="s">
        <v>825</v>
      </c>
      <c r="K9" s="32">
        <v>2</v>
      </c>
      <c r="L9" s="32">
        <v>16</v>
      </c>
      <c r="M9" s="32">
        <v>2</v>
      </c>
      <c r="N9" s="32" t="s">
        <v>89</v>
      </c>
      <c r="O9" s="37" t="s">
        <v>826</v>
      </c>
      <c r="P9" s="32" t="s">
        <v>839</v>
      </c>
      <c r="Q9" s="32" t="s">
        <v>840</v>
      </c>
      <c r="R9" s="32" t="s">
        <v>816</v>
      </c>
      <c r="S9" s="31" t="s">
        <v>817</v>
      </c>
      <c r="T9" s="31">
        <v>2018</v>
      </c>
      <c r="U9" s="30" t="s">
        <v>870</v>
      </c>
      <c r="V9" s="32"/>
    </row>
    <row r="10" spans="1:22" s="38" customFormat="1" x14ac:dyDescent="0.3">
      <c r="A10" s="39" t="s">
        <v>874</v>
      </c>
      <c r="B10" s="44" t="s">
        <v>874</v>
      </c>
      <c r="C10" s="40" t="s">
        <v>749</v>
      </c>
      <c r="D10" s="40" t="s">
        <v>91</v>
      </c>
      <c r="E10" s="40" t="s">
        <v>875</v>
      </c>
      <c r="F10" s="43"/>
      <c r="G10" s="42">
        <v>2012.02</v>
      </c>
      <c r="H10" s="40" t="s">
        <v>876</v>
      </c>
      <c r="I10" s="40">
        <v>1004674960</v>
      </c>
      <c r="J10" s="40" t="s">
        <v>877</v>
      </c>
      <c r="K10" s="40"/>
      <c r="L10" s="40"/>
      <c r="M10" s="40"/>
      <c r="N10" s="40"/>
      <c r="O10" s="41"/>
      <c r="P10" s="40"/>
      <c r="Q10" s="40"/>
      <c r="R10" s="40"/>
      <c r="S10" s="40" t="s">
        <v>829</v>
      </c>
      <c r="T10" s="40">
        <v>15</v>
      </c>
      <c r="U10" s="39" t="s">
        <v>501</v>
      </c>
      <c r="V10" s="39" t="s">
        <v>878</v>
      </c>
    </row>
    <row r="11" spans="1:22" x14ac:dyDescent="0.3">
      <c r="A11" s="30" t="s">
        <v>879</v>
      </c>
      <c r="B11" s="50" t="s">
        <v>880</v>
      </c>
      <c r="C11" s="32" t="s">
        <v>820</v>
      </c>
      <c r="D11" s="32" t="s">
        <v>834</v>
      </c>
      <c r="E11" s="32" t="s">
        <v>881</v>
      </c>
      <c r="F11" s="35" t="s">
        <v>882</v>
      </c>
      <c r="G11" s="34" t="s">
        <v>837</v>
      </c>
      <c r="H11" s="51" t="s">
        <v>883</v>
      </c>
      <c r="I11" s="31">
        <v>838711209</v>
      </c>
      <c r="J11" s="32" t="s">
        <v>825</v>
      </c>
      <c r="K11" s="32">
        <v>2</v>
      </c>
      <c r="L11" s="32">
        <v>16</v>
      </c>
      <c r="M11" s="32">
        <v>2</v>
      </c>
      <c r="N11" s="32" t="s">
        <v>89</v>
      </c>
      <c r="O11" s="37" t="s">
        <v>826</v>
      </c>
      <c r="P11" s="32" t="s">
        <v>839</v>
      </c>
      <c r="Q11" s="32" t="s">
        <v>840</v>
      </c>
      <c r="R11" s="32" t="s">
        <v>816</v>
      </c>
      <c r="S11" s="31" t="s">
        <v>817</v>
      </c>
      <c r="T11" s="31">
        <v>2018</v>
      </c>
      <c r="U11" s="30" t="s">
        <v>880</v>
      </c>
      <c r="V11" s="30" t="s">
        <v>884</v>
      </c>
    </row>
    <row r="12" spans="1:22" s="38" customFormat="1" x14ac:dyDescent="0.3">
      <c r="A12" s="39" t="s">
        <v>885</v>
      </c>
      <c r="B12" s="44" t="s">
        <v>886</v>
      </c>
      <c r="C12" s="40" t="s">
        <v>820</v>
      </c>
      <c r="D12" s="40" t="s">
        <v>834</v>
      </c>
      <c r="E12" s="40" t="s">
        <v>887</v>
      </c>
      <c r="F12" s="43" t="s">
        <v>888</v>
      </c>
      <c r="G12" s="42" t="s">
        <v>867</v>
      </c>
      <c r="H12" s="40" t="s">
        <v>616</v>
      </c>
      <c r="I12" s="40">
        <v>1012031550</v>
      </c>
      <c r="J12" s="40" t="s">
        <v>825</v>
      </c>
      <c r="K12" s="40">
        <v>2</v>
      </c>
      <c r="L12" s="32">
        <v>16</v>
      </c>
      <c r="M12" s="32">
        <v>2</v>
      </c>
      <c r="N12" s="32" t="s">
        <v>89</v>
      </c>
      <c r="O12" s="41">
        <v>8</v>
      </c>
      <c r="P12" s="40"/>
      <c r="Q12" s="40"/>
      <c r="R12" s="40" t="s">
        <v>816</v>
      </c>
      <c r="S12" s="40" t="s">
        <v>817</v>
      </c>
      <c r="T12" s="40">
        <v>2017</v>
      </c>
      <c r="U12" s="39" t="s">
        <v>889</v>
      </c>
      <c r="V12" s="39" t="s">
        <v>878</v>
      </c>
    </row>
    <row r="13" spans="1:22" x14ac:dyDescent="0.3">
      <c r="A13" s="30" t="s">
        <v>890</v>
      </c>
      <c r="B13" s="36" t="s">
        <v>890</v>
      </c>
      <c r="C13" s="32" t="s">
        <v>749</v>
      </c>
      <c r="D13" s="32" t="s">
        <v>843</v>
      </c>
      <c r="E13" s="32" t="s">
        <v>891</v>
      </c>
      <c r="F13" s="35" t="s">
        <v>892</v>
      </c>
      <c r="G13" s="34" t="s">
        <v>893</v>
      </c>
      <c r="H13" s="32" t="s">
        <v>894</v>
      </c>
      <c r="I13" s="32">
        <v>1005705829</v>
      </c>
      <c r="J13" s="32" t="s">
        <v>812</v>
      </c>
      <c r="K13" s="32">
        <v>2.7</v>
      </c>
      <c r="L13" s="32">
        <v>16</v>
      </c>
      <c r="M13" s="32">
        <v>2</v>
      </c>
      <c r="N13" s="32"/>
      <c r="O13" s="37" t="s">
        <v>826</v>
      </c>
      <c r="P13" s="32" t="s">
        <v>854</v>
      </c>
      <c r="Q13" s="32" t="s">
        <v>840</v>
      </c>
      <c r="R13" s="32" t="s">
        <v>816</v>
      </c>
      <c r="S13" s="31" t="s">
        <v>817</v>
      </c>
      <c r="T13" s="31">
        <v>2018</v>
      </c>
      <c r="U13" s="30" t="s">
        <v>895</v>
      </c>
      <c r="V13" s="47" t="s">
        <v>896</v>
      </c>
    </row>
    <row r="14" spans="1:22" x14ac:dyDescent="0.3">
      <c r="A14" s="30" t="s">
        <v>897</v>
      </c>
      <c r="B14" s="36" t="s">
        <v>898</v>
      </c>
      <c r="C14" s="32" t="s">
        <v>820</v>
      </c>
      <c r="D14" s="32" t="s">
        <v>834</v>
      </c>
      <c r="E14" s="32" t="s">
        <v>899</v>
      </c>
      <c r="F14" s="35" t="s">
        <v>900</v>
      </c>
      <c r="G14" s="34" t="s">
        <v>837</v>
      </c>
      <c r="H14" s="32" t="s">
        <v>901</v>
      </c>
      <c r="I14" s="32">
        <v>932372370</v>
      </c>
      <c r="J14" s="32" t="s">
        <v>825</v>
      </c>
      <c r="K14" s="32">
        <v>2</v>
      </c>
      <c r="L14" s="32">
        <v>16</v>
      </c>
      <c r="M14" s="32">
        <v>2</v>
      </c>
      <c r="N14" s="32" t="s">
        <v>89</v>
      </c>
      <c r="O14" s="37" t="s">
        <v>826</v>
      </c>
      <c r="P14" s="32" t="s">
        <v>839</v>
      </c>
      <c r="Q14" s="32" t="s">
        <v>840</v>
      </c>
      <c r="R14" s="32" t="s">
        <v>816</v>
      </c>
      <c r="S14" s="31" t="s">
        <v>817</v>
      </c>
      <c r="T14" s="31">
        <v>2018</v>
      </c>
      <c r="U14" s="30" t="s">
        <v>898</v>
      </c>
      <c r="V14" s="30"/>
    </row>
    <row r="15" spans="1:22" x14ac:dyDescent="0.3">
      <c r="A15" s="30" t="s">
        <v>902</v>
      </c>
      <c r="B15" s="36" t="s">
        <v>903</v>
      </c>
      <c r="C15" s="32" t="s">
        <v>820</v>
      </c>
      <c r="D15" s="32" t="s">
        <v>834</v>
      </c>
      <c r="E15" s="32" t="s">
        <v>904</v>
      </c>
      <c r="F15" s="35" t="s">
        <v>905</v>
      </c>
      <c r="G15" s="34" t="s">
        <v>837</v>
      </c>
      <c r="H15" s="32" t="s">
        <v>906</v>
      </c>
      <c r="I15" s="32">
        <v>932466450</v>
      </c>
      <c r="J15" s="32" t="s">
        <v>825</v>
      </c>
      <c r="K15" s="32">
        <v>2</v>
      </c>
      <c r="L15" s="32">
        <v>16</v>
      </c>
      <c r="M15" s="32">
        <v>2</v>
      </c>
      <c r="N15" s="32" t="s">
        <v>89</v>
      </c>
      <c r="O15" s="37" t="s">
        <v>826</v>
      </c>
      <c r="P15" s="32" t="s">
        <v>839</v>
      </c>
      <c r="Q15" s="32" t="s">
        <v>840</v>
      </c>
      <c r="R15" s="32" t="s">
        <v>816</v>
      </c>
      <c r="S15" s="31" t="s">
        <v>817</v>
      </c>
      <c r="T15" s="31">
        <v>2018</v>
      </c>
      <c r="U15" s="30" t="s">
        <v>903</v>
      </c>
      <c r="V15" s="30"/>
    </row>
    <row r="16" spans="1:22" x14ac:dyDescent="0.3">
      <c r="A16" s="30" t="s">
        <v>907</v>
      </c>
      <c r="B16" s="36" t="s">
        <v>908</v>
      </c>
      <c r="C16" s="32" t="s">
        <v>820</v>
      </c>
      <c r="D16" s="32" t="s">
        <v>834</v>
      </c>
      <c r="E16" s="32" t="s">
        <v>909</v>
      </c>
      <c r="F16" s="35" t="s">
        <v>910</v>
      </c>
      <c r="G16" s="34" t="s">
        <v>837</v>
      </c>
      <c r="H16" s="32" t="s">
        <v>911</v>
      </c>
      <c r="I16" s="32">
        <v>919000225</v>
      </c>
      <c r="J16" s="32" t="s">
        <v>825</v>
      </c>
      <c r="K16" s="32">
        <v>2</v>
      </c>
      <c r="L16" s="32">
        <v>16</v>
      </c>
      <c r="M16" s="32">
        <v>2</v>
      </c>
      <c r="N16" s="32" t="s">
        <v>89</v>
      </c>
      <c r="O16" s="37" t="s">
        <v>826</v>
      </c>
      <c r="P16" s="32" t="s">
        <v>839</v>
      </c>
      <c r="Q16" s="32" t="s">
        <v>840</v>
      </c>
      <c r="R16" s="32" t="s">
        <v>816</v>
      </c>
      <c r="S16" s="31" t="s">
        <v>817</v>
      </c>
      <c r="T16" s="31">
        <v>2018</v>
      </c>
      <c r="U16" s="30" t="s">
        <v>908</v>
      </c>
      <c r="V16" s="30"/>
    </row>
    <row r="17" spans="1:22" s="45" customFormat="1" x14ac:dyDescent="0.3">
      <c r="A17" s="47" t="s">
        <v>912</v>
      </c>
      <c r="B17" s="50" t="s">
        <v>913</v>
      </c>
      <c r="C17" s="31" t="s">
        <v>820</v>
      </c>
      <c r="D17" s="31" t="s">
        <v>834</v>
      </c>
      <c r="E17" s="31" t="s">
        <v>914</v>
      </c>
      <c r="F17" s="49" t="s">
        <v>915</v>
      </c>
      <c r="G17" s="48" t="s">
        <v>837</v>
      </c>
      <c r="H17" s="31" t="s">
        <v>916</v>
      </c>
      <c r="I17" s="31"/>
      <c r="J17" s="31" t="s">
        <v>825</v>
      </c>
      <c r="K17" s="31">
        <v>2</v>
      </c>
      <c r="L17" s="32">
        <v>16</v>
      </c>
      <c r="M17" s="32">
        <v>2</v>
      </c>
      <c r="N17" s="32" t="s">
        <v>89</v>
      </c>
      <c r="O17" s="46" t="s">
        <v>826</v>
      </c>
      <c r="P17" s="31" t="s">
        <v>839</v>
      </c>
      <c r="Q17" s="31" t="s">
        <v>840</v>
      </c>
      <c r="R17" s="31" t="s">
        <v>816</v>
      </c>
      <c r="S17" s="31" t="s">
        <v>817</v>
      </c>
      <c r="T17" s="31">
        <v>2018</v>
      </c>
      <c r="U17" s="47" t="s">
        <v>913</v>
      </c>
      <c r="V17" s="46" t="s">
        <v>917</v>
      </c>
    </row>
    <row r="18" spans="1:22" x14ac:dyDescent="0.3">
      <c r="A18" s="30" t="s">
        <v>918</v>
      </c>
      <c r="B18" s="36" t="s">
        <v>919</v>
      </c>
      <c r="C18" s="32" t="s">
        <v>820</v>
      </c>
      <c r="D18" s="32" t="s">
        <v>821</v>
      </c>
      <c r="E18" s="32" t="s">
        <v>920</v>
      </c>
      <c r="F18" s="35" t="s">
        <v>921</v>
      </c>
      <c r="G18" s="34" t="s">
        <v>922</v>
      </c>
      <c r="H18" s="32" t="s">
        <v>923</v>
      </c>
      <c r="I18" s="32">
        <v>881984541</v>
      </c>
      <c r="J18" s="32" t="s">
        <v>825</v>
      </c>
      <c r="K18" s="32">
        <v>2.5</v>
      </c>
      <c r="L18" s="32">
        <v>32</v>
      </c>
      <c r="M18" s="32">
        <v>0</v>
      </c>
      <c r="N18" s="32" t="s">
        <v>661</v>
      </c>
      <c r="O18" s="37" t="s">
        <v>826</v>
      </c>
      <c r="P18" s="32" t="s">
        <v>924</v>
      </c>
      <c r="Q18" s="32" t="s">
        <v>840</v>
      </c>
      <c r="R18" s="32" t="s">
        <v>816</v>
      </c>
      <c r="S18" s="31" t="s">
        <v>817</v>
      </c>
      <c r="T18" s="31">
        <v>2018</v>
      </c>
      <c r="U18" s="30" t="s">
        <v>919</v>
      </c>
      <c r="V18" s="30"/>
    </row>
    <row r="19" spans="1:22" s="38" customFormat="1" x14ac:dyDescent="0.3">
      <c r="A19" s="39" t="s">
        <v>451</v>
      </c>
      <c r="B19" s="44" t="s">
        <v>450</v>
      </c>
      <c r="C19" s="40" t="s">
        <v>749</v>
      </c>
      <c r="D19" s="40" t="s">
        <v>36</v>
      </c>
      <c r="E19" s="40" t="s">
        <v>925</v>
      </c>
      <c r="F19" s="43"/>
      <c r="G19" s="42" t="s">
        <v>926</v>
      </c>
      <c r="H19" s="40" t="s">
        <v>927</v>
      </c>
      <c r="I19" s="40">
        <v>1003903241</v>
      </c>
      <c r="J19" s="40" t="s">
        <v>877</v>
      </c>
      <c r="K19" s="40">
        <v>2.4</v>
      </c>
      <c r="L19" s="40"/>
      <c r="M19" s="40"/>
      <c r="N19" s="40"/>
      <c r="O19" s="41">
        <v>4</v>
      </c>
      <c r="P19" s="40" t="s">
        <v>928</v>
      </c>
      <c r="Q19" s="40" t="s">
        <v>862</v>
      </c>
      <c r="R19" s="40" t="s">
        <v>816</v>
      </c>
      <c r="S19" s="40" t="s">
        <v>817</v>
      </c>
      <c r="T19" s="40">
        <v>2017</v>
      </c>
      <c r="U19" s="39" t="s">
        <v>929</v>
      </c>
      <c r="V19" s="39" t="s">
        <v>878</v>
      </c>
    </row>
    <row r="20" spans="1:22" x14ac:dyDescent="0.3">
      <c r="A20" s="30" t="s">
        <v>930</v>
      </c>
      <c r="B20" s="36" t="s">
        <v>931</v>
      </c>
      <c r="C20" s="32" t="s">
        <v>749</v>
      </c>
      <c r="D20" s="32" t="s">
        <v>843</v>
      </c>
      <c r="E20" s="32" t="s">
        <v>932</v>
      </c>
      <c r="F20" s="35" t="s">
        <v>933</v>
      </c>
      <c r="G20" s="34" t="s">
        <v>859</v>
      </c>
      <c r="H20" s="32" t="s">
        <v>934</v>
      </c>
      <c r="I20" s="32">
        <v>671587852</v>
      </c>
      <c r="J20" s="32" t="s">
        <v>812</v>
      </c>
      <c r="K20" s="32">
        <v>2.5</v>
      </c>
      <c r="L20" s="32">
        <v>8</v>
      </c>
      <c r="M20" s="32">
        <v>0</v>
      </c>
      <c r="N20" s="32" t="s">
        <v>89</v>
      </c>
      <c r="O20" s="33" t="s">
        <v>847</v>
      </c>
      <c r="P20" s="32" t="s">
        <v>861</v>
      </c>
      <c r="Q20" s="32" t="s">
        <v>815</v>
      </c>
      <c r="R20" s="32" t="s">
        <v>816</v>
      </c>
      <c r="S20" s="31" t="s">
        <v>817</v>
      </c>
      <c r="T20" s="31">
        <v>2018</v>
      </c>
      <c r="U20" s="30" t="s">
        <v>931</v>
      </c>
      <c r="V20" s="30" t="s">
        <v>935</v>
      </c>
    </row>
    <row r="21" spans="1:22" s="38" customFormat="1" x14ac:dyDescent="0.3">
      <c r="A21" s="39" t="s">
        <v>936</v>
      </c>
      <c r="B21" s="44" t="s">
        <v>937</v>
      </c>
      <c r="C21" s="40" t="s">
        <v>820</v>
      </c>
      <c r="D21" s="40" t="s">
        <v>834</v>
      </c>
      <c r="E21" s="40" t="s">
        <v>938</v>
      </c>
      <c r="F21" s="43" t="s">
        <v>939</v>
      </c>
      <c r="G21" s="42" t="s">
        <v>837</v>
      </c>
      <c r="H21" s="40" t="s">
        <v>883</v>
      </c>
      <c r="I21" s="40">
        <v>838711209</v>
      </c>
      <c r="J21" s="40" t="s">
        <v>825</v>
      </c>
      <c r="K21" s="40">
        <v>2</v>
      </c>
      <c r="L21" s="32">
        <v>16</v>
      </c>
      <c r="M21" s="32">
        <v>2</v>
      </c>
      <c r="N21" s="32" t="s">
        <v>89</v>
      </c>
      <c r="O21" s="41">
        <v>8</v>
      </c>
      <c r="P21" s="40" t="s">
        <v>940</v>
      </c>
      <c r="Q21" s="40" t="s">
        <v>840</v>
      </c>
      <c r="R21" s="40" t="s">
        <v>816</v>
      </c>
      <c r="S21" s="40" t="s">
        <v>817</v>
      </c>
      <c r="T21" s="40">
        <v>2017</v>
      </c>
      <c r="U21" s="39" t="s">
        <v>941</v>
      </c>
      <c r="V21" s="39" t="s">
        <v>878</v>
      </c>
    </row>
    <row r="22" spans="1:22" x14ac:dyDescent="0.3">
      <c r="A22" s="30" t="s">
        <v>942</v>
      </c>
      <c r="B22" s="36" t="s">
        <v>943</v>
      </c>
      <c r="C22" s="32" t="s">
        <v>749</v>
      </c>
      <c r="D22" s="32" t="s">
        <v>843</v>
      </c>
      <c r="E22" s="32" t="s">
        <v>944</v>
      </c>
      <c r="F22" s="35" t="s">
        <v>945</v>
      </c>
      <c r="G22" s="34" t="s">
        <v>859</v>
      </c>
      <c r="H22" s="32" t="s">
        <v>946</v>
      </c>
      <c r="I22" s="32">
        <v>655074595</v>
      </c>
      <c r="J22" s="32" t="s">
        <v>812</v>
      </c>
      <c r="K22" s="32">
        <v>2.5</v>
      </c>
      <c r="L22" s="32">
        <v>8</v>
      </c>
      <c r="M22" s="32">
        <v>0</v>
      </c>
      <c r="N22" s="32" t="s">
        <v>89</v>
      </c>
      <c r="O22" s="33" t="s">
        <v>847</v>
      </c>
      <c r="P22" s="32" t="s">
        <v>861</v>
      </c>
      <c r="Q22" s="32" t="s">
        <v>862</v>
      </c>
      <c r="R22" s="32" t="s">
        <v>816</v>
      </c>
      <c r="S22" s="31" t="s">
        <v>817</v>
      </c>
      <c r="T22" s="31">
        <v>2018</v>
      </c>
      <c r="U22" s="30" t="s">
        <v>943</v>
      </c>
      <c r="V22" s="37" t="s">
        <v>947</v>
      </c>
    </row>
    <row r="23" spans="1:22" x14ac:dyDescent="0.3">
      <c r="A23" s="30" t="s">
        <v>948</v>
      </c>
      <c r="B23" s="36" t="s">
        <v>949</v>
      </c>
      <c r="C23" s="32" t="s">
        <v>749</v>
      </c>
      <c r="D23" s="32" t="s">
        <v>843</v>
      </c>
      <c r="E23" s="32" t="s">
        <v>950</v>
      </c>
      <c r="F23" s="35" t="s">
        <v>951</v>
      </c>
      <c r="G23" s="34" t="s">
        <v>952</v>
      </c>
      <c r="H23" s="32" t="s">
        <v>946</v>
      </c>
      <c r="I23" s="32">
        <v>899069654</v>
      </c>
      <c r="J23" s="32" t="s">
        <v>812</v>
      </c>
      <c r="K23" s="32">
        <v>2.7</v>
      </c>
      <c r="L23" s="32">
        <v>16</v>
      </c>
      <c r="M23" s="32">
        <v>2</v>
      </c>
      <c r="N23" s="32" t="s">
        <v>89</v>
      </c>
      <c r="O23" s="33" t="s">
        <v>847</v>
      </c>
      <c r="P23" s="32" t="s">
        <v>953</v>
      </c>
      <c r="Q23" s="32" t="s">
        <v>840</v>
      </c>
      <c r="R23" s="32" t="s">
        <v>816</v>
      </c>
      <c r="S23" s="31" t="s">
        <v>817</v>
      </c>
      <c r="T23" s="31">
        <v>2018</v>
      </c>
      <c r="U23" s="30" t="s">
        <v>949</v>
      </c>
      <c r="V23" s="29" t="s">
        <v>954</v>
      </c>
    </row>
    <row r="25" spans="1:22" x14ac:dyDescent="0.3">
      <c r="B25" s="25"/>
      <c r="C25" s="28"/>
      <c r="E25" s="28"/>
      <c r="F25" s="28"/>
      <c r="L25" t="s">
        <v>955</v>
      </c>
      <c r="M25">
        <v>8</v>
      </c>
    </row>
    <row r="26" spans="1:22" x14ac:dyDescent="0.3">
      <c r="A26" t="s">
        <v>956</v>
      </c>
      <c r="L26" t="s">
        <v>957</v>
      </c>
      <c r="M26" s="25">
        <v>20</v>
      </c>
    </row>
    <row r="27" spans="1:22" x14ac:dyDescent="0.3">
      <c r="L27" t="s">
        <v>958</v>
      </c>
      <c r="M27">
        <v>2</v>
      </c>
    </row>
  </sheetData>
  <autoFilter ref="A1:V23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Laptop List </vt:lpstr>
      <vt:lpstr>DARs-Laptops Cleaning list</vt:lpstr>
      <vt:lpstr>Oil Pump Aug 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Le, Chris</dc:creator>
  <cp:keywords/>
  <dc:description/>
  <cp:lastModifiedBy>Quang Thang Nguyen</cp:lastModifiedBy>
  <cp:revision/>
  <dcterms:created xsi:type="dcterms:W3CDTF">2019-11-15T18:00:14Z</dcterms:created>
  <dcterms:modified xsi:type="dcterms:W3CDTF">2024-05-03T15:27:20Z</dcterms:modified>
  <cp:category/>
  <cp:contentStatus/>
</cp:coreProperties>
</file>