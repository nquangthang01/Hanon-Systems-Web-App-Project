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Quang Thang\Projects\Database\Migration data\References\"/>
    </mc:Choice>
  </mc:AlternateContent>
  <bookViews>
    <workbookView xWindow="-120" yWindow="-120" windowWidth="28116" windowHeight="16440" tabRatio="221"/>
  </bookViews>
  <sheets>
    <sheet name="Concord DAR List" sheetId="1" r:id="rId1"/>
    <sheet name="List" sheetId="2" r:id="rId2"/>
  </sheets>
  <definedNames>
    <definedName name="_xlnm._FilterDatabase" localSheetId="0" hidden="1">'Concord DAR List'!$A$1:$AR$264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9" i="1" l="1"/>
  <c r="Q309" i="1"/>
  <c r="O309" i="1"/>
  <c r="M309" i="1"/>
  <c r="S308" i="1"/>
  <c r="Q308" i="1"/>
  <c r="O308" i="1"/>
  <c r="M308" i="1"/>
  <c r="S307" i="1"/>
  <c r="Q307" i="1"/>
  <c r="O307" i="1"/>
  <c r="M307" i="1"/>
  <c r="S306" i="1"/>
  <c r="Q306" i="1"/>
  <c r="O306" i="1"/>
  <c r="M306" i="1"/>
  <c r="S305" i="1"/>
  <c r="Q305" i="1"/>
  <c r="O305" i="1"/>
  <c r="M305" i="1"/>
  <c r="AQ304" i="1"/>
  <c r="AQ305" i="1" s="1"/>
  <c r="AQ306" i="1" s="1"/>
  <c r="AQ307" i="1" s="1"/>
  <c r="AQ308" i="1" s="1"/>
  <c r="AQ309" i="1" s="1"/>
  <c r="AN304" i="1"/>
  <c r="AN305" i="1" s="1"/>
  <c r="AN306" i="1" s="1"/>
  <c r="AN307" i="1" s="1"/>
  <c r="AN308" i="1" s="1"/>
  <c r="AN309" i="1" s="1"/>
  <c r="AL304" i="1"/>
  <c r="AL305" i="1" s="1"/>
  <c r="AL306" i="1" s="1"/>
  <c r="AL307" i="1" s="1"/>
  <c r="AL308" i="1" s="1"/>
  <c r="AL309" i="1" s="1"/>
  <c r="AJ304" i="1"/>
  <c r="AJ305" i="1" s="1"/>
  <c r="AJ306" i="1" s="1"/>
  <c r="AJ307" i="1" s="1"/>
  <c r="AJ308" i="1" s="1"/>
  <c r="AJ309" i="1" s="1"/>
  <c r="AH304" i="1"/>
  <c r="AH305" i="1" s="1"/>
  <c r="AH306" i="1" s="1"/>
  <c r="AH307" i="1" s="1"/>
  <c r="AH308" i="1" s="1"/>
  <c r="AH309" i="1" s="1"/>
  <c r="V304" i="1"/>
  <c r="V305" i="1" s="1"/>
  <c r="V306" i="1" s="1"/>
  <c r="V307" i="1" s="1"/>
  <c r="V308" i="1" s="1"/>
  <c r="V309" i="1" s="1"/>
  <c r="T304" i="1"/>
  <c r="T305" i="1" s="1"/>
  <c r="T306" i="1" s="1"/>
  <c r="T307" i="1" s="1"/>
  <c r="T308" i="1" s="1"/>
  <c r="T309" i="1" s="1"/>
  <c r="S304" i="1"/>
  <c r="Q304" i="1"/>
  <c r="O304" i="1"/>
  <c r="M304" i="1"/>
  <c r="S303" i="1"/>
  <c r="Q303" i="1"/>
  <c r="O303" i="1"/>
  <c r="M303" i="1"/>
  <c r="S302" i="1"/>
  <c r="Q302" i="1"/>
  <c r="O302" i="1"/>
  <c r="M302" i="1"/>
  <c r="S301" i="1"/>
  <c r="Q301" i="1"/>
  <c r="O301" i="1"/>
  <c r="M301" i="1"/>
  <c r="S300" i="1"/>
  <c r="Q300" i="1"/>
  <c r="O300" i="1"/>
  <c r="M300" i="1"/>
  <c r="S299" i="1"/>
  <c r="Q299" i="1"/>
  <c r="O299" i="1"/>
  <c r="M299" i="1"/>
  <c r="AQ298" i="1"/>
  <c r="AQ299" i="1" s="1"/>
  <c r="AQ300" i="1" s="1"/>
  <c r="AQ301" i="1" s="1"/>
  <c r="AQ302" i="1" s="1"/>
  <c r="AQ303" i="1" s="1"/>
  <c r="AN298" i="1"/>
  <c r="AN299" i="1" s="1"/>
  <c r="AN300" i="1" s="1"/>
  <c r="AN301" i="1" s="1"/>
  <c r="AN302" i="1" s="1"/>
  <c r="AN303" i="1" s="1"/>
  <c r="AL298" i="1"/>
  <c r="AL299" i="1" s="1"/>
  <c r="AL300" i="1" s="1"/>
  <c r="AL301" i="1" s="1"/>
  <c r="AL302" i="1" s="1"/>
  <c r="AL303" i="1" s="1"/>
  <c r="AJ298" i="1"/>
  <c r="AJ299" i="1" s="1"/>
  <c r="AJ300" i="1" s="1"/>
  <c r="AJ301" i="1" s="1"/>
  <c r="AJ302" i="1" s="1"/>
  <c r="AJ303" i="1" s="1"/>
  <c r="AH298" i="1"/>
  <c r="AH299" i="1" s="1"/>
  <c r="AH300" i="1" s="1"/>
  <c r="AH301" i="1" s="1"/>
  <c r="AH302" i="1" s="1"/>
  <c r="AH303" i="1" s="1"/>
  <c r="V298" i="1"/>
  <c r="V299" i="1" s="1"/>
  <c r="V300" i="1" s="1"/>
  <c r="V301" i="1" s="1"/>
  <c r="V302" i="1" s="1"/>
  <c r="V303" i="1" s="1"/>
  <c r="T298" i="1"/>
  <c r="T299" i="1" s="1"/>
  <c r="T300" i="1" s="1"/>
  <c r="T301" i="1" s="1"/>
  <c r="T302" i="1" s="1"/>
  <c r="T303" i="1" s="1"/>
  <c r="S298" i="1"/>
  <c r="Q298" i="1"/>
  <c r="O298" i="1"/>
  <c r="M298" i="1"/>
  <c r="S297" i="1" l="1"/>
  <c r="Q297" i="1"/>
  <c r="O297" i="1"/>
  <c r="M297" i="1"/>
  <c r="S296" i="1"/>
  <c r="Q296" i="1"/>
  <c r="O296" i="1"/>
  <c r="M296" i="1"/>
  <c r="S295" i="1"/>
  <c r="Q295" i="1"/>
  <c r="O295" i="1"/>
  <c r="M295" i="1"/>
  <c r="S294" i="1"/>
  <c r="Q294" i="1"/>
  <c r="O294" i="1"/>
  <c r="M294" i="1"/>
  <c r="S293" i="1"/>
  <c r="Q293" i="1"/>
  <c r="O293" i="1"/>
  <c r="M293" i="1"/>
  <c r="AQ292" i="1"/>
  <c r="AQ293" i="1" s="1"/>
  <c r="AQ294" i="1" s="1"/>
  <c r="AQ295" i="1" s="1"/>
  <c r="AQ296" i="1" s="1"/>
  <c r="AQ297" i="1" s="1"/>
  <c r="AN292" i="1"/>
  <c r="AN293" i="1" s="1"/>
  <c r="AN294" i="1" s="1"/>
  <c r="AN295" i="1" s="1"/>
  <c r="AN296" i="1" s="1"/>
  <c r="AN297" i="1" s="1"/>
  <c r="AL292" i="1"/>
  <c r="AL293" i="1" s="1"/>
  <c r="AL294" i="1" s="1"/>
  <c r="AL295" i="1" s="1"/>
  <c r="AL296" i="1" s="1"/>
  <c r="AL297" i="1" s="1"/>
  <c r="AJ292" i="1"/>
  <c r="AJ293" i="1" s="1"/>
  <c r="AJ294" i="1" s="1"/>
  <c r="AJ295" i="1" s="1"/>
  <c r="AJ296" i="1" s="1"/>
  <c r="AJ297" i="1" s="1"/>
  <c r="AH292" i="1"/>
  <c r="AH293" i="1" s="1"/>
  <c r="AH294" i="1" s="1"/>
  <c r="AH295" i="1" s="1"/>
  <c r="AH296" i="1" s="1"/>
  <c r="AH297" i="1" s="1"/>
  <c r="V292" i="1"/>
  <c r="V293" i="1" s="1"/>
  <c r="V294" i="1" s="1"/>
  <c r="V295" i="1" s="1"/>
  <c r="V296" i="1" s="1"/>
  <c r="V297" i="1" s="1"/>
  <c r="T292" i="1"/>
  <c r="T293" i="1" s="1"/>
  <c r="T294" i="1" s="1"/>
  <c r="T295" i="1" s="1"/>
  <c r="T296" i="1" s="1"/>
  <c r="T297" i="1" s="1"/>
  <c r="S292" i="1"/>
  <c r="Q292" i="1"/>
  <c r="O292" i="1"/>
  <c r="M292" i="1"/>
  <c r="S291" i="1"/>
  <c r="Q291" i="1"/>
  <c r="O291" i="1"/>
  <c r="M291" i="1"/>
  <c r="S290" i="1"/>
  <c r="Q290" i="1"/>
  <c r="O290" i="1"/>
  <c r="M290" i="1"/>
  <c r="S289" i="1"/>
  <c r="Q289" i="1"/>
  <c r="O289" i="1"/>
  <c r="M289" i="1"/>
  <c r="S288" i="1"/>
  <c r="Q288" i="1"/>
  <c r="O288" i="1"/>
  <c r="M288" i="1"/>
  <c r="S287" i="1"/>
  <c r="Q287" i="1"/>
  <c r="O287" i="1"/>
  <c r="M287" i="1"/>
  <c r="AQ286" i="1"/>
  <c r="AQ287" i="1" s="1"/>
  <c r="AQ288" i="1" s="1"/>
  <c r="AQ289" i="1" s="1"/>
  <c r="AQ290" i="1" s="1"/>
  <c r="AQ291" i="1" s="1"/>
  <c r="AN286" i="1"/>
  <c r="AN287" i="1" s="1"/>
  <c r="AN288" i="1" s="1"/>
  <c r="AN289" i="1" s="1"/>
  <c r="AN290" i="1" s="1"/>
  <c r="AN291" i="1" s="1"/>
  <c r="AL286" i="1"/>
  <c r="AL287" i="1" s="1"/>
  <c r="AL288" i="1" s="1"/>
  <c r="AL289" i="1" s="1"/>
  <c r="AL290" i="1" s="1"/>
  <c r="AL291" i="1" s="1"/>
  <c r="AJ286" i="1"/>
  <c r="AJ287" i="1" s="1"/>
  <c r="AJ288" i="1" s="1"/>
  <c r="AJ289" i="1" s="1"/>
  <c r="AJ290" i="1" s="1"/>
  <c r="AJ291" i="1" s="1"/>
  <c r="AH286" i="1"/>
  <c r="AH287" i="1" s="1"/>
  <c r="AH288" i="1" s="1"/>
  <c r="AH289" i="1" s="1"/>
  <c r="AH290" i="1" s="1"/>
  <c r="AH291" i="1" s="1"/>
  <c r="V286" i="1"/>
  <c r="V287" i="1" s="1"/>
  <c r="V288" i="1" s="1"/>
  <c r="V289" i="1" s="1"/>
  <c r="V290" i="1" s="1"/>
  <c r="V291" i="1" s="1"/>
  <c r="T286" i="1"/>
  <c r="T287" i="1" s="1"/>
  <c r="T288" i="1" s="1"/>
  <c r="T289" i="1" s="1"/>
  <c r="T290" i="1" s="1"/>
  <c r="T291" i="1" s="1"/>
  <c r="S286" i="1"/>
  <c r="Q286" i="1"/>
  <c r="O286" i="1"/>
  <c r="M286" i="1"/>
  <c r="S285" i="1"/>
  <c r="Q285" i="1"/>
  <c r="O285" i="1"/>
  <c r="M285" i="1"/>
  <c r="S284" i="1"/>
  <c r="Q284" i="1"/>
  <c r="O284" i="1"/>
  <c r="M284" i="1"/>
  <c r="S283" i="1"/>
  <c r="Q283" i="1"/>
  <c r="O283" i="1"/>
  <c r="M283" i="1"/>
  <c r="S282" i="1"/>
  <c r="Q282" i="1"/>
  <c r="O282" i="1"/>
  <c r="M282" i="1"/>
  <c r="S281" i="1"/>
  <c r="Q281" i="1"/>
  <c r="O281" i="1"/>
  <c r="M281" i="1"/>
  <c r="AQ280" i="1"/>
  <c r="AQ281" i="1" s="1"/>
  <c r="AQ282" i="1" s="1"/>
  <c r="AQ283" i="1" s="1"/>
  <c r="AQ284" i="1" s="1"/>
  <c r="AQ285" i="1" s="1"/>
  <c r="AN280" i="1"/>
  <c r="AN281" i="1" s="1"/>
  <c r="AN282" i="1" s="1"/>
  <c r="AN283" i="1" s="1"/>
  <c r="AN284" i="1" s="1"/>
  <c r="AN285" i="1" s="1"/>
  <c r="AL280" i="1"/>
  <c r="AL281" i="1" s="1"/>
  <c r="AL282" i="1" s="1"/>
  <c r="AL283" i="1" s="1"/>
  <c r="AL284" i="1" s="1"/>
  <c r="AL285" i="1" s="1"/>
  <c r="AJ280" i="1"/>
  <c r="AJ281" i="1" s="1"/>
  <c r="AJ282" i="1" s="1"/>
  <c r="AJ283" i="1" s="1"/>
  <c r="AJ284" i="1" s="1"/>
  <c r="AJ285" i="1" s="1"/>
  <c r="AH280" i="1"/>
  <c r="AH281" i="1" s="1"/>
  <c r="AH282" i="1" s="1"/>
  <c r="AH283" i="1" s="1"/>
  <c r="AH284" i="1" s="1"/>
  <c r="AH285" i="1" s="1"/>
  <c r="V280" i="1"/>
  <c r="V281" i="1" s="1"/>
  <c r="V282" i="1" s="1"/>
  <c r="V283" i="1" s="1"/>
  <c r="V284" i="1" s="1"/>
  <c r="V285" i="1" s="1"/>
  <c r="T280" i="1"/>
  <c r="T281" i="1" s="1"/>
  <c r="T282" i="1" s="1"/>
  <c r="T283" i="1" s="1"/>
  <c r="T284" i="1" s="1"/>
  <c r="T285" i="1" s="1"/>
  <c r="S280" i="1"/>
  <c r="Q280" i="1"/>
  <c r="O280" i="1"/>
  <c r="M280" i="1"/>
  <c r="S279" i="1"/>
  <c r="Q279" i="1"/>
  <c r="O279" i="1"/>
  <c r="M279" i="1"/>
  <c r="S278" i="1"/>
  <c r="Q278" i="1"/>
  <c r="O278" i="1"/>
  <c r="M278" i="1"/>
  <c r="S277" i="1"/>
  <c r="Q277" i="1"/>
  <c r="O277" i="1"/>
  <c r="M277" i="1"/>
  <c r="S276" i="1"/>
  <c r="Q276" i="1"/>
  <c r="O276" i="1"/>
  <c r="M276" i="1"/>
  <c r="AJ275" i="1"/>
  <c r="AJ276" i="1" s="1"/>
  <c r="AJ277" i="1" s="1"/>
  <c r="AJ278" i="1" s="1"/>
  <c r="AJ279" i="1" s="1"/>
  <c r="S275" i="1"/>
  <c r="Q275" i="1"/>
  <c r="O275" i="1"/>
  <c r="M275" i="1"/>
  <c r="AQ274" i="1"/>
  <c r="AQ275" i="1" s="1"/>
  <c r="AQ276" i="1" s="1"/>
  <c r="AQ277" i="1" s="1"/>
  <c r="AQ278" i="1" s="1"/>
  <c r="AQ279" i="1" s="1"/>
  <c r="AN274" i="1"/>
  <c r="AN275" i="1" s="1"/>
  <c r="AN276" i="1" s="1"/>
  <c r="AN277" i="1" s="1"/>
  <c r="AN278" i="1" s="1"/>
  <c r="AN279" i="1" s="1"/>
  <c r="AL274" i="1"/>
  <c r="AL275" i="1" s="1"/>
  <c r="AL276" i="1" s="1"/>
  <c r="AL277" i="1" s="1"/>
  <c r="AL278" i="1" s="1"/>
  <c r="AL279" i="1" s="1"/>
  <c r="AJ274" i="1"/>
  <c r="AH274" i="1"/>
  <c r="AH275" i="1" s="1"/>
  <c r="AH276" i="1" s="1"/>
  <c r="AH277" i="1" s="1"/>
  <c r="AH278" i="1" s="1"/>
  <c r="AH279" i="1" s="1"/>
  <c r="V274" i="1"/>
  <c r="V275" i="1" s="1"/>
  <c r="V276" i="1" s="1"/>
  <c r="V277" i="1" s="1"/>
  <c r="V278" i="1" s="1"/>
  <c r="V279" i="1" s="1"/>
  <c r="T274" i="1"/>
  <c r="T275" i="1" s="1"/>
  <c r="T276" i="1" s="1"/>
  <c r="T277" i="1" s="1"/>
  <c r="T278" i="1" s="1"/>
  <c r="T279" i="1" s="1"/>
  <c r="S274" i="1"/>
  <c r="Q274" i="1"/>
  <c r="O274" i="1"/>
  <c r="M274" i="1"/>
  <c r="S273" i="1" l="1"/>
  <c r="Q273" i="1"/>
  <c r="O273" i="1"/>
  <c r="M273" i="1"/>
  <c r="AN272" i="1"/>
  <c r="AN273" i="1" s="1"/>
  <c r="S272" i="1"/>
  <c r="Q272" i="1"/>
  <c r="O272" i="1"/>
  <c r="M272" i="1"/>
  <c r="AQ271" i="1"/>
  <c r="AQ272" i="1" s="1"/>
  <c r="AQ273" i="1" s="1"/>
  <c r="AN271" i="1"/>
  <c r="AL271" i="1"/>
  <c r="AL272" i="1" s="1"/>
  <c r="AL273" i="1" s="1"/>
  <c r="AJ271" i="1"/>
  <c r="AJ272" i="1" s="1"/>
  <c r="AJ273" i="1" s="1"/>
  <c r="AH271" i="1"/>
  <c r="AH272" i="1" s="1"/>
  <c r="AH273" i="1" s="1"/>
  <c r="V271" i="1"/>
  <c r="V272" i="1" s="1"/>
  <c r="V273" i="1" s="1"/>
  <c r="T271" i="1"/>
  <c r="T272" i="1" s="1"/>
  <c r="T273" i="1" s="1"/>
  <c r="S271" i="1"/>
  <c r="Q271" i="1"/>
  <c r="O271" i="1"/>
  <c r="M271" i="1"/>
  <c r="S270" i="1"/>
  <c r="Q270" i="1"/>
  <c r="O270" i="1"/>
  <c r="M270" i="1"/>
  <c r="S269" i="1"/>
  <c r="Q269" i="1"/>
  <c r="O269" i="1"/>
  <c r="M269" i="1"/>
  <c r="AQ268" i="1"/>
  <c r="AQ269" i="1" s="1"/>
  <c r="AQ270" i="1" s="1"/>
  <c r="AN268" i="1"/>
  <c r="AN269" i="1" s="1"/>
  <c r="AN270" i="1" s="1"/>
  <c r="AL268" i="1"/>
  <c r="AL269" i="1" s="1"/>
  <c r="AL270" i="1" s="1"/>
  <c r="AJ268" i="1"/>
  <c r="AJ269" i="1" s="1"/>
  <c r="AJ270" i="1" s="1"/>
  <c r="AH268" i="1"/>
  <c r="AH269" i="1" s="1"/>
  <c r="AH270" i="1" s="1"/>
  <c r="V268" i="1"/>
  <c r="V269" i="1" s="1"/>
  <c r="V270" i="1" s="1"/>
  <c r="T268" i="1"/>
  <c r="T269" i="1" s="1"/>
  <c r="T270" i="1" s="1"/>
  <c r="S268" i="1"/>
  <c r="Q268" i="1"/>
  <c r="O268" i="1"/>
  <c r="M268" i="1"/>
  <c r="S267" i="1" l="1"/>
  <c r="Q267" i="1"/>
  <c r="O267" i="1"/>
  <c r="M267" i="1"/>
  <c r="S266" i="1"/>
  <c r="Q266" i="1"/>
  <c r="O266" i="1"/>
  <c r="M266" i="1"/>
  <c r="AQ265" i="1"/>
  <c r="AQ266" i="1" s="1"/>
  <c r="AQ267" i="1" s="1"/>
  <c r="AN265" i="1"/>
  <c r="AN266" i="1" s="1"/>
  <c r="AN267" i="1" s="1"/>
  <c r="AL265" i="1"/>
  <c r="AL266" i="1" s="1"/>
  <c r="AL267" i="1" s="1"/>
  <c r="AJ265" i="1"/>
  <c r="AJ266" i="1" s="1"/>
  <c r="AJ267" i="1" s="1"/>
  <c r="AH265" i="1"/>
  <c r="AH266" i="1" s="1"/>
  <c r="AH267" i="1" s="1"/>
  <c r="V265" i="1"/>
  <c r="V266" i="1" s="1"/>
  <c r="V267" i="1" s="1"/>
  <c r="T265" i="1"/>
  <c r="T266" i="1" s="1"/>
  <c r="T267" i="1" s="1"/>
  <c r="S265" i="1"/>
  <c r="Q265" i="1"/>
  <c r="O265" i="1"/>
  <c r="M265" i="1"/>
  <c r="B265" i="1"/>
  <c r="B266" i="1" s="1"/>
  <c r="B267" i="1" s="1"/>
  <c r="A265" i="1"/>
  <c r="S168" i="1" l="1"/>
  <c r="Q168" i="1"/>
  <c r="O168" i="1"/>
  <c r="M168" i="1"/>
  <c r="AQ167" i="1"/>
  <c r="AQ168" i="1" s="1"/>
  <c r="AH167" i="1"/>
  <c r="AH168" i="1" s="1"/>
  <c r="S167" i="1"/>
  <c r="Q167" i="1"/>
  <c r="O167" i="1"/>
  <c r="M167" i="1"/>
  <c r="S160" i="1"/>
  <c r="Q160" i="1"/>
  <c r="O160" i="1"/>
  <c r="M160" i="1"/>
  <c r="S159" i="1"/>
  <c r="Q159" i="1"/>
  <c r="O159" i="1"/>
  <c r="M159" i="1"/>
  <c r="S171" i="1"/>
  <c r="Q171" i="1"/>
  <c r="O171" i="1"/>
  <c r="M171" i="1"/>
  <c r="S170" i="1"/>
  <c r="Q170" i="1"/>
  <c r="O170" i="1"/>
  <c r="M170" i="1"/>
  <c r="S169" i="1"/>
  <c r="Q169" i="1"/>
  <c r="O169" i="1"/>
  <c r="M169" i="1"/>
  <c r="S166" i="1"/>
  <c r="Q166" i="1"/>
  <c r="O166" i="1"/>
  <c r="M166" i="1"/>
  <c r="S165" i="1"/>
  <c r="Q165" i="1"/>
  <c r="O165" i="1"/>
  <c r="M165" i="1"/>
  <c r="AQ164" i="1"/>
  <c r="AQ165" i="1" s="1"/>
  <c r="AQ166" i="1" s="1"/>
  <c r="AQ169" i="1" s="1"/>
  <c r="AQ170" i="1" s="1"/>
  <c r="AQ171" i="1" s="1"/>
  <c r="AN164" i="1"/>
  <c r="AN165" i="1" s="1"/>
  <c r="AN166" i="1" s="1"/>
  <c r="AN169" i="1" s="1"/>
  <c r="AN170" i="1" s="1"/>
  <c r="AN171" i="1" s="1"/>
  <c r="AL164" i="1"/>
  <c r="AL167" i="1" s="1"/>
  <c r="AL168" i="1" s="1"/>
  <c r="AJ164" i="1"/>
  <c r="AJ167" i="1" s="1"/>
  <c r="AJ168" i="1" s="1"/>
  <c r="AH164" i="1"/>
  <c r="AH165" i="1" s="1"/>
  <c r="AH166" i="1" s="1"/>
  <c r="AH169" i="1" s="1"/>
  <c r="AH170" i="1" s="1"/>
  <c r="AH171" i="1" s="1"/>
  <c r="V164" i="1"/>
  <c r="V167" i="1" s="1"/>
  <c r="V168" i="1" s="1"/>
  <c r="T164" i="1"/>
  <c r="T165" i="1" s="1"/>
  <c r="T166" i="1" s="1"/>
  <c r="T169" i="1" s="1"/>
  <c r="T170" i="1" s="1"/>
  <c r="T171" i="1" s="1"/>
  <c r="S164" i="1"/>
  <c r="Q164" i="1"/>
  <c r="O164" i="1"/>
  <c r="M164" i="1"/>
  <c r="B164" i="1"/>
  <c r="B165" i="1" s="1"/>
  <c r="B166" i="1" s="1"/>
  <c r="B169" i="1" s="1"/>
  <c r="B170" i="1" s="1"/>
  <c r="B171" i="1" s="1"/>
  <c r="A164" i="1"/>
  <c r="V165" i="1" l="1"/>
  <c r="V166" i="1" s="1"/>
  <c r="V169" i="1" s="1"/>
  <c r="V170" i="1" s="1"/>
  <c r="V171" i="1" s="1"/>
  <c r="AL165" i="1"/>
  <c r="AL166" i="1" s="1"/>
  <c r="AL169" i="1" s="1"/>
  <c r="AL170" i="1" s="1"/>
  <c r="AL171" i="1" s="1"/>
  <c r="AN167" i="1"/>
  <c r="AN168" i="1" s="1"/>
  <c r="B167" i="1"/>
  <c r="B168" i="1" s="1"/>
  <c r="AJ165" i="1"/>
  <c r="AJ166" i="1" s="1"/>
  <c r="AJ169" i="1" s="1"/>
  <c r="AJ170" i="1" s="1"/>
  <c r="AJ171" i="1" s="1"/>
  <c r="T167" i="1"/>
  <c r="T168" i="1" s="1"/>
  <c r="AQ172" i="1"/>
  <c r="K2" i="1" l="1"/>
  <c r="S163" i="1" l="1"/>
  <c r="Q163" i="1"/>
  <c r="O163" i="1"/>
  <c r="M163" i="1"/>
  <c r="S162" i="1"/>
  <c r="Q162" i="1"/>
  <c r="O162" i="1"/>
  <c r="M162" i="1"/>
  <c r="S161" i="1"/>
  <c r="Q161" i="1"/>
  <c r="O161" i="1"/>
  <c r="M161" i="1"/>
  <c r="S158" i="1"/>
  <c r="Q158" i="1"/>
  <c r="O158" i="1"/>
  <c r="M158" i="1"/>
  <c r="S157" i="1"/>
  <c r="Q157" i="1"/>
  <c r="O157" i="1"/>
  <c r="M157" i="1"/>
  <c r="AQ156" i="1"/>
  <c r="AN156" i="1"/>
  <c r="AL156" i="1"/>
  <c r="AJ156" i="1"/>
  <c r="AH156" i="1"/>
  <c r="V156" i="1"/>
  <c r="T156" i="1"/>
  <c r="S156" i="1"/>
  <c r="Q156" i="1"/>
  <c r="O156" i="1"/>
  <c r="M156" i="1"/>
  <c r="B156" i="1"/>
  <c r="A156" i="1"/>
  <c r="S155" i="1"/>
  <c r="Q155" i="1"/>
  <c r="O155" i="1"/>
  <c r="M155" i="1"/>
  <c r="S154" i="1"/>
  <c r="Q154" i="1"/>
  <c r="O154" i="1"/>
  <c r="M154" i="1"/>
  <c r="S153" i="1"/>
  <c r="Q153" i="1"/>
  <c r="O153" i="1"/>
  <c r="M153" i="1"/>
  <c r="S152" i="1"/>
  <c r="Q152" i="1"/>
  <c r="O152" i="1"/>
  <c r="M152" i="1"/>
  <c r="S151" i="1"/>
  <c r="Q151" i="1"/>
  <c r="O151" i="1"/>
  <c r="M151" i="1"/>
  <c r="AQ150" i="1"/>
  <c r="AQ151" i="1" s="1"/>
  <c r="AQ152" i="1" s="1"/>
  <c r="AQ153" i="1" s="1"/>
  <c r="AQ154" i="1" s="1"/>
  <c r="AQ155" i="1" s="1"/>
  <c r="AN150" i="1"/>
  <c r="AN151" i="1" s="1"/>
  <c r="AN152" i="1" s="1"/>
  <c r="AN153" i="1" s="1"/>
  <c r="AN154" i="1" s="1"/>
  <c r="AN155" i="1" s="1"/>
  <c r="AL150" i="1"/>
  <c r="AL151" i="1" s="1"/>
  <c r="AL152" i="1" s="1"/>
  <c r="AL153" i="1" s="1"/>
  <c r="AL154" i="1" s="1"/>
  <c r="AL155" i="1" s="1"/>
  <c r="AJ150" i="1"/>
  <c r="AJ151" i="1" s="1"/>
  <c r="AJ152" i="1" s="1"/>
  <c r="AJ153" i="1" s="1"/>
  <c r="AJ154" i="1" s="1"/>
  <c r="AJ155" i="1" s="1"/>
  <c r="AH150" i="1"/>
  <c r="AH151" i="1" s="1"/>
  <c r="AH152" i="1" s="1"/>
  <c r="AH153" i="1" s="1"/>
  <c r="AH154" i="1" s="1"/>
  <c r="AH155" i="1" s="1"/>
  <c r="V150" i="1"/>
  <c r="V151" i="1" s="1"/>
  <c r="V152" i="1" s="1"/>
  <c r="V153" i="1" s="1"/>
  <c r="V154" i="1" s="1"/>
  <c r="V155" i="1" s="1"/>
  <c r="T150" i="1"/>
  <c r="T151" i="1" s="1"/>
  <c r="T152" i="1" s="1"/>
  <c r="T153" i="1" s="1"/>
  <c r="T154" i="1" s="1"/>
  <c r="T155" i="1" s="1"/>
  <c r="S150" i="1"/>
  <c r="Q150" i="1"/>
  <c r="O150" i="1"/>
  <c r="M150" i="1"/>
  <c r="B150" i="1"/>
  <c r="B151" i="1" s="1"/>
  <c r="B152" i="1" s="1"/>
  <c r="B153" i="1" s="1"/>
  <c r="B154" i="1" s="1"/>
  <c r="B155" i="1" s="1"/>
  <c r="A150" i="1"/>
  <c r="AN157" i="1" l="1"/>
  <c r="AN158" i="1" s="1"/>
  <c r="AN161" i="1" s="1"/>
  <c r="AN162" i="1" s="1"/>
  <c r="AN163" i="1" s="1"/>
  <c r="AN159" i="1"/>
  <c r="AN160" i="1" s="1"/>
  <c r="AJ157" i="1"/>
  <c r="AJ158" i="1" s="1"/>
  <c r="AJ161" i="1" s="1"/>
  <c r="AJ162" i="1" s="1"/>
  <c r="AJ163" i="1" s="1"/>
  <c r="AJ159" i="1"/>
  <c r="AJ160" i="1" s="1"/>
  <c r="B157" i="1"/>
  <c r="B158" i="1" s="1"/>
  <c r="B161" i="1" s="1"/>
  <c r="B162" i="1" s="1"/>
  <c r="B163" i="1" s="1"/>
  <c r="B159" i="1"/>
  <c r="B160" i="1" s="1"/>
  <c r="AQ157" i="1"/>
  <c r="AQ158" i="1" s="1"/>
  <c r="AQ161" i="1" s="1"/>
  <c r="AQ162" i="1" s="1"/>
  <c r="AQ163" i="1" s="1"/>
  <c r="AQ159" i="1"/>
  <c r="AQ160" i="1" s="1"/>
  <c r="V157" i="1"/>
  <c r="V158" i="1" s="1"/>
  <c r="V161" i="1" s="1"/>
  <c r="V162" i="1" s="1"/>
  <c r="V163" i="1" s="1"/>
  <c r="V159" i="1"/>
  <c r="V160" i="1" s="1"/>
  <c r="AH157" i="1"/>
  <c r="AH158" i="1" s="1"/>
  <c r="AH161" i="1" s="1"/>
  <c r="AH162" i="1" s="1"/>
  <c r="AH163" i="1" s="1"/>
  <c r="AH159" i="1"/>
  <c r="AH160" i="1" s="1"/>
  <c r="AL157" i="1"/>
  <c r="AL158" i="1" s="1"/>
  <c r="AL161" i="1" s="1"/>
  <c r="AL162" i="1" s="1"/>
  <c r="AL163" i="1" s="1"/>
  <c r="AL159" i="1"/>
  <c r="AL160" i="1" s="1"/>
  <c r="T157" i="1"/>
  <c r="T158" i="1" s="1"/>
  <c r="T161" i="1" s="1"/>
  <c r="T162" i="1" s="1"/>
  <c r="T163" i="1" s="1"/>
  <c r="T159" i="1"/>
  <c r="T160" i="1" s="1"/>
  <c r="S101" i="1"/>
  <c r="Q101" i="1"/>
  <c r="O101" i="1"/>
  <c r="M101" i="1"/>
  <c r="S100" i="1"/>
  <c r="Q100" i="1"/>
  <c r="O100" i="1"/>
  <c r="M100" i="1"/>
  <c r="S99" i="1"/>
  <c r="Q99" i="1"/>
  <c r="O99" i="1"/>
  <c r="M99" i="1"/>
  <c r="AQ98" i="1"/>
  <c r="AQ99" i="1" s="1"/>
  <c r="AQ100" i="1" s="1"/>
  <c r="AQ101" i="1" s="1"/>
  <c r="AN98" i="1"/>
  <c r="AN99" i="1" s="1"/>
  <c r="AN100" i="1" s="1"/>
  <c r="AN101" i="1" s="1"/>
  <c r="AL98" i="1"/>
  <c r="AL99" i="1" s="1"/>
  <c r="AL100" i="1" s="1"/>
  <c r="AL101" i="1" s="1"/>
  <c r="AJ98" i="1"/>
  <c r="AJ99" i="1" s="1"/>
  <c r="AJ100" i="1" s="1"/>
  <c r="AJ101" i="1" s="1"/>
  <c r="AH98" i="1"/>
  <c r="AH99" i="1" s="1"/>
  <c r="AH100" i="1" s="1"/>
  <c r="AH101" i="1" s="1"/>
  <c r="V98" i="1"/>
  <c r="V99" i="1" s="1"/>
  <c r="V100" i="1" s="1"/>
  <c r="V101" i="1" s="1"/>
  <c r="T98" i="1"/>
  <c r="T99" i="1" s="1"/>
  <c r="T100" i="1" s="1"/>
  <c r="T101" i="1" s="1"/>
  <c r="S98" i="1"/>
  <c r="Q98" i="1"/>
  <c r="O98" i="1"/>
  <c r="M98" i="1"/>
  <c r="B98" i="1"/>
  <c r="B99" i="1" s="1"/>
  <c r="B100" i="1" s="1"/>
  <c r="B101" i="1" s="1"/>
  <c r="A98" i="1"/>
  <c r="S97" i="1"/>
  <c r="Q97" i="1"/>
  <c r="O97" i="1"/>
  <c r="M97" i="1"/>
  <c r="S96" i="1"/>
  <c r="Q96" i="1"/>
  <c r="O96" i="1"/>
  <c r="M96" i="1"/>
  <c r="S95" i="1"/>
  <c r="Q95" i="1"/>
  <c r="O95" i="1"/>
  <c r="M95" i="1"/>
  <c r="AQ94" i="1"/>
  <c r="AQ95" i="1" s="1"/>
  <c r="AQ96" i="1" s="1"/>
  <c r="AQ97" i="1" s="1"/>
  <c r="AN94" i="1"/>
  <c r="AN95" i="1" s="1"/>
  <c r="AN96" i="1" s="1"/>
  <c r="AN97" i="1" s="1"/>
  <c r="AL94" i="1"/>
  <c r="AL95" i="1" s="1"/>
  <c r="AL96" i="1" s="1"/>
  <c r="AL97" i="1" s="1"/>
  <c r="AJ94" i="1"/>
  <c r="AJ95" i="1" s="1"/>
  <c r="AJ96" i="1" s="1"/>
  <c r="AJ97" i="1" s="1"/>
  <c r="AH94" i="1"/>
  <c r="AH95" i="1" s="1"/>
  <c r="AH96" i="1" s="1"/>
  <c r="AH97" i="1" s="1"/>
  <c r="V94" i="1"/>
  <c r="V95" i="1" s="1"/>
  <c r="V96" i="1" s="1"/>
  <c r="V97" i="1" s="1"/>
  <c r="T94" i="1"/>
  <c r="T95" i="1" s="1"/>
  <c r="T96" i="1" s="1"/>
  <c r="T97" i="1" s="1"/>
  <c r="S94" i="1"/>
  <c r="Q94" i="1"/>
  <c r="O94" i="1"/>
  <c r="M94" i="1"/>
  <c r="B94" i="1"/>
  <c r="B95" i="1" s="1"/>
  <c r="B96" i="1" s="1"/>
  <c r="B97" i="1" s="1"/>
  <c r="A94" i="1"/>
  <c r="S93" i="1"/>
  <c r="Q93" i="1"/>
  <c r="O93" i="1"/>
  <c r="M93" i="1"/>
  <c r="S92" i="1"/>
  <c r="Q92" i="1"/>
  <c r="O92" i="1"/>
  <c r="M92" i="1"/>
  <c r="S91" i="1"/>
  <c r="Q91" i="1"/>
  <c r="O91" i="1"/>
  <c r="M91" i="1"/>
  <c r="AQ90" i="1"/>
  <c r="AQ91" i="1" s="1"/>
  <c r="AQ92" i="1" s="1"/>
  <c r="AQ93" i="1" s="1"/>
  <c r="AN90" i="1"/>
  <c r="AN91" i="1" s="1"/>
  <c r="AN92" i="1" s="1"/>
  <c r="AN93" i="1" s="1"/>
  <c r="AL90" i="1"/>
  <c r="AL91" i="1" s="1"/>
  <c r="AL92" i="1" s="1"/>
  <c r="AL93" i="1" s="1"/>
  <c r="AJ90" i="1"/>
  <c r="AJ91" i="1" s="1"/>
  <c r="AJ92" i="1" s="1"/>
  <c r="AJ93" i="1" s="1"/>
  <c r="AH90" i="1"/>
  <c r="AH91" i="1" s="1"/>
  <c r="AH92" i="1" s="1"/>
  <c r="AH93" i="1" s="1"/>
  <c r="V90" i="1"/>
  <c r="V91" i="1" s="1"/>
  <c r="V92" i="1" s="1"/>
  <c r="V93" i="1" s="1"/>
  <c r="T90" i="1"/>
  <c r="T91" i="1" s="1"/>
  <c r="T92" i="1" s="1"/>
  <c r="T93" i="1" s="1"/>
  <c r="S90" i="1"/>
  <c r="Q90" i="1"/>
  <c r="O90" i="1"/>
  <c r="M90" i="1"/>
  <c r="B90" i="1"/>
  <c r="B91" i="1" s="1"/>
  <c r="B92" i="1" s="1"/>
  <c r="B93" i="1" s="1"/>
  <c r="A90" i="1"/>
  <c r="A256" i="1" l="1"/>
  <c r="A250" i="1"/>
  <c r="A234" i="1"/>
  <c r="A228" i="1"/>
  <c r="A222" i="1"/>
  <c r="A128" i="1"/>
  <c r="A122" i="1"/>
  <c r="A116" i="1"/>
  <c r="A262" i="1"/>
  <c r="A244" i="1"/>
  <c r="A243" i="1"/>
  <c r="A242" i="1"/>
  <c r="A241" i="1"/>
  <c r="A240" i="1"/>
  <c r="A216" i="1"/>
  <c r="A210" i="1"/>
  <c r="A204" i="1"/>
  <c r="A198" i="1"/>
  <c r="A192" i="1"/>
  <c r="A186" i="1"/>
  <c r="A184" i="1"/>
  <c r="A178" i="1"/>
  <c r="A177" i="1"/>
  <c r="A176" i="1"/>
  <c r="A175" i="1"/>
  <c r="A172" i="1"/>
  <c r="A140" i="1"/>
  <c r="A134" i="1"/>
  <c r="A110" i="1"/>
  <c r="A106" i="1"/>
  <c r="A102" i="1"/>
  <c r="A86" i="1"/>
  <c r="A82" i="1"/>
  <c r="A80" i="1"/>
  <c r="A76" i="1"/>
  <c r="A74" i="1"/>
  <c r="A72" i="1"/>
  <c r="A70" i="1"/>
  <c r="A68" i="1"/>
  <c r="A64" i="1"/>
  <c r="A60" i="1"/>
  <c r="A56" i="1"/>
  <c r="A54" i="1"/>
  <c r="A50" i="1"/>
  <c r="A48" i="1"/>
  <c r="A44" i="1"/>
  <c r="A40" i="1"/>
  <c r="A36" i="1"/>
  <c r="A32" i="1"/>
  <c r="A28" i="1"/>
  <c r="A24" i="1"/>
  <c r="A20" i="1"/>
  <c r="A16" i="1"/>
  <c r="A12" i="1"/>
  <c r="A8" i="1"/>
  <c r="A4" i="1"/>
  <c r="AQ262" i="1" l="1"/>
  <c r="AQ263" i="1" s="1"/>
  <c r="AQ264" i="1" s="1"/>
  <c r="AQ256" i="1"/>
  <c r="AQ257" i="1" s="1"/>
  <c r="AQ258" i="1" s="1"/>
  <c r="AQ259" i="1" s="1"/>
  <c r="AQ260" i="1" s="1"/>
  <c r="AQ261" i="1" s="1"/>
  <c r="AQ250" i="1"/>
  <c r="AQ251" i="1" s="1"/>
  <c r="AQ252" i="1" s="1"/>
  <c r="AQ253" i="1" s="1"/>
  <c r="AQ254" i="1" s="1"/>
  <c r="AQ255" i="1" s="1"/>
  <c r="AQ244" i="1"/>
  <c r="AQ245" i="1" s="1"/>
  <c r="AQ246" i="1" s="1"/>
  <c r="AQ247" i="1" s="1"/>
  <c r="AQ248" i="1" s="1"/>
  <c r="AQ249" i="1" s="1"/>
  <c r="AQ243" i="1"/>
  <c r="AQ242" i="1"/>
  <c r="AQ241" i="1"/>
  <c r="AQ240" i="1"/>
  <c r="AQ234" i="1"/>
  <c r="AQ235" i="1" s="1"/>
  <c r="AQ236" i="1" s="1"/>
  <c r="AQ237" i="1" s="1"/>
  <c r="AQ238" i="1" s="1"/>
  <c r="AQ239" i="1" s="1"/>
  <c r="AQ228" i="1"/>
  <c r="AQ229" i="1" s="1"/>
  <c r="AQ230" i="1" s="1"/>
  <c r="AQ231" i="1" s="1"/>
  <c r="AQ232" i="1" s="1"/>
  <c r="AQ233" i="1" s="1"/>
  <c r="AQ222" i="1"/>
  <c r="AQ223" i="1" s="1"/>
  <c r="AQ224" i="1" s="1"/>
  <c r="AQ225" i="1" s="1"/>
  <c r="AQ226" i="1" s="1"/>
  <c r="AQ227" i="1" s="1"/>
  <c r="AQ216" i="1"/>
  <c r="AQ217" i="1" s="1"/>
  <c r="AQ218" i="1" s="1"/>
  <c r="AQ219" i="1" s="1"/>
  <c r="AQ220" i="1" s="1"/>
  <c r="AQ221" i="1" s="1"/>
  <c r="AQ210" i="1"/>
  <c r="AQ211" i="1" s="1"/>
  <c r="AQ212" i="1" s="1"/>
  <c r="AQ213" i="1" s="1"/>
  <c r="AQ214" i="1" s="1"/>
  <c r="AQ215" i="1" s="1"/>
  <c r="AQ204" i="1"/>
  <c r="AQ205" i="1" s="1"/>
  <c r="AQ206" i="1" s="1"/>
  <c r="AQ207" i="1" s="1"/>
  <c r="AQ208" i="1" s="1"/>
  <c r="AQ209" i="1" s="1"/>
  <c r="AQ198" i="1"/>
  <c r="AQ199" i="1" s="1"/>
  <c r="AQ200" i="1" s="1"/>
  <c r="AQ201" i="1" s="1"/>
  <c r="AQ202" i="1" s="1"/>
  <c r="AQ203" i="1" s="1"/>
  <c r="AQ192" i="1"/>
  <c r="AQ193" i="1" s="1"/>
  <c r="AQ194" i="1" s="1"/>
  <c r="AQ195" i="1" s="1"/>
  <c r="AQ196" i="1" s="1"/>
  <c r="AQ197" i="1" s="1"/>
  <c r="AQ186" i="1"/>
  <c r="AQ187" i="1" s="1"/>
  <c r="AQ188" i="1" s="1"/>
  <c r="AQ189" i="1" s="1"/>
  <c r="AQ190" i="1" s="1"/>
  <c r="AQ191" i="1" s="1"/>
  <c r="AQ184" i="1"/>
  <c r="AQ185" i="1" s="1"/>
  <c r="AQ178" i="1"/>
  <c r="AQ179" i="1" s="1"/>
  <c r="AQ180" i="1" s="1"/>
  <c r="AQ181" i="1" s="1"/>
  <c r="AQ182" i="1" s="1"/>
  <c r="AQ183" i="1" s="1"/>
  <c r="AQ177" i="1"/>
  <c r="AQ176" i="1"/>
  <c r="AQ175" i="1"/>
  <c r="AQ173" i="1"/>
  <c r="AQ174" i="1" s="1"/>
  <c r="AQ140" i="1"/>
  <c r="AQ141" i="1" s="1"/>
  <c r="AQ142" i="1" s="1"/>
  <c r="AQ143" i="1" s="1"/>
  <c r="AQ144" i="1" s="1"/>
  <c r="AQ145" i="1" s="1"/>
  <c r="AQ146" i="1" s="1"/>
  <c r="AQ147" i="1" s="1"/>
  <c r="AQ148" i="1" s="1"/>
  <c r="AQ149" i="1" s="1"/>
  <c r="AQ134" i="1"/>
  <c r="AQ135" i="1" s="1"/>
  <c r="AQ136" i="1" s="1"/>
  <c r="AQ137" i="1" s="1"/>
  <c r="AQ138" i="1" s="1"/>
  <c r="AQ139" i="1" s="1"/>
  <c r="AQ128" i="1"/>
  <c r="AQ129" i="1" s="1"/>
  <c r="AQ130" i="1" s="1"/>
  <c r="AQ131" i="1" s="1"/>
  <c r="AQ132" i="1" s="1"/>
  <c r="AQ133" i="1" s="1"/>
  <c r="AQ122" i="1"/>
  <c r="AQ123" i="1" s="1"/>
  <c r="AQ124" i="1" s="1"/>
  <c r="AQ125" i="1" s="1"/>
  <c r="AQ126" i="1" s="1"/>
  <c r="AQ127" i="1" s="1"/>
  <c r="AQ116" i="1"/>
  <c r="AQ117" i="1" s="1"/>
  <c r="AQ118" i="1" s="1"/>
  <c r="AQ119" i="1" s="1"/>
  <c r="AQ120" i="1" s="1"/>
  <c r="AQ121" i="1" s="1"/>
  <c r="AQ110" i="1"/>
  <c r="AQ111" i="1" s="1"/>
  <c r="AQ112" i="1" s="1"/>
  <c r="AQ113" i="1" s="1"/>
  <c r="AQ114" i="1" s="1"/>
  <c r="AQ115" i="1" s="1"/>
  <c r="AQ106" i="1"/>
  <c r="AQ107" i="1" s="1"/>
  <c r="AQ108" i="1" s="1"/>
  <c r="AQ109" i="1" s="1"/>
  <c r="AQ102" i="1"/>
  <c r="AQ103" i="1" s="1"/>
  <c r="AQ104" i="1" s="1"/>
  <c r="AQ105" i="1" s="1"/>
  <c r="AQ86" i="1"/>
  <c r="AQ87" i="1" s="1"/>
  <c r="AQ88" i="1" s="1"/>
  <c r="AQ89" i="1" s="1"/>
  <c r="AQ82" i="1"/>
  <c r="AQ83" i="1" s="1"/>
  <c r="AQ84" i="1" s="1"/>
  <c r="AQ85" i="1" s="1"/>
  <c r="AQ80" i="1"/>
  <c r="AQ81" i="1" s="1"/>
  <c r="AQ76" i="1"/>
  <c r="AQ77" i="1" s="1"/>
  <c r="AQ78" i="1" s="1"/>
  <c r="AQ79" i="1" s="1"/>
  <c r="AQ74" i="1"/>
  <c r="AQ75" i="1" s="1"/>
  <c r="AQ72" i="1"/>
  <c r="AQ73" i="1" s="1"/>
  <c r="AQ70" i="1"/>
  <c r="AQ71" i="1" s="1"/>
  <c r="AQ68" i="1"/>
  <c r="AQ69" i="1" s="1"/>
  <c r="AQ64" i="1"/>
  <c r="AQ65" i="1" s="1"/>
  <c r="AQ66" i="1" s="1"/>
  <c r="AQ67" i="1" s="1"/>
  <c r="AQ60" i="1"/>
  <c r="AQ61" i="1" s="1"/>
  <c r="AQ62" i="1" s="1"/>
  <c r="AQ63" i="1" s="1"/>
  <c r="AQ56" i="1"/>
  <c r="AQ57" i="1" s="1"/>
  <c r="AQ58" i="1" s="1"/>
  <c r="AQ59" i="1" s="1"/>
  <c r="AQ54" i="1"/>
  <c r="AQ55" i="1" s="1"/>
  <c r="AQ50" i="1"/>
  <c r="AQ51" i="1" s="1"/>
  <c r="AQ52" i="1" s="1"/>
  <c r="AQ53" i="1" s="1"/>
  <c r="AQ48" i="1"/>
  <c r="AQ49" i="1" s="1"/>
  <c r="AQ44" i="1"/>
  <c r="AQ45" i="1" s="1"/>
  <c r="AQ46" i="1" s="1"/>
  <c r="AQ47" i="1" s="1"/>
  <c r="AQ40" i="1"/>
  <c r="AQ41" i="1" s="1"/>
  <c r="AQ42" i="1" s="1"/>
  <c r="AQ43" i="1" s="1"/>
  <c r="AQ36" i="1"/>
  <c r="AQ37" i="1" s="1"/>
  <c r="AQ38" i="1" s="1"/>
  <c r="AQ39" i="1" s="1"/>
  <c r="AQ32" i="1"/>
  <c r="AQ33" i="1" s="1"/>
  <c r="AQ34" i="1" s="1"/>
  <c r="AQ35" i="1" s="1"/>
  <c r="AQ28" i="1"/>
  <c r="AQ29" i="1" s="1"/>
  <c r="AQ30" i="1" s="1"/>
  <c r="AQ31" i="1" s="1"/>
  <c r="AQ24" i="1"/>
  <c r="AQ25" i="1" s="1"/>
  <c r="AQ26" i="1" s="1"/>
  <c r="AQ27" i="1" s="1"/>
  <c r="AQ20" i="1"/>
  <c r="AQ21" i="1" s="1"/>
  <c r="AQ22" i="1" s="1"/>
  <c r="AQ23" i="1" s="1"/>
  <c r="AQ16" i="1"/>
  <c r="AQ17" i="1" s="1"/>
  <c r="AQ18" i="1" s="1"/>
  <c r="AQ19" i="1" s="1"/>
  <c r="AQ12" i="1"/>
  <c r="AQ13" i="1" s="1"/>
  <c r="AQ14" i="1" s="1"/>
  <c r="AQ15" i="1" s="1"/>
  <c r="AQ8" i="1"/>
  <c r="AQ9" i="1" s="1"/>
  <c r="AQ10" i="1" s="1"/>
  <c r="AQ11" i="1" s="1"/>
  <c r="AQ4" i="1"/>
  <c r="AQ5" i="1" s="1"/>
  <c r="AQ6" i="1" s="1"/>
  <c r="AQ7" i="1" s="1"/>
  <c r="AQ2" i="1"/>
  <c r="AQ3" i="1" s="1"/>
  <c r="AN262" i="1"/>
  <c r="AN263" i="1" s="1"/>
  <c r="AN264" i="1" s="1"/>
  <c r="AN256" i="1"/>
  <c r="AN257" i="1" s="1"/>
  <c r="AN258" i="1" s="1"/>
  <c r="AN259" i="1" s="1"/>
  <c r="AN260" i="1" s="1"/>
  <c r="AN261" i="1" s="1"/>
  <c r="AN250" i="1"/>
  <c r="AN251" i="1" s="1"/>
  <c r="AN252" i="1" s="1"/>
  <c r="AN253" i="1" s="1"/>
  <c r="AN254" i="1" s="1"/>
  <c r="AN255" i="1" s="1"/>
  <c r="AN244" i="1"/>
  <c r="AN245" i="1" s="1"/>
  <c r="AN246" i="1" s="1"/>
  <c r="AN247" i="1" s="1"/>
  <c r="AN248" i="1" s="1"/>
  <c r="AN249" i="1" s="1"/>
  <c r="AN243" i="1"/>
  <c r="AN242" i="1"/>
  <c r="AN241" i="1"/>
  <c r="AN240" i="1"/>
  <c r="AN234" i="1"/>
  <c r="AN235" i="1" s="1"/>
  <c r="AN236" i="1" s="1"/>
  <c r="AN237" i="1" s="1"/>
  <c r="AN238" i="1" s="1"/>
  <c r="AN239" i="1" s="1"/>
  <c r="AN228" i="1"/>
  <c r="AN229" i="1" s="1"/>
  <c r="AN230" i="1" s="1"/>
  <c r="AN231" i="1" s="1"/>
  <c r="AN232" i="1" s="1"/>
  <c r="AN233" i="1" s="1"/>
  <c r="AN222" i="1"/>
  <c r="AN223" i="1" s="1"/>
  <c r="AN224" i="1" s="1"/>
  <c r="AN225" i="1" s="1"/>
  <c r="AN226" i="1" s="1"/>
  <c r="AN227" i="1" s="1"/>
  <c r="AN216" i="1"/>
  <c r="AN217" i="1" s="1"/>
  <c r="AN218" i="1" s="1"/>
  <c r="AN219" i="1" s="1"/>
  <c r="AN220" i="1" s="1"/>
  <c r="AN221" i="1" s="1"/>
  <c r="AN210" i="1"/>
  <c r="AN211" i="1" s="1"/>
  <c r="AN212" i="1" s="1"/>
  <c r="AN213" i="1" s="1"/>
  <c r="AN214" i="1" s="1"/>
  <c r="AN215" i="1" s="1"/>
  <c r="AN204" i="1"/>
  <c r="AN205" i="1" s="1"/>
  <c r="AN206" i="1" s="1"/>
  <c r="AN207" i="1" s="1"/>
  <c r="AN208" i="1" s="1"/>
  <c r="AN209" i="1" s="1"/>
  <c r="AN198" i="1"/>
  <c r="AN199" i="1" s="1"/>
  <c r="AN200" i="1" s="1"/>
  <c r="AN201" i="1" s="1"/>
  <c r="AN202" i="1" s="1"/>
  <c r="AN203" i="1" s="1"/>
  <c r="AN192" i="1"/>
  <c r="AN193" i="1" s="1"/>
  <c r="AN194" i="1" s="1"/>
  <c r="AN195" i="1" s="1"/>
  <c r="AN196" i="1" s="1"/>
  <c r="AN197" i="1" s="1"/>
  <c r="AN186" i="1"/>
  <c r="AN187" i="1" s="1"/>
  <c r="AN188" i="1" s="1"/>
  <c r="AN189" i="1" s="1"/>
  <c r="AN190" i="1" s="1"/>
  <c r="AN191" i="1" s="1"/>
  <c r="AN184" i="1"/>
  <c r="AN185" i="1" s="1"/>
  <c r="AN178" i="1"/>
  <c r="AN179" i="1" s="1"/>
  <c r="AN180" i="1" s="1"/>
  <c r="AN181" i="1" s="1"/>
  <c r="AN182" i="1" s="1"/>
  <c r="AN183" i="1" s="1"/>
  <c r="AN177" i="1"/>
  <c r="AN176" i="1"/>
  <c r="AN175" i="1"/>
  <c r="AN172" i="1"/>
  <c r="AN173" i="1" s="1"/>
  <c r="AN174" i="1" s="1"/>
  <c r="AN140" i="1"/>
  <c r="AN141" i="1" s="1"/>
  <c r="AN142" i="1" s="1"/>
  <c r="AN143" i="1" s="1"/>
  <c r="AN144" i="1" s="1"/>
  <c r="AN145" i="1" s="1"/>
  <c r="AN146" i="1" s="1"/>
  <c r="AN147" i="1" s="1"/>
  <c r="AN148" i="1" s="1"/>
  <c r="AN149" i="1" s="1"/>
  <c r="AN134" i="1"/>
  <c r="AN135" i="1" s="1"/>
  <c r="AN136" i="1" s="1"/>
  <c r="AN137" i="1" s="1"/>
  <c r="AN138" i="1" s="1"/>
  <c r="AN139" i="1" s="1"/>
  <c r="AN128" i="1"/>
  <c r="AN129" i="1" s="1"/>
  <c r="AN130" i="1" s="1"/>
  <c r="AN131" i="1" s="1"/>
  <c r="AN132" i="1" s="1"/>
  <c r="AN133" i="1" s="1"/>
  <c r="AN122" i="1"/>
  <c r="AN123" i="1" s="1"/>
  <c r="AN124" i="1" s="1"/>
  <c r="AN125" i="1" s="1"/>
  <c r="AN126" i="1" s="1"/>
  <c r="AN127" i="1" s="1"/>
  <c r="AN116" i="1"/>
  <c r="AN117" i="1" s="1"/>
  <c r="AN118" i="1" s="1"/>
  <c r="AN119" i="1" s="1"/>
  <c r="AN120" i="1" s="1"/>
  <c r="AN121" i="1" s="1"/>
  <c r="AN110" i="1"/>
  <c r="AN111" i="1" s="1"/>
  <c r="AN112" i="1" s="1"/>
  <c r="AN113" i="1" s="1"/>
  <c r="AN114" i="1" s="1"/>
  <c r="AN115" i="1" s="1"/>
  <c r="AN106" i="1"/>
  <c r="AN107" i="1" s="1"/>
  <c r="AN108" i="1" s="1"/>
  <c r="AN109" i="1" s="1"/>
  <c r="AN102" i="1"/>
  <c r="AN103" i="1" s="1"/>
  <c r="AN104" i="1" s="1"/>
  <c r="AN105" i="1" s="1"/>
  <c r="AN86" i="1"/>
  <c r="AN87" i="1" s="1"/>
  <c r="AN88" i="1" s="1"/>
  <c r="AN89" i="1" s="1"/>
  <c r="AN82" i="1"/>
  <c r="AN83" i="1" s="1"/>
  <c r="AN84" i="1" s="1"/>
  <c r="AN85" i="1" s="1"/>
  <c r="AN80" i="1"/>
  <c r="AN81" i="1" s="1"/>
  <c r="AN76" i="1"/>
  <c r="AN77" i="1" s="1"/>
  <c r="AN78" i="1" s="1"/>
  <c r="AN79" i="1" s="1"/>
  <c r="AN74" i="1"/>
  <c r="AN75" i="1" s="1"/>
  <c r="AN72" i="1"/>
  <c r="AN73" i="1" s="1"/>
  <c r="AN70" i="1"/>
  <c r="AN71" i="1" s="1"/>
  <c r="AN68" i="1"/>
  <c r="AN69" i="1" s="1"/>
  <c r="AN64" i="1"/>
  <c r="AN65" i="1" s="1"/>
  <c r="AN66" i="1" s="1"/>
  <c r="AN67" i="1" s="1"/>
  <c r="AN60" i="1"/>
  <c r="AN61" i="1" s="1"/>
  <c r="AN62" i="1" s="1"/>
  <c r="AN63" i="1" s="1"/>
  <c r="AN56" i="1"/>
  <c r="AN57" i="1" s="1"/>
  <c r="AN58" i="1" s="1"/>
  <c r="AN59" i="1" s="1"/>
  <c r="AN54" i="1"/>
  <c r="AN55" i="1" s="1"/>
  <c r="AN50" i="1"/>
  <c r="AN51" i="1" s="1"/>
  <c r="AN52" i="1" s="1"/>
  <c r="AN53" i="1" s="1"/>
  <c r="AN48" i="1"/>
  <c r="AN49" i="1" s="1"/>
  <c r="AN44" i="1"/>
  <c r="AN45" i="1" s="1"/>
  <c r="AN46" i="1" s="1"/>
  <c r="AN47" i="1" s="1"/>
  <c r="AN40" i="1"/>
  <c r="AN41" i="1" s="1"/>
  <c r="AN42" i="1" s="1"/>
  <c r="AN43" i="1" s="1"/>
  <c r="AN36" i="1"/>
  <c r="AN37" i="1" s="1"/>
  <c r="AN38" i="1" s="1"/>
  <c r="AN39" i="1" s="1"/>
  <c r="AN32" i="1"/>
  <c r="AN33" i="1" s="1"/>
  <c r="AN34" i="1" s="1"/>
  <c r="AN35" i="1" s="1"/>
  <c r="AN28" i="1"/>
  <c r="AN29" i="1" s="1"/>
  <c r="AN30" i="1" s="1"/>
  <c r="AN31" i="1" s="1"/>
  <c r="AN24" i="1"/>
  <c r="AN25" i="1" s="1"/>
  <c r="AN26" i="1" s="1"/>
  <c r="AN27" i="1" s="1"/>
  <c r="AN20" i="1"/>
  <c r="AN21" i="1" s="1"/>
  <c r="AN22" i="1" s="1"/>
  <c r="AN23" i="1" s="1"/>
  <c r="AN16" i="1"/>
  <c r="AN17" i="1" s="1"/>
  <c r="AN18" i="1" s="1"/>
  <c r="AN19" i="1" s="1"/>
  <c r="AN12" i="1"/>
  <c r="AN13" i="1" s="1"/>
  <c r="AN14" i="1" s="1"/>
  <c r="AN15" i="1" s="1"/>
  <c r="AN8" i="1"/>
  <c r="AN9" i="1" s="1"/>
  <c r="AN10" i="1" s="1"/>
  <c r="AN11" i="1" s="1"/>
  <c r="AN4" i="1"/>
  <c r="AN5" i="1" s="1"/>
  <c r="AN6" i="1" s="1"/>
  <c r="AN7" i="1" s="1"/>
  <c r="AN2" i="1"/>
  <c r="AN3" i="1" s="1"/>
  <c r="AL262" i="1"/>
  <c r="AL263" i="1" s="1"/>
  <c r="AL264" i="1" s="1"/>
  <c r="AL256" i="1"/>
  <c r="AL257" i="1" s="1"/>
  <c r="AL258" i="1" s="1"/>
  <c r="AL259" i="1" s="1"/>
  <c r="AL260" i="1" s="1"/>
  <c r="AL261" i="1" s="1"/>
  <c r="AL250" i="1"/>
  <c r="AL251" i="1" s="1"/>
  <c r="AL252" i="1" s="1"/>
  <c r="AL253" i="1" s="1"/>
  <c r="AL254" i="1" s="1"/>
  <c r="AL255" i="1" s="1"/>
  <c r="AL244" i="1"/>
  <c r="AL245" i="1" s="1"/>
  <c r="AL246" i="1" s="1"/>
  <c r="AL247" i="1" s="1"/>
  <c r="AL248" i="1" s="1"/>
  <c r="AL249" i="1" s="1"/>
  <c r="AL243" i="1"/>
  <c r="AL242" i="1"/>
  <c r="AL241" i="1"/>
  <c r="AL240" i="1"/>
  <c r="AL234" i="1"/>
  <c r="AL235" i="1" s="1"/>
  <c r="AL236" i="1" s="1"/>
  <c r="AL237" i="1" s="1"/>
  <c r="AL238" i="1" s="1"/>
  <c r="AL239" i="1" s="1"/>
  <c r="AL228" i="1"/>
  <c r="AL229" i="1" s="1"/>
  <c r="AL230" i="1" s="1"/>
  <c r="AL231" i="1" s="1"/>
  <c r="AL232" i="1" s="1"/>
  <c r="AL233" i="1" s="1"/>
  <c r="AL222" i="1"/>
  <c r="AL223" i="1" s="1"/>
  <c r="AL224" i="1" s="1"/>
  <c r="AL225" i="1" s="1"/>
  <c r="AL226" i="1" s="1"/>
  <c r="AL227" i="1" s="1"/>
  <c r="AL216" i="1"/>
  <c r="AL217" i="1" s="1"/>
  <c r="AL218" i="1" s="1"/>
  <c r="AL219" i="1" s="1"/>
  <c r="AL220" i="1" s="1"/>
  <c r="AL221" i="1" s="1"/>
  <c r="AL210" i="1"/>
  <c r="AL211" i="1" s="1"/>
  <c r="AL212" i="1" s="1"/>
  <c r="AL213" i="1" s="1"/>
  <c r="AL214" i="1" s="1"/>
  <c r="AL215" i="1" s="1"/>
  <c r="AL204" i="1"/>
  <c r="AL205" i="1" s="1"/>
  <c r="AL206" i="1" s="1"/>
  <c r="AL207" i="1" s="1"/>
  <c r="AL208" i="1" s="1"/>
  <c r="AL209" i="1" s="1"/>
  <c r="AL198" i="1"/>
  <c r="AL199" i="1" s="1"/>
  <c r="AL200" i="1" s="1"/>
  <c r="AL201" i="1" s="1"/>
  <c r="AL202" i="1" s="1"/>
  <c r="AL203" i="1" s="1"/>
  <c r="AL192" i="1"/>
  <c r="AL193" i="1" s="1"/>
  <c r="AL194" i="1" s="1"/>
  <c r="AL195" i="1" s="1"/>
  <c r="AL196" i="1" s="1"/>
  <c r="AL197" i="1" s="1"/>
  <c r="AL186" i="1"/>
  <c r="AL187" i="1" s="1"/>
  <c r="AL188" i="1" s="1"/>
  <c r="AL189" i="1" s="1"/>
  <c r="AL190" i="1" s="1"/>
  <c r="AL191" i="1" s="1"/>
  <c r="AL184" i="1"/>
  <c r="AL185" i="1" s="1"/>
  <c r="AL178" i="1"/>
  <c r="AL179" i="1" s="1"/>
  <c r="AL180" i="1" s="1"/>
  <c r="AL181" i="1" s="1"/>
  <c r="AL182" i="1" s="1"/>
  <c r="AL183" i="1" s="1"/>
  <c r="AL177" i="1"/>
  <c r="AL176" i="1"/>
  <c r="AL175" i="1"/>
  <c r="AL172" i="1"/>
  <c r="AL173" i="1" s="1"/>
  <c r="AL174" i="1" s="1"/>
  <c r="AL140" i="1"/>
  <c r="AL141" i="1" s="1"/>
  <c r="AL142" i="1" s="1"/>
  <c r="AL143" i="1" s="1"/>
  <c r="AL144" i="1" s="1"/>
  <c r="AL145" i="1" s="1"/>
  <c r="AL146" i="1" s="1"/>
  <c r="AL147" i="1" s="1"/>
  <c r="AL148" i="1" s="1"/>
  <c r="AL149" i="1" s="1"/>
  <c r="AL134" i="1"/>
  <c r="AL135" i="1" s="1"/>
  <c r="AL136" i="1" s="1"/>
  <c r="AL137" i="1" s="1"/>
  <c r="AL138" i="1" s="1"/>
  <c r="AL139" i="1" s="1"/>
  <c r="AL128" i="1"/>
  <c r="AL129" i="1" s="1"/>
  <c r="AL130" i="1" s="1"/>
  <c r="AL131" i="1" s="1"/>
  <c r="AL132" i="1" s="1"/>
  <c r="AL133" i="1" s="1"/>
  <c r="AL122" i="1"/>
  <c r="AL123" i="1" s="1"/>
  <c r="AL124" i="1" s="1"/>
  <c r="AL125" i="1" s="1"/>
  <c r="AL126" i="1" s="1"/>
  <c r="AL127" i="1" s="1"/>
  <c r="AL116" i="1"/>
  <c r="AL117" i="1" s="1"/>
  <c r="AL118" i="1" s="1"/>
  <c r="AL119" i="1" s="1"/>
  <c r="AL120" i="1" s="1"/>
  <c r="AL121" i="1" s="1"/>
  <c r="AL110" i="1"/>
  <c r="AL111" i="1" s="1"/>
  <c r="AL112" i="1" s="1"/>
  <c r="AL113" i="1" s="1"/>
  <c r="AL114" i="1" s="1"/>
  <c r="AL115" i="1" s="1"/>
  <c r="AL106" i="1"/>
  <c r="AL107" i="1" s="1"/>
  <c r="AL108" i="1" s="1"/>
  <c r="AL109" i="1" s="1"/>
  <c r="AL102" i="1"/>
  <c r="AL103" i="1" s="1"/>
  <c r="AL104" i="1" s="1"/>
  <c r="AL105" i="1" s="1"/>
  <c r="AL86" i="1"/>
  <c r="AL87" i="1" s="1"/>
  <c r="AL88" i="1" s="1"/>
  <c r="AL89" i="1" s="1"/>
  <c r="AL82" i="1"/>
  <c r="AL83" i="1" s="1"/>
  <c r="AL84" i="1" s="1"/>
  <c r="AL85" i="1" s="1"/>
  <c r="AL80" i="1"/>
  <c r="AL81" i="1" s="1"/>
  <c r="AL76" i="1"/>
  <c r="AL77" i="1" s="1"/>
  <c r="AL78" i="1" s="1"/>
  <c r="AL79" i="1" s="1"/>
  <c r="AL74" i="1"/>
  <c r="AL75" i="1" s="1"/>
  <c r="AL72" i="1"/>
  <c r="AL73" i="1" s="1"/>
  <c r="AL70" i="1"/>
  <c r="AL71" i="1" s="1"/>
  <c r="AL68" i="1"/>
  <c r="AL69" i="1" s="1"/>
  <c r="AL64" i="1"/>
  <c r="AL65" i="1" s="1"/>
  <c r="AL66" i="1" s="1"/>
  <c r="AL67" i="1" s="1"/>
  <c r="AL60" i="1"/>
  <c r="AL61" i="1" s="1"/>
  <c r="AL62" i="1" s="1"/>
  <c r="AL63" i="1" s="1"/>
  <c r="AL56" i="1"/>
  <c r="AL57" i="1" s="1"/>
  <c r="AL58" i="1" s="1"/>
  <c r="AL59" i="1" s="1"/>
  <c r="AL54" i="1"/>
  <c r="AL55" i="1" s="1"/>
  <c r="AL50" i="1"/>
  <c r="AL51" i="1" s="1"/>
  <c r="AL52" i="1" s="1"/>
  <c r="AL53" i="1" s="1"/>
  <c r="AL48" i="1"/>
  <c r="AL49" i="1" s="1"/>
  <c r="AL44" i="1"/>
  <c r="AL45" i="1" s="1"/>
  <c r="AL46" i="1" s="1"/>
  <c r="AL47" i="1" s="1"/>
  <c r="AL40" i="1"/>
  <c r="AL41" i="1" s="1"/>
  <c r="AL42" i="1" s="1"/>
  <c r="AL43" i="1" s="1"/>
  <c r="AL36" i="1"/>
  <c r="AL37" i="1" s="1"/>
  <c r="AL38" i="1" s="1"/>
  <c r="AL39" i="1" s="1"/>
  <c r="AL32" i="1"/>
  <c r="AL33" i="1" s="1"/>
  <c r="AL34" i="1" s="1"/>
  <c r="AL35" i="1" s="1"/>
  <c r="AL28" i="1"/>
  <c r="AL29" i="1" s="1"/>
  <c r="AL30" i="1" s="1"/>
  <c r="AL31" i="1" s="1"/>
  <c r="AL24" i="1"/>
  <c r="AL25" i="1" s="1"/>
  <c r="AL26" i="1" s="1"/>
  <c r="AL27" i="1" s="1"/>
  <c r="AL20" i="1"/>
  <c r="AL21" i="1" s="1"/>
  <c r="AL22" i="1" s="1"/>
  <c r="AL23" i="1" s="1"/>
  <c r="AL16" i="1"/>
  <c r="AL17" i="1" s="1"/>
  <c r="AL18" i="1" s="1"/>
  <c r="AL19" i="1" s="1"/>
  <c r="AL12" i="1"/>
  <c r="AL13" i="1" s="1"/>
  <c r="AL14" i="1" s="1"/>
  <c r="AL15" i="1" s="1"/>
  <c r="AL8" i="1"/>
  <c r="AL9" i="1" s="1"/>
  <c r="AL10" i="1" s="1"/>
  <c r="AL11" i="1" s="1"/>
  <c r="AL4" i="1"/>
  <c r="AL5" i="1" s="1"/>
  <c r="AL6" i="1" s="1"/>
  <c r="AL7" i="1" s="1"/>
  <c r="AL2" i="1"/>
  <c r="AL3" i="1" s="1"/>
  <c r="AJ262" i="1"/>
  <c r="AJ263" i="1" s="1"/>
  <c r="AJ264" i="1" s="1"/>
  <c r="AJ256" i="1"/>
  <c r="AJ257" i="1" s="1"/>
  <c r="AJ258" i="1" s="1"/>
  <c r="AJ259" i="1" s="1"/>
  <c r="AJ260" i="1" s="1"/>
  <c r="AJ261" i="1" s="1"/>
  <c r="AJ250" i="1"/>
  <c r="AJ251" i="1" s="1"/>
  <c r="AJ252" i="1" s="1"/>
  <c r="AJ253" i="1" s="1"/>
  <c r="AJ254" i="1" s="1"/>
  <c r="AJ255" i="1" s="1"/>
  <c r="AJ244" i="1"/>
  <c r="AJ245" i="1" s="1"/>
  <c r="AJ246" i="1" s="1"/>
  <c r="AJ247" i="1" s="1"/>
  <c r="AJ248" i="1" s="1"/>
  <c r="AJ249" i="1" s="1"/>
  <c r="AJ243" i="1"/>
  <c r="AJ242" i="1"/>
  <c r="AJ241" i="1"/>
  <c r="AJ240" i="1"/>
  <c r="AJ234" i="1"/>
  <c r="AJ235" i="1" s="1"/>
  <c r="AJ236" i="1" s="1"/>
  <c r="AJ237" i="1" s="1"/>
  <c r="AJ238" i="1" s="1"/>
  <c r="AJ239" i="1" s="1"/>
  <c r="AJ228" i="1"/>
  <c r="AJ229" i="1" s="1"/>
  <c r="AJ230" i="1" s="1"/>
  <c r="AJ231" i="1" s="1"/>
  <c r="AJ232" i="1" s="1"/>
  <c r="AJ233" i="1" s="1"/>
  <c r="AJ222" i="1"/>
  <c r="AJ223" i="1" s="1"/>
  <c r="AJ224" i="1" s="1"/>
  <c r="AJ225" i="1" s="1"/>
  <c r="AJ226" i="1" s="1"/>
  <c r="AJ227" i="1" s="1"/>
  <c r="AJ216" i="1"/>
  <c r="AJ217" i="1" s="1"/>
  <c r="AJ218" i="1" s="1"/>
  <c r="AJ219" i="1" s="1"/>
  <c r="AJ220" i="1" s="1"/>
  <c r="AJ221" i="1" s="1"/>
  <c r="AJ210" i="1"/>
  <c r="AJ211" i="1" s="1"/>
  <c r="AJ212" i="1" s="1"/>
  <c r="AJ213" i="1" s="1"/>
  <c r="AJ214" i="1" s="1"/>
  <c r="AJ215" i="1" s="1"/>
  <c r="AJ204" i="1"/>
  <c r="AJ205" i="1" s="1"/>
  <c r="AJ206" i="1" s="1"/>
  <c r="AJ207" i="1" s="1"/>
  <c r="AJ208" i="1" s="1"/>
  <c r="AJ209" i="1" s="1"/>
  <c r="AJ198" i="1"/>
  <c r="AJ199" i="1" s="1"/>
  <c r="AJ200" i="1" s="1"/>
  <c r="AJ201" i="1" s="1"/>
  <c r="AJ202" i="1" s="1"/>
  <c r="AJ203" i="1" s="1"/>
  <c r="AJ192" i="1"/>
  <c r="AJ193" i="1" s="1"/>
  <c r="AJ194" i="1" s="1"/>
  <c r="AJ195" i="1" s="1"/>
  <c r="AJ196" i="1" s="1"/>
  <c r="AJ197" i="1" s="1"/>
  <c r="AJ186" i="1"/>
  <c r="AJ187" i="1" s="1"/>
  <c r="AJ188" i="1" s="1"/>
  <c r="AJ189" i="1" s="1"/>
  <c r="AJ190" i="1" s="1"/>
  <c r="AJ191" i="1" s="1"/>
  <c r="AJ184" i="1"/>
  <c r="AJ185" i="1" s="1"/>
  <c r="AJ178" i="1"/>
  <c r="AJ179" i="1" s="1"/>
  <c r="AJ180" i="1" s="1"/>
  <c r="AJ181" i="1" s="1"/>
  <c r="AJ182" i="1" s="1"/>
  <c r="AJ183" i="1" s="1"/>
  <c r="AJ177" i="1"/>
  <c r="AJ176" i="1"/>
  <c r="AJ175" i="1"/>
  <c r="AJ172" i="1"/>
  <c r="AJ173" i="1" s="1"/>
  <c r="AJ174" i="1" s="1"/>
  <c r="AJ140" i="1"/>
  <c r="AJ141" i="1" s="1"/>
  <c r="AJ142" i="1" s="1"/>
  <c r="AJ143" i="1" s="1"/>
  <c r="AJ144" i="1" s="1"/>
  <c r="AJ145" i="1" s="1"/>
  <c r="AJ146" i="1" s="1"/>
  <c r="AJ147" i="1" s="1"/>
  <c r="AJ148" i="1" s="1"/>
  <c r="AJ149" i="1" s="1"/>
  <c r="AJ134" i="1"/>
  <c r="AJ135" i="1" s="1"/>
  <c r="AJ136" i="1" s="1"/>
  <c r="AJ137" i="1" s="1"/>
  <c r="AJ138" i="1" s="1"/>
  <c r="AJ139" i="1" s="1"/>
  <c r="AJ128" i="1"/>
  <c r="AJ129" i="1" s="1"/>
  <c r="AJ130" i="1" s="1"/>
  <c r="AJ131" i="1" s="1"/>
  <c r="AJ132" i="1" s="1"/>
  <c r="AJ133" i="1" s="1"/>
  <c r="AJ122" i="1"/>
  <c r="AJ123" i="1" s="1"/>
  <c r="AJ124" i="1" s="1"/>
  <c r="AJ125" i="1" s="1"/>
  <c r="AJ126" i="1" s="1"/>
  <c r="AJ127" i="1" s="1"/>
  <c r="AJ116" i="1"/>
  <c r="AJ117" i="1" s="1"/>
  <c r="AJ118" i="1" s="1"/>
  <c r="AJ119" i="1" s="1"/>
  <c r="AJ120" i="1" s="1"/>
  <c r="AJ121" i="1" s="1"/>
  <c r="AJ110" i="1"/>
  <c r="AJ111" i="1" s="1"/>
  <c r="AJ112" i="1" s="1"/>
  <c r="AJ113" i="1" s="1"/>
  <c r="AJ114" i="1" s="1"/>
  <c r="AJ115" i="1" s="1"/>
  <c r="AJ106" i="1"/>
  <c r="AJ107" i="1" s="1"/>
  <c r="AJ108" i="1" s="1"/>
  <c r="AJ109" i="1" s="1"/>
  <c r="AJ102" i="1"/>
  <c r="AJ103" i="1" s="1"/>
  <c r="AJ104" i="1" s="1"/>
  <c r="AJ105" i="1" s="1"/>
  <c r="AJ86" i="1"/>
  <c r="AJ87" i="1" s="1"/>
  <c r="AJ88" i="1" s="1"/>
  <c r="AJ89" i="1" s="1"/>
  <c r="AJ82" i="1"/>
  <c r="AJ83" i="1" s="1"/>
  <c r="AJ84" i="1" s="1"/>
  <c r="AJ85" i="1" s="1"/>
  <c r="AJ80" i="1"/>
  <c r="AJ81" i="1" s="1"/>
  <c r="AJ76" i="1"/>
  <c r="AJ77" i="1" s="1"/>
  <c r="AJ78" i="1" s="1"/>
  <c r="AJ79" i="1" s="1"/>
  <c r="AJ74" i="1"/>
  <c r="AJ75" i="1" s="1"/>
  <c r="AJ72" i="1"/>
  <c r="AJ73" i="1" s="1"/>
  <c r="AJ70" i="1"/>
  <c r="AJ71" i="1" s="1"/>
  <c r="AJ68" i="1"/>
  <c r="AJ69" i="1" s="1"/>
  <c r="AJ64" i="1"/>
  <c r="AJ65" i="1" s="1"/>
  <c r="AJ66" i="1" s="1"/>
  <c r="AJ67" i="1" s="1"/>
  <c r="AJ60" i="1"/>
  <c r="AJ61" i="1" s="1"/>
  <c r="AJ62" i="1" s="1"/>
  <c r="AJ63" i="1" s="1"/>
  <c r="AJ56" i="1"/>
  <c r="AJ57" i="1" s="1"/>
  <c r="AJ58" i="1" s="1"/>
  <c r="AJ59" i="1" s="1"/>
  <c r="AJ54" i="1"/>
  <c r="AJ55" i="1" s="1"/>
  <c r="AJ50" i="1"/>
  <c r="AJ51" i="1" s="1"/>
  <c r="AJ52" i="1" s="1"/>
  <c r="AJ53" i="1" s="1"/>
  <c r="AJ48" i="1"/>
  <c r="AJ49" i="1" s="1"/>
  <c r="AJ44" i="1"/>
  <c r="AJ45" i="1" s="1"/>
  <c r="AJ46" i="1" s="1"/>
  <c r="AJ47" i="1" s="1"/>
  <c r="AJ40" i="1"/>
  <c r="AJ41" i="1" s="1"/>
  <c r="AJ42" i="1" s="1"/>
  <c r="AJ43" i="1" s="1"/>
  <c r="AJ36" i="1"/>
  <c r="AJ37" i="1" s="1"/>
  <c r="AJ38" i="1" s="1"/>
  <c r="AJ39" i="1" s="1"/>
  <c r="AJ32" i="1"/>
  <c r="AJ33" i="1" s="1"/>
  <c r="AJ34" i="1" s="1"/>
  <c r="AJ35" i="1" s="1"/>
  <c r="AJ28" i="1"/>
  <c r="AJ29" i="1" s="1"/>
  <c r="AJ30" i="1" s="1"/>
  <c r="AJ31" i="1" s="1"/>
  <c r="AJ24" i="1"/>
  <c r="AJ25" i="1" s="1"/>
  <c r="AJ26" i="1" s="1"/>
  <c r="AJ27" i="1" s="1"/>
  <c r="AJ20" i="1"/>
  <c r="AJ21" i="1" s="1"/>
  <c r="AJ22" i="1" s="1"/>
  <c r="AJ23" i="1" s="1"/>
  <c r="AJ16" i="1"/>
  <c r="AJ17" i="1" s="1"/>
  <c r="AJ18" i="1" s="1"/>
  <c r="AJ19" i="1" s="1"/>
  <c r="AJ12" i="1"/>
  <c r="AJ13" i="1" s="1"/>
  <c r="AJ14" i="1" s="1"/>
  <c r="AJ15" i="1" s="1"/>
  <c r="AJ8" i="1"/>
  <c r="AJ9" i="1" s="1"/>
  <c r="AJ10" i="1" s="1"/>
  <c r="AJ11" i="1" s="1"/>
  <c r="AJ4" i="1"/>
  <c r="AJ5" i="1" s="1"/>
  <c r="AJ6" i="1" s="1"/>
  <c r="AJ7" i="1" s="1"/>
  <c r="AJ2" i="1"/>
  <c r="AJ3" i="1" s="1"/>
  <c r="AH262" i="1"/>
  <c r="AH263" i="1" s="1"/>
  <c r="AH264" i="1" s="1"/>
  <c r="AH256" i="1"/>
  <c r="AH257" i="1" s="1"/>
  <c r="AH258" i="1" s="1"/>
  <c r="AH259" i="1" s="1"/>
  <c r="AH260" i="1" s="1"/>
  <c r="AH261" i="1" s="1"/>
  <c r="AH250" i="1"/>
  <c r="AH251" i="1" s="1"/>
  <c r="AH252" i="1" s="1"/>
  <c r="AH253" i="1" s="1"/>
  <c r="AH254" i="1" s="1"/>
  <c r="AH255" i="1" s="1"/>
  <c r="AH244" i="1"/>
  <c r="AH245" i="1" s="1"/>
  <c r="AH246" i="1" s="1"/>
  <c r="AH247" i="1" s="1"/>
  <c r="AH248" i="1" s="1"/>
  <c r="AH249" i="1" s="1"/>
  <c r="AH243" i="1"/>
  <c r="AH242" i="1"/>
  <c r="AH241" i="1"/>
  <c r="AH240" i="1"/>
  <c r="AH234" i="1"/>
  <c r="AH235" i="1" s="1"/>
  <c r="AH236" i="1" s="1"/>
  <c r="AH237" i="1" s="1"/>
  <c r="AH238" i="1" s="1"/>
  <c r="AH239" i="1" s="1"/>
  <c r="AH228" i="1"/>
  <c r="AH229" i="1" s="1"/>
  <c r="AH230" i="1" s="1"/>
  <c r="AH231" i="1" s="1"/>
  <c r="AH232" i="1" s="1"/>
  <c r="AH233" i="1" s="1"/>
  <c r="AH222" i="1"/>
  <c r="AH223" i="1" s="1"/>
  <c r="AH224" i="1" s="1"/>
  <c r="AH225" i="1" s="1"/>
  <c r="AH226" i="1" s="1"/>
  <c r="AH227" i="1" s="1"/>
  <c r="AH216" i="1"/>
  <c r="AH217" i="1" s="1"/>
  <c r="AH218" i="1" s="1"/>
  <c r="AH219" i="1" s="1"/>
  <c r="AH220" i="1" s="1"/>
  <c r="AH221" i="1" s="1"/>
  <c r="AH210" i="1"/>
  <c r="AH211" i="1" s="1"/>
  <c r="AH212" i="1" s="1"/>
  <c r="AH213" i="1" s="1"/>
  <c r="AH214" i="1" s="1"/>
  <c r="AH215" i="1" s="1"/>
  <c r="AH204" i="1"/>
  <c r="AH205" i="1" s="1"/>
  <c r="AH206" i="1" s="1"/>
  <c r="AH207" i="1" s="1"/>
  <c r="AH208" i="1" s="1"/>
  <c r="AH209" i="1" s="1"/>
  <c r="AH198" i="1"/>
  <c r="AH199" i="1" s="1"/>
  <c r="AH200" i="1" s="1"/>
  <c r="AH201" i="1" s="1"/>
  <c r="AH202" i="1" s="1"/>
  <c r="AH203" i="1" s="1"/>
  <c r="AH192" i="1"/>
  <c r="AH193" i="1" s="1"/>
  <c r="AH194" i="1" s="1"/>
  <c r="AH195" i="1" s="1"/>
  <c r="AH196" i="1" s="1"/>
  <c r="AH197" i="1" s="1"/>
  <c r="AH186" i="1"/>
  <c r="AH187" i="1" s="1"/>
  <c r="AH188" i="1" s="1"/>
  <c r="AH189" i="1" s="1"/>
  <c r="AH190" i="1" s="1"/>
  <c r="AH191" i="1" s="1"/>
  <c r="AH184" i="1"/>
  <c r="AH185" i="1" s="1"/>
  <c r="AH178" i="1"/>
  <c r="AH179" i="1" s="1"/>
  <c r="AH180" i="1" s="1"/>
  <c r="AH181" i="1" s="1"/>
  <c r="AH182" i="1" s="1"/>
  <c r="AH183" i="1" s="1"/>
  <c r="AH177" i="1"/>
  <c r="AH176" i="1"/>
  <c r="AH175" i="1"/>
  <c r="AH172" i="1"/>
  <c r="AH173" i="1" s="1"/>
  <c r="AH174" i="1" s="1"/>
  <c r="AH140" i="1"/>
  <c r="AH141" i="1" s="1"/>
  <c r="AH142" i="1" s="1"/>
  <c r="AH143" i="1" s="1"/>
  <c r="AH144" i="1" s="1"/>
  <c r="AH145" i="1" s="1"/>
  <c r="AH146" i="1" s="1"/>
  <c r="AH147" i="1" s="1"/>
  <c r="AH148" i="1" s="1"/>
  <c r="AH149" i="1" s="1"/>
  <c r="AH134" i="1"/>
  <c r="AH135" i="1" s="1"/>
  <c r="AH136" i="1" s="1"/>
  <c r="AH137" i="1" s="1"/>
  <c r="AH138" i="1" s="1"/>
  <c r="AH139" i="1" s="1"/>
  <c r="AH128" i="1"/>
  <c r="AH129" i="1" s="1"/>
  <c r="AH130" i="1" s="1"/>
  <c r="AH131" i="1" s="1"/>
  <c r="AH132" i="1" s="1"/>
  <c r="AH133" i="1" s="1"/>
  <c r="AH122" i="1"/>
  <c r="AH123" i="1" s="1"/>
  <c r="AH124" i="1" s="1"/>
  <c r="AH125" i="1" s="1"/>
  <c r="AH126" i="1" s="1"/>
  <c r="AH127" i="1" s="1"/>
  <c r="AH116" i="1"/>
  <c r="AH117" i="1" s="1"/>
  <c r="AH118" i="1" s="1"/>
  <c r="AH119" i="1" s="1"/>
  <c r="AH120" i="1" s="1"/>
  <c r="AH121" i="1" s="1"/>
  <c r="AH110" i="1"/>
  <c r="AH111" i="1" s="1"/>
  <c r="AH112" i="1" s="1"/>
  <c r="AH113" i="1" s="1"/>
  <c r="AH114" i="1" s="1"/>
  <c r="AH115" i="1" s="1"/>
  <c r="AH106" i="1"/>
  <c r="AH107" i="1" s="1"/>
  <c r="AH108" i="1" s="1"/>
  <c r="AH109" i="1" s="1"/>
  <c r="AH102" i="1"/>
  <c r="AH103" i="1" s="1"/>
  <c r="AH104" i="1" s="1"/>
  <c r="AH105" i="1" s="1"/>
  <c r="AH86" i="1"/>
  <c r="AH87" i="1" s="1"/>
  <c r="AH88" i="1" s="1"/>
  <c r="AH89" i="1" s="1"/>
  <c r="AH82" i="1"/>
  <c r="AH83" i="1" s="1"/>
  <c r="AH84" i="1" s="1"/>
  <c r="AH85" i="1" s="1"/>
  <c r="AH80" i="1"/>
  <c r="AH81" i="1" s="1"/>
  <c r="AH76" i="1"/>
  <c r="AH77" i="1" s="1"/>
  <c r="AH78" i="1" s="1"/>
  <c r="AH79" i="1" s="1"/>
  <c r="AH74" i="1"/>
  <c r="AH75" i="1" s="1"/>
  <c r="AH72" i="1"/>
  <c r="AH73" i="1" s="1"/>
  <c r="AH70" i="1"/>
  <c r="AH71" i="1" s="1"/>
  <c r="AH68" i="1"/>
  <c r="AH69" i="1" s="1"/>
  <c r="AH64" i="1"/>
  <c r="AH65" i="1" s="1"/>
  <c r="AH66" i="1" s="1"/>
  <c r="AH67" i="1" s="1"/>
  <c r="AH60" i="1"/>
  <c r="AH61" i="1" s="1"/>
  <c r="AH62" i="1" s="1"/>
  <c r="AH63" i="1" s="1"/>
  <c r="AH56" i="1"/>
  <c r="AH57" i="1" s="1"/>
  <c r="AH58" i="1" s="1"/>
  <c r="AH59" i="1" s="1"/>
  <c r="AH54" i="1"/>
  <c r="AH55" i="1" s="1"/>
  <c r="AH50" i="1"/>
  <c r="AH51" i="1" s="1"/>
  <c r="AH52" i="1" s="1"/>
  <c r="AH53" i="1" s="1"/>
  <c r="AH48" i="1"/>
  <c r="AH49" i="1" s="1"/>
  <c r="AH44" i="1"/>
  <c r="AH45" i="1" s="1"/>
  <c r="AH46" i="1" s="1"/>
  <c r="AH47" i="1" s="1"/>
  <c r="AH40" i="1"/>
  <c r="AH41" i="1" s="1"/>
  <c r="AH42" i="1" s="1"/>
  <c r="AH43" i="1" s="1"/>
  <c r="AH36" i="1"/>
  <c r="AH37" i="1" s="1"/>
  <c r="AH38" i="1" s="1"/>
  <c r="AH39" i="1" s="1"/>
  <c r="AH32" i="1"/>
  <c r="AH33" i="1" s="1"/>
  <c r="AH34" i="1" s="1"/>
  <c r="AH35" i="1" s="1"/>
  <c r="AH28" i="1"/>
  <c r="AH29" i="1" s="1"/>
  <c r="AH30" i="1" s="1"/>
  <c r="AH31" i="1" s="1"/>
  <c r="AH24" i="1"/>
  <c r="AH25" i="1" s="1"/>
  <c r="AH26" i="1" s="1"/>
  <c r="AH27" i="1" s="1"/>
  <c r="AH20" i="1"/>
  <c r="AH21" i="1" s="1"/>
  <c r="AH22" i="1" s="1"/>
  <c r="AH23" i="1" s="1"/>
  <c r="AH16" i="1"/>
  <c r="AH17" i="1" s="1"/>
  <c r="AH18" i="1" s="1"/>
  <c r="AH19" i="1" s="1"/>
  <c r="AH12" i="1"/>
  <c r="AH13" i="1" s="1"/>
  <c r="AH14" i="1" s="1"/>
  <c r="AH15" i="1" s="1"/>
  <c r="AH8" i="1"/>
  <c r="AH9" i="1" s="1"/>
  <c r="AH10" i="1" s="1"/>
  <c r="AH11" i="1" s="1"/>
  <c r="AH4" i="1"/>
  <c r="AH5" i="1" s="1"/>
  <c r="AH6" i="1" s="1"/>
  <c r="AH7" i="1" s="1"/>
  <c r="AH2" i="1"/>
  <c r="AH3" i="1" s="1"/>
  <c r="V262" i="1"/>
  <c r="V263" i="1" s="1"/>
  <c r="V264" i="1" s="1"/>
  <c r="V256" i="1"/>
  <c r="V257" i="1" s="1"/>
  <c r="V258" i="1" s="1"/>
  <c r="V259" i="1" s="1"/>
  <c r="V260" i="1" s="1"/>
  <c r="V261" i="1" s="1"/>
  <c r="V250" i="1"/>
  <c r="V251" i="1" s="1"/>
  <c r="V252" i="1" s="1"/>
  <c r="V253" i="1" s="1"/>
  <c r="V254" i="1" s="1"/>
  <c r="V255" i="1" s="1"/>
  <c r="V244" i="1"/>
  <c r="V245" i="1" s="1"/>
  <c r="V246" i="1" s="1"/>
  <c r="V247" i="1" s="1"/>
  <c r="V248" i="1" s="1"/>
  <c r="V249" i="1" s="1"/>
  <c r="V243" i="1"/>
  <c r="V242" i="1"/>
  <c r="V241" i="1"/>
  <c r="V240" i="1"/>
  <c r="V234" i="1"/>
  <c r="V235" i="1" s="1"/>
  <c r="V236" i="1" s="1"/>
  <c r="V237" i="1" s="1"/>
  <c r="V238" i="1" s="1"/>
  <c r="V239" i="1" s="1"/>
  <c r="V228" i="1"/>
  <c r="V229" i="1" s="1"/>
  <c r="V230" i="1" s="1"/>
  <c r="V231" i="1" s="1"/>
  <c r="V232" i="1" s="1"/>
  <c r="V233" i="1" s="1"/>
  <c r="V222" i="1"/>
  <c r="V223" i="1" s="1"/>
  <c r="V224" i="1" s="1"/>
  <c r="V225" i="1" s="1"/>
  <c r="V226" i="1" s="1"/>
  <c r="V227" i="1" s="1"/>
  <c r="V216" i="1"/>
  <c r="V217" i="1" s="1"/>
  <c r="V218" i="1" s="1"/>
  <c r="V219" i="1" s="1"/>
  <c r="V220" i="1" s="1"/>
  <c r="V221" i="1" s="1"/>
  <c r="V210" i="1"/>
  <c r="V211" i="1" s="1"/>
  <c r="V212" i="1" s="1"/>
  <c r="V213" i="1" s="1"/>
  <c r="V214" i="1" s="1"/>
  <c r="V215" i="1" s="1"/>
  <c r="V204" i="1"/>
  <c r="V205" i="1" s="1"/>
  <c r="V206" i="1" s="1"/>
  <c r="V207" i="1" s="1"/>
  <c r="V208" i="1" s="1"/>
  <c r="V209" i="1" s="1"/>
  <c r="V198" i="1"/>
  <c r="V199" i="1" s="1"/>
  <c r="V200" i="1" s="1"/>
  <c r="V201" i="1" s="1"/>
  <c r="V202" i="1" s="1"/>
  <c r="V203" i="1" s="1"/>
  <c r="V192" i="1"/>
  <c r="V193" i="1" s="1"/>
  <c r="V194" i="1" s="1"/>
  <c r="V195" i="1" s="1"/>
  <c r="V196" i="1" s="1"/>
  <c r="V197" i="1" s="1"/>
  <c r="V186" i="1"/>
  <c r="V187" i="1" s="1"/>
  <c r="V188" i="1" s="1"/>
  <c r="V189" i="1" s="1"/>
  <c r="V190" i="1" s="1"/>
  <c r="V191" i="1" s="1"/>
  <c r="V184" i="1"/>
  <c r="V185" i="1" s="1"/>
  <c r="V178" i="1"/>
  <c r="V179" i="1" s="1"/>
  <c r="V180" i="1" s="1"/>
  <c r="V181" i="1" s="1"/>
  <c r="V182" i="1" s="1"/>
  <c r="V183" i="1" s="1"/>
  <c r="V177" i="1"/>
  <c r="V176" i="1"/>
  <c r="V175" i="1"/>
  <c r="V172" i="1"/>
  <c r="V173" i="1" s="1"/>
  <c r="V174" i="1" s="1"/>
  <c r="V140" i="1"/>
  <c r="V141" i="1" s="1"/>
  <c r="V142" i="1" s="1"/>
  <c r="V143" i="1" s="1"/>
  <c r="V144" i="1" s="1"/>
  <c r="V145" i="1" s="1"/>
  <c r="V146" i="1" s="1"/>
  <c r="V147" i="1" s="1"/>
  <c r="V148" i="1" s="1"/>
  <c r="V149" i="1" s="1"/>
  <c r="V134" i="1"/>
  <c r="V135" i="1" s="1"/>
  <c r="V136" i="1" s="1"/>
  <c r="V137" i="1" s="1"/>
  <c r="V138" i="1" s="1"/>
  <c r="V139" i="1" s="1"/>
  <c r="V128" i="1"/>
  <c r="V129" i="1" s="1"/>
  <c r="V130" i="1" s="1"/>
  <c r="V131" i="1" s="1"/>
  <c r="V132" i="1" s="1"/>
  <c r="V133" i="1" s="1"/>
  <c r="V122" i="1"/>
  <c r="V123" i="1" s="1"/>
  <c r="V124" i="1" s="1"/>
  <c r="V125" i="1" s="1"/>
  <c r="V126" i="1" s="1"/>
  <c r="V127" i="1" s="1"/>
  <c r="V116" i="1"/>
  <c r="V117" i="1" s="1"/>
  <c r="V118" i="1" s="1"/>
  <c r="V119" i="1" s="1"/>
  <c r="V120" i="1" s="1"/>
  <c r="V121" i="1" s="1"/>
  <c r="V110" i="1"/>
  <c r="V111" i="1" s="1"/>
  <c r="V112" i="1" s="1"/>
  <c r="V113" i="1" s="1"/>
  <c r="V114" i="1" s="1"/>
  <c r="V115" i="1" s="1"/>
  <c r="V106" i="1"/>
  <c r="V107" i="1" s="1"/>
  <c r="V108" i="1" s="1"/>
  <c r="V109" i="1" s="1"/>
  <c r="V102" i="1"/>
  <c r="V103" i="1" s="1"/>
  <c r="V104" i="1" s="1"/>
  <c r="V105" i="1" s="1"/>
  <c r="V86" i="1"/>
  <c r="V87" i="1" s="1"/>
  <c r="V88" i="1" s="1"/>
  <c r="V89" i="1" s="1"/>
  <c r="V82" i="1"/>
  <c r="V83" i="1" s="1"/>
  <c r="V84" i="1" s="1"/>
  <c r="V85" i="1" s="1"/>
  <c r="V80" i="1"/>
  <c r="V81" i="1" s="1"/>
  <c r="V76" i="1"/>
  <c r="V77" i="1" s="1"/>
  <c r="V78" i="1" s="1"/>
  <c r="V79" i="1" s="1"/>
  <c r="V74" i="1"/>
  <c r="V75" i="1" s="1"/>
  <c r="V72" i="1"/>
  <c r="V73" i="1" s="1"/>
  <c r="V70" i="1"/>
  <c r="V71" i="1" s="1"/>
  <c r="V68" i="1"/>
  <c r="V69" i="1" s="1"/>
  <c r="V64" i="1"/>
  <c r="V65" i="1" s="1"/>
  <c r="V66" i="1" s="1"/>
  <c r="V67" i="1" s="1"/>
  <c r="V60" i="1"/>
  <c r="V61" i="1" s="1"/>
  <c r="V62" i="1" s="1"/>
  <c r="V63" i="1" s="1"/>
  <c r="V56" i="1"/>
  <c r="V57" i="1" s="1"/>
  <c r="V58" i="1" s="1"/>
  <c r="V59" i="1" s="1"/>
  <c r="V54" i="1"/>
  <c r="V55" i="1" s="1"/>
  <c r="V50" i="1"/>
  <c r="V51" i="1" s="1"/>
  <c r="V52" i="1" s="1"/>
  <c r="V53" i="1" s="1"/>
  <c r="V48" i="1"/>
  <c r="V49" i="1" s="1"/>
  <c r="V44" i="1"/>
  <c r="V45" i="1" s="1"/>
  <c r="V46" i="1" s="1"/>
  <c r="V47" i="1" s="1"/>
  <c r="V40" i="1"/>
  <c r="V41" i="1" s="1"/>
  <c r="V42" i="1" s="1"/>
  <c r="V43" i="1" s="1"/>
  <c r="V36" i="1"/>
  <c r="V37" i="1" s="1"/>
  <c r="V38" i="1" s="1"/>
  <c r="V39" i="1" s="1"/>
  <c r="V32" i="1"/>
  <c r="V33" i="1" s="1"/>
  <c r="V34" i="1" s="1"/>
  <c r="V35" i="1" s="1"/>
  <c r="V28" i="1"/>
  <c r="V29" i="1" s="1"/>
  <c r="V30" i="1" s="1"/>
  <c r="V31" i="1" s="1"/>
  <c r="V24" i="1"/>
  <c r="V25" i="1" s="1"/>
  <c r="V26" i="1" s="1"/>
  <c r="V27" i="1" s="1"/>
  <c r="V20" i="1"/>
  <c r="V21" i="1" s="1"/>
  <c r="V22" i="1" s="1"/>
  <c r="V23" i="1" s="1"/>
  <c r="V16" i="1"/>
  <c r="V17" i="1" s="1"/>
  <c r="V18" i="1" s="1"/>
  <c r="V19" i="1" s="1"/>
  <c r="V12" i="1"/>
  <c r="V13" i="1" s="1"/>
  <c r="V14" i="1" s="1"/>
  <c r="V15" i="1" s="1"/>
  <c r="V8" i="1"/>
  <c r="V9" i="1" s="1"/>
  <c r="V10" i="1" s="1"/>
  <c r="V11" i="1" s="1"/>
  <c r="V4" i="1"/>
  <c r="V5" i="1" s="1"/>
  <c r="V6" i="1" s="1"/>
  <c r="V7" i="1" s="1"/>
  <c r="V2" i="1"/>
  <c r="V3" i="1" s="1"/>
  <c r="T262" i="1"/>
  <c r="T263" i="1" s="1"/>
  <c r="T264" i="1" s="1"/>
  <c r="T256" i="1"/>
  <c r="T257" i="1" s="1"/>
  <c r="T258" i="1" s="1"/>
  <c r="T259" i="1" s="1"/>
  <c r="T260" i="1" s="1"/>
  <c r="T261" i="1" s="1"/>
  <c r="T250" i="1"/>
  <c r="T251" i="1" s="1"/>
  <c r="T252" i="1" s="1"/>
  <c r="T253" i="1" s="1"/>
  <c r="T254" i="1" s="1"/>
  <c r="T255" i="1" s="1"/>
  <c r="T244" i="1"/>
  <c r="T245" i="1" s="1"/>
  <c r="T246" i="1" s="1"/>
  <c r="T247" i="1" s="1"/>
  <c r="T248" i="1" s="1"/>
  <c r="T249" i="1" s="1"/>
  <c r="T243" i="1"/>
  <c r="T242" i="1"/>
  <c r="T241" i="1"/>
  <c r="T240" i="1"/>
  <c r="T234" i="1"/>
  <c r="T235" i="1" s="1"/>
  <c r="T236" i="1" s="1"/>
  <c r="T237" i="1" s="1"/>
  <c r="T238" i="1" s="1"/>
  <c r="T239" i="1" s="1"/>
  <c r="T228" i="1"/>
  <c r="T229" i="1" s="1"/>
  <c r="T230" i="1" s="1"/>
  <c r="T231" i="1" s="1"/>
  <c r="T232" i="1" s="1"/>
  <c r="T233" i="1" s="1"/>
  <c r="T222" i="1"/>
  <c r="T223" i="1" s="1"/>
  <c r="T224" i="1" s="1"/>
  <c r="T225" i="1" s="1"/>
  <c r="T226" i="1" s="1"/>
  <c r="T227" i="1" s="1"/>
  <c r="T216" i="1"/>
  <c r="T217" i="1" s="1"/>
  <c r="T218" i="1" s="1"/>
  <c r="T219" i="1" s="1"/>
  <c r="T220" i="1" s="1"/>
  <c r="T221" i="1" s="1"/>
  <c r="T210" i="1"/>
  <c r="T211" i="1" s="1"/>
  <c r="T212" i="1" s="1"/>
  <c r="T213" i="1" s="1"/>
  <c r="T214" i="1" s="1"/>
  <c r="T215" i="1" s="1"/>
  <c r="T204" i="1"/>
  <c r="T205" i="1" s="1"/>
  <c r="T206" i="1" s="1"/>
  <c r="T207" i="1" s="1"/>
  <c r="T208" i="1" s="1"/>
  <c r="T209" i="1" s="1"/>
  <c r="T198" i="1"/>
  <c r="T199" i="1" s="1"/>
  <c r="T200" i="1" s="1"/>
  <c r="T201" i="1" s="1"/>
  <c r="T202" i="1" s="1"/>
  <c r="T203" i="1" s="1"/>
  <c r="T192" i="1"/>
  <c r="T193" i="1" s="1"/>
  <c r="T194" i="1" s="1"/>
  <c r="T195" i="1" s="1"/>
  <c r="T196" i="1" s="1"/>
  <c r="T197" i="1" s="1"/>
  <c r="T186" i="1"/>
  <c r="T187" i="1" s="1"/>
  <c r="T188" i="1" s="1"/>
  <c r="T189" i="1" s="1"/>
  <c r="T190" i="1" s="1"/>
  <c r="T191" i="1" s="1"/>
  <c r="T184" i="1"/>
  <c r="T185" i="1" s="1"/>
  <c r="T178" i="1"/>
  <c r="T179" i="1" s="1"/>
  <c r="T180" i="1" s="1"/>
  <c r="T181" i="1" s="1"/>
  <c r="T182" i="1" s="1"/>
  <c r="T183" i="1" s="1"/>
  <c r="T177" i="1"/>
  <c r="T176" i="1"/>
  <c r="T175" i="1"/>
  <c r="T172" i="1"/>
  <c r="T173" i="1" s="1"/>
  <c r="T174" i="1" s="1"/>
  <c r="T140" i="1"/>
  <c r="T141" i="1" s="1"/>
  <c r="T142" i="1" s="1"/>
  <c r="T143" i="1" s="1"/>
  <c r="T144" i="1" s="1"/>
  <c r="T145" i="1" s="1"/>
  <c r="T146" i="1" s="1"/>
  <c r="T147" i="1" s="1"/>
  <c r="T148" i="1" s="1"/>
  <c r="T149" i="1" s="1"/>
  <c r="T134" i="1"/>
  <c r="T135" i="1" s="1"/>
  <c r="T136" i="1" s="1"/>
  <c r="T137" i="1" s="1"/>
  <c r="T138" i="1" s="1"/>
  <c r="T139" i="1" s="1"/>
  <c r="T128" i="1"/>
  <c r="T129" i="1" s="1"/>
  <c r="T130" i="1" s="1"/>
  <c r="T131" i="1" s="1"/>
  <c r="T132" i="1" s="1"/>
  <c r="T133" i="1" s="1"/>
  <c r="T122" i="1"/>
  <c r="T123" i="1" s="1"/>
  <c r="T124" i="1" s="1"/>
  <c r="T125" i="1" s="1"/>
  <c r="T126" i="1" s="1"/>
  <c r="T127" i="1" s="1"/>
  <c r="T116" i="1"/>
  <c r="T117" i="1" s="1"/>
  <c r="T118" i="1" s="1"/>
  <c r="T119" i="1" s="1"/>
  <c r="T120" i="1" s="1"/>
  <c r="T121" i="1" s="1"/>
  <c r="T110" i="1"/>
  <c r="T111" i="1" s="1"/>
  <c r="T112" i="1" s="1"/>
  <c r="T113" i="1" s="1"/>
  <c r="T114" i="1" s="1"/>
  <c r="T115" i="1" s="1"/>
  <c r="T106" i="1"/>
  <c r="T107" i="1" s="1"/>
  <c r="T108" i="1" s="1"/>
  <c r="T109" i="1" s="1"/>
  <c r="T102" i="1"/>
  <c r="T103" i="1" s="1"/>
  <c r="T104" i="1" s="1"/>
  <c r="T105" i="1" s="1"/>
  <c r="T86" i="1"/>
  <c r="T87" i="1" s="1"/>
  <c r="T88" i="1" s="1"/>
  <c r="T89" i="1" s="1"/>
  <c r="T82" i="1"/>
  <c r="T83" i="1" s="1"/>
  <c r="T84" i="1" s="1"/>
  <c r="T85" i="1" s="1"/>
  <c r="T80" i="1"/>
  <c r="T81" i="1" s="1"/>
  <c r="T76" i="1"/>
  <c r="T77" i="1" s="1"/>
  <c r="T78" i="1" s="1"/>
  <c r="T79" i="1" s="1"/>
  <c r="T74" i="1"/>
  <c r="T75" i="1" s="1"/>
  <c r="T72" i="1"/>
  <c r="T73" i="1" s="1"/>
  <c r="T70" i="1"/>
  <c r="T71" i="1" s="1"/>
  <c r="T68" i="1"/>
  <c r="T69" i="1" s="1"/>
  <c r="T64" i="1"/>
  <c r="T65" i="1" s="1"/>
  <c r="T66" i="1" s="1"/>
  <c r="T67" i="1" s="1"/>
  <c r="T60" i="1"/>
  <c r="T61" i="1" s="1"/>
  <c r="T62" i="1" s="1"/>
  <c r="T63" i="1" s="1"/>
  <c r="T56" i="1"/>
  <c r="T57" i="1" s="1"/>
  <c r="T58" i="1" s="1"/>
  <c r="T59" i="1" s="1"/>
  <c r="T54" i="1"/>
  <c r="T55" i="1" s="1"/>
  <c r="T50" i="1"/>
  <c r="T51" i="1" s="1"/>
  <c r="T52" i="1" s="1"/>
  <c r="T53" i="1" s="1"/>
  <c r="T48" i="1"/>
  <c r="T49" i="1" s="1"/>
  <c r="T44" i="1"/>
  <c r="T45" i="1" s="1"/>
  <c r="T46" i="1" s="1"/>
  <c r="T47" i="1" s="1"/>
  <c r="T40" i="1"/>
  <c r="T41" i="1" s="1"/>
  <c r="T42" i="1" s="1"/>
  <c r="T43" i="1" s="1"/>
  <c r="T36" i="1"/>
  <c r="T37" i="1" s="1"/>
  <c r="T38" i="1" s="1"/>
  <c r="T39" i="1" s="1"/>
  <c r="T32" i="1"/>
  <c r="T33" i="1" s="1"/>
  <c r="T34" i="1" s="1"/>
  <c r="T35" i="1" s="1"/>
  <c r="T28" i="1"/>
  <c r="T29" i="1" s="1"/>
  <c r="T30" i="1" s="1"/>
  <c r="T31" i="1" s="1"/>
  <c r="T24" i="1"/>
  <c r="T25" i="1" s="1"/>
  <c r="T26" i="1" s="1"/>
  <c r="T27" i="1" s="1"/>
  <c r="T20" i="1"/>
  <c r="T21" i="1" s="1"/>
  <c r="T22" i="1" s="1"/>
  <c r="T23" i="1" s="1"/>
  <c r="T16" i="1"/>
  <c r="T17" i="1" s="1"/>
  <c r="T18" i="1" s="1"/>
  <c r="T19" i="1" s="1"/>
  <c r="T12" i="1"/>
  <c r="T13" i="1" s="1"/>
  <c r="T14" i="1" s="1"/>
  <c r="T15" i="1" s="1"/>
  <c r="T8" i="1"/>
  <c r="T9" i="1" s="1"/>
  <c r="T10" i="1" s="1"/>
  <c r="T11" i="1" s="1"/>
  <c r="T4" i="1"/>
  <c r="T5" i="1" s="1"/>
  <c r="T6" i="1" s="1"/>
  <c r="T7" i="1" s="1"/>
  <c r="T2" i="1"/>
  <c r="T3" i="1" s="1"/>
  <c r="B250" i="1"/>
  <c r="B251" i="1" s="1"/>
  <c r="B252" i="1" s="1"/>
  <c r="B253" i="1" s="1"/>
  <c r="B254" i="1" s="1"/>
  <c r="B255" i="1" s="1"/>
  <c r="B244" i="1"/>
  <c r="B245" i="1" s="1"/>
  <c r="B246" i="1" s="1"/>
  <c r="B247" i="1" s="1"/>
  <c r="B248" i="1" s="1"/>
  <c r="B249" i="1" s="1"/>
  <c r="B243" i="1"/>
  <c r="B242" i="1"/>
  <c r="B240" i="1"/>
  <c r="B241" i="1"/>
  <c r="B234" i="1"/>
  <c r="B235" i="1" s="1"/>
  <c r="B236" i="1" s="1"/>
  <c r="B237" i="1" s="1"/>
  <c r="B238" i="1" s="1"/>
  <c r="B239" i="1" s="1"/>
  <c r="B228" i="1"/>
  <c r="B229" i="1" s="1"/>
  <c r="B230" i="1" s="1"/>
  <c r="B231" i="1" s="1"/>
  <c r="B232" i="1" s="1"/>
  <c r="B233" i="1" s="1"/>
  <c r="B222" i="1"/>
  <c r="B223" i="1" s="1"/>
  <c r="B224" i="1" s="1"/>
  <c r="B225" i="1" s="1"/>
  <c r="B226" i="1" s="1"/>
  <c r="B227" i="1" s="1"/>
  <c r="B216" i="1"/>
  <c r="B217" i="1" s="1"/>
  <c r="B218" i="1" s="1"/>
  <c r="B219" i="1" s="1"/>
  <c r="B220" i="1" s="1"/>
  <c r="B221" i="1" s="1"/>
  <c r="B210" i="1"/>
  <c r="B211" i="1" s="1"/>
  <c r="B212" i="1" s="1"/>
  <c r="B213" i="1" s="1"/>
  <c r="B214" i="1" s="1"/>
  <c r="B215" i="1" s="1"/>
  <c r="B204" i="1"/>
  <c r="B205" i="1" s="1"/>
  <c r="B206" i="1" s="1"/>
  <c r="B207" i="1" s="1"/>
  <c r="B208" i="1" s="1"/>
  <c r="B209" i="1" s="1"/>
  <c r="B198" i="1"/>
  <c r="B199" i="1" s="1"/>
  <c r="B200" i="1" s="1"/>
  <c r="B201" i="1" s="1"/>
  <c r="B202" i="1" s="1"/>
  <c r="B203" i="1" s="1"/>
  <c r="B192" i="1"/>
  <c r="B193" i="1" s="1"/>
  <c r="B194" i="1" s="1"/>
  <c r="B195" i="1" s="1"/>
  <c r="B196" i="1" s="1"/>
  <c r="B197" i="1" s="1"/>
  <c r="B186" i="1"/>
  <c r="B187" i="1" s="1"/>
  <c r="B188" i="1" s="1"/>
  <c r="B189" i="1" s="1"/>
  <c r="B190" i="1" s="1"/>
  <c r="B191" i="1" s="1"/>
  <c r="B184" i="1"/>
  <c r="B185" i="1" s="1"/>
  <c r="B178" i="1"/>
  <c r="B179" i="1" s="1"/>
  <c r="B180" i="1" s="1"/>
  <c r="B181" i="1" s="1"/>
  <c r="B182" i="1" s="1"/>
  <c r="B183" i="1" s="1"/>
  <c r="B177" i="1"/>
  <c r="B176" i="1"/>
  <c r="B175" i="1"/>
  <c r="B172" i="1"/>
  <c r="B173" i="1" s="1"/>
  <c r="B174" i="1" s="1"/>
  <c r="B140" i="1"/>
  <c r="B141" i="1" s="1"/>
  <c r="B142" i="1" s="1"/>
  <c r="B143" i="1" s="1"/>
  <c r="B144" i="1" s="1"/>
  <c r="B145" i="1" s="1"/>
  <c r="B146" i="1" s="1"/>
  <c r="B147" i="1" s="1"/>
  <c r="B148" i="1" s="1"/>
  <c r="B149" i="1" s="1"/>
  <c r="B134" i="1"/>
  <c r="B135" i="1" s="1"/>
  <c r="B136" i="1" s="1"/>
  <c r="B137" i="1" s="1"/>
  <c r="B138" i="1" s="1"/>
  <c r="B139" i="1" s="1"/>
  <c r="B128" i="1"/>
  <c r="B129" i="1" s="1"/>
  <c r="B130" i="1" s="1"/>
  <c r="B131" i="1" s="1"/>
  <c r="B132" i="1" s="1"/>
  <c r="B133" i="1" s="1"/>
  <c r="B122" i="1"/>
  <c r="B123" i="1" s="1"/>
  <c r="B124" i="1" s="1"/>
  <c r="B125" i="1" s="1"/>
  <c r="B126" i="1" s="1"/>
  <c r="B127" i="1" s="1"/>
  <c r="B116" i="1"/>
  <c r="B117" i="1" s="1"/>
  <c r="B118" i="1" s="1"/>
  <c r="B119" i="1" s="1"/>
  <c r="B120" i="1" s="1"/>
  <c r="B121" i="1" s="1"/>
  <c r="B110" i="1"/>
  <c r="B111" i="1" s="1"/>
  <c r="B112" i="1" s="1"/>
  <c r="B113" i="1" s="1"/>
  <c r="B114" i="1" s="1"/>
  <c r="B115" i="1" s="1"/>
  <c r="B106" i="1"/>
  <c r="B107" i="1" s="1"/>
  <c r="B108" i="1" s="1"/>
  <c r="B109" i="1" s="1"/>
  <c r="B102" i="1"/>
  <c r="B103" i="1" s="1"/>
  <c r="B104" i="1" s="1"/>
  <c r="B105" i="1" s="1"/>
  <c r="B86" i="1"/>
  <c r="B87" i="1" s="1"/>
  <c r="B88" i="1" s="1"/>
  <c r="B89" i="1" s="1"/>
  <c r="B82" i="1"/>
  <c r="B83" i="1" s="1"/>
  <c r="B84" i="1" s="1"/>
  <c r="B85" i="1" s="1"/>
  <c r="B80" i="1"/>
  <c r="B81" i="1" s="1"/>
  <c r="B76" i="1"/>
  <c r="B77" i="1" s="1"/>
  <c r="B78" i="1" s="1"/>
  <c r="B79" i="1" s="1"/>
  <c r="B74" i="1"/>
  <c r="B75" i="1" s="1"/>
  <c r="B72" i="1"/>
  <c r="B73" i="1" s="1"/>
  <c r="B70" i="1"/>
  <c r="B71" i="1" s="1"/>
  <c r="B68" i="1"/>
  <c r="B69" i="1" s="1"/>
  <c r="B64" i="1"/>
  <c r="B65" i="1" s="1"/>
  <c r="B66" i="1" s="1"/>
  <c r="B67" i="1" s="1"/>
  <c r="B60" i="1"/>
  <c r="B61" i="1" s="1"/>
  <c r="B62" i="1" s="1"/>
  <c r="B63" i="1" s="1"/>
  <c r="B56" i="1"/>
  <c r="B57" i="1" s="1"/>
  <c r="B58" i="1" s="1"/>
  <c r="B59" i="1" s="1"/>
  <c r="B54" i="1"/>
  <c r="B55" i="1" s="1"/>
  <c r="B50" i="1"/>
  <c r="B51" i="1" s="1"/>
  <c r="B52" i="1" s="1"/>
  <c r="B53" i="1" s="1"/>
  <c r="B48" i="1"/>
  <c r="B49" i="1" s="1"/>
  <c r="B44" i="1"/>
  <c r="B45" i="1" s="1"/>
  <c r="B46" i="1" s="1"/>
  <c r="B47" i="1" s="1"/>
  <c r="B40" i="1"/>
  <c r="B41" i="1" s="1"/>
  <c r="B42" i="1" s="1"/>
  <c r="B43" i="1" s="1"/>
  <c r="B36" i="1"/>
  <c r="B37" i="1" s="1"/>
  <c r="B38" i="1" s="1"/>
  <c r="B39" i="1" s="1"/>
  <c r="B32" i="1"/>
  <c r="B33" i="1" s="1"/>
  <c r="B34" i="1" s="1"/>
  <c r="B35" i="1" s="1"/>
  <c r="B28" i="1"/>
  <c r="B29" i="1" s="1"/>
  <c r="B30" i="1" s="1"/>
  <c r="B31" i="1" s="1"/>
  <c r="B24" i="1"/>
  <c r="B25" i="1" s="1"/>
  <c r="B26" i="1" s="1"/>
  <c r="B27" i="1" s="1"/>
  <c r="B20" i="1"/>
  <c r="B21" i="1" s="1"/>
  <c r="B22" i="1" s="1"/>
  <c r="B23" i="1" s="1"/>
  <c r="B16" i="1"/>
  <c r="B17" i="1" s="1"/>
  <c r="B18" i="1" s="1"/>
  <c r="B19" i="1" s="1"/>
  <c r="B12" i="1"/>
  <c r="B13" i="1" s="1"/>
  <c r="B14" i="1" s="1"/>
  <c r="B15" i="1" s="1"/>
  <c r="B8" i="1"/>
  <c r="B9" i="1" s="1"/>
  <c r="B10" i="1" s="1"/>
  <c r="B11" i="1" s="1"/>
  <c r="B4" i="1"/>
  <c r="B5" i="1" s="1"/>
  <c r="B6" i="1" s="1"/>
  <c r="B7" i="1" s="1"/>
  <c r="B2" i="1"/>
  <c r="B3" i="1" s="1"/>
  <c r="B262" i="1"/>
  <c r="B263" i="1" s="1"/>
  <c r="B264" i="1" s="1"/>
  <c r="B256" i="1"/>
  <c r="B257" i="1" s="1"/>
  <c r="B258" i="1" s="1"/>
  <c r="B259" i="1" s="1"/>
  <c r="B260" i="1" s="1"/>
  <c r="B261" i="1" s="1"/>
  <c r="K78" i="1"/>
  <c r="J74" i="1" l="1"/>
  <c r="K74" i="1"/>
  <c r="M74" i="1"/>
  <c r="O74" i="1"/>
  <c r="Q74" i="1"/>
  <c r="S74" i="1"/>
  <c r="K75" i="1"/>
  <c r="M75" i="1"/>
  <c r="O75" i="1"/>
  <c r="Q75" i="1"/>
  <c r="S75" i="1"/>
  <c r="S77" i="1"/>
  <c r="S76" i="1"/>
  <c r="Q77" i="1"/>
  <c r="Q76" i="1"/>
  <c r="O77" i="1"/>
  <c r="O76" i="1"/>
  <c r="M77" i="1"/>
  <c r="M76" i="1"/>
  <c r="S61" i="1"/>
  <c r="S60" i="1"/>
  <c r="Q61" i="1"/>
  <c r="Q60" i="1"/>
  <c r="O61" i="1"/>
  <c r="O60" i="1"/>
  <c r="M61" i="1"/>
  <c r="M60" i="1"/>
  <c r="S57" i="1"/>
  <c r="S56" i="1"/>
  <c r="Q57" i="1"/>
  <c r="Q56" i="1"/>
  <c r="O57" i="1"/>
  <c r="O56" i="1"/>
  <c r="M57" i="1"/>
  <c r="M56" i="1"/>
  <c r="S51" i="1"/>
  <c r="S50" i="1"/>
  <c r="Q51" i="1"/>
  <c r="Q50" i="1"/>
  <c r="O51" i="1"/>
  <c r="O50" i="1"/>
  <c r="M51" i="1"/>
  <c r="M50" i="1"/>
  <c r="S45" i="1"/>
  <c r="S44" i="1"/>
  <c r="Q45" i="1"/>
  <c r="Q44" i="1"/>
  <c r="O45" i="1"/>
  <c r="O44" i="1"/>
  <c r="M45" i="1"/>
  <c r="M44" i="1"/>
  <c r="S41" i="1"/>
  <c r="S40" i="1"/>
  <c r="Q41" i="1"/>
  <c r="Q40" i="1"/>
  <c r="S37" i="1"/>
  <c r="S36" i="1"/>
  <c r="Q37" i="1"/>
  <c r="Q36" i="1"/>
  <c r="O41" i="1"/>
  <c r="O40" i="1"/>
  <c r="M41" i="1"/>
  <c r="M40" i="1"/>
  <c r="O37" i="1"/>
  <c r="O36" i="1"/>
  <c r="M37" i="1"/>
  <c r="M36" i="1"/>
  <c r="S33" i="1"/>
  <c r="S32" i="1"/>
  <c r="Q33" i="1"/>
  <c r="Q32" i="1"/>
  <c r="O33" i="1"/>
  <c r="O32" i="1"/>
  <c r="M33" i="1"/>
  <c r="M32" i="1"/>
  <c r="S29" i="1"/>
  <c r="S28" i="1"/>
  <c r="Q29" i="1"/>
  <c r="Q28" i="1"/>
  <c r="O29" i="1"/>
  <c r="O28" i="1"/>
  <c r="M29" i="1"/>
  <c r="M28" i="1"/>
  <c r="S25" i="1"/>
  <c r="S24" i="1"/>
  <c r="Q25" i="1"/>
  <c r="Q24" i="1"/>
  <c r="O25" i="1"/>
  <c r="O24" i="1"/>
  <c r="M25" i="1"/>
  <c r="M24" i="1"/>
  <c r="S22" i="1"/>
  <c r="S21" i="1"/>
  <c r="Q22" i="1"/>
  <c r="Q21" i="1"/>
  <c r="O22" i="1"/>
  <c r="O21" i="1"/>
  <c r="M22" i="1"/>
  <c r="M21" i="1"/>
  <c r="S17" i="1"/>
  <c r="S16" i="1"/>
  <c r="Q17" i="1"/>
  <c r="Q16" i="1"/>
  <c r="O17" i="1"/>
  <c r="O16" i="1"/>
  <c r="M17" i="1"/>
  <c r="M16" i="1"/>
  <c r="S13" i="1"/>
  <c r="S12" i="1"/>
  <c r="S9" i="1"/>
  <c r="S8" i="1"/>
  <c r="Q13" i="1"/>
  <c r="Q12" i="1"/>
  <c r="Q9" i="1"/>
  <c r="Q8" i="1"/>
  <c r="O13" i="1"/>
  <c r="O12" i="1"/>
  <c r="M13" i="1"/>
  <c r="M12" i="1"/>
  <c r="O9" i="1"/>
  <c r="O8" i="1"/>
  <c r="M9" i="1"/>
  <c r="M8" i="1"/>
  <c r="S5" i="1"/>
  <c r="S6" i="1"/>
  <c r="S7" i="1"/>
  <c r="Q5" i="1"/>
  <c r="Q6" i="1"/>
  <c r="Q7" i="1"/>
  <c r="O5" i="1"/>
  <c r="O6" i="1"/>
  <c r="O7" i="1"/>
  <c r="M5" i="1"/>
  <c r="M6" i="1"/>
  <c r="M7" i="1"/>
  <c r="K50" i="1"/>
  <c r="K51" i="1"/>
  <c r="J50" i="1"/>
  <c r="J48" i="1"/>
  <c r="J54" i="1"/>
  <c r="J64" i="1"/>
  <c r="J68" i="1"/>
  <c r="J70" i="1"/>
  <c r="J72" i="1"/>
  <c r="J80" i="1"/>
  <c r="J8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6" i="1"/>
  <c r="K77" i="1"/>
  <c r="K79" i="1"/>
  <c r="K80" i="1"/>
  <c r="K81" i="1"/>
  <c r="K82" i="1"/>
  <c r="K83" i="1"/>
  <c r="K84" i="1"/>
  <c r="K85" i="1"/>
  <c r="K4" i="1"/>
  <c r="A2" i="1" l="1"/>
  <c r="S264" i="1" l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89" i="1"/>
  <c r="S88" i="1"/>
  <c r="S87" i="1"/>
  <c r="S86" i="1"/>
  <c r="S85" i="1"/>
  <c r="S84" i="1"/>
  <c r="S83" i="1"/>
  <c r="S82" i="1"/>
  <c r="S81" i="1"/>
  <c r="S80" i="1"/>
  <c r="S79" i="1"/>
  <c r="S78" i="1"/>
  <c r="S73" i="1"/>
  <c r="S72" i="1"/>
  <c r="S71" i="1"/>
  <c r="S70" i="1"/>
  <c r="S69" i="1"/>
  <c r="S68" i="1"/>
  <c r="S67" i="1"/>
  <c r="S66" i="1"/>
  <c r="S65" i="1"/>
  <c r="S64" i="1"/>
  <c r="S63" i="1"/>
  <c r="S62" i="1"/>
  <c r="S59" i="1"/>
  <c r="S58" i="1"/>
  <c r="S55" i="1"/>
  <c r="S54" i="1"/>
  <c r="S53" i="1"/>
  <c r="S52" i="1"/>
  <c r="S49" i="1"/>
  <c r="S48" i="1"/>
  <c r="S47" i="1"/>
  <c r="S46" i="1"/>
  <c r="S43" i="1"/>
  <c r="S42" i="1"/>
  <c r="S39" i="1"/>
  <c r="S38" i="1"/>
  <c r="S35" i="1"/>
  <c r="S34" i="1"/>
  <c r="S31" i="1"/>
  <c r="S30" i="1"/>
  <c r="S27" i="1"/>
  <c r="S26" i="1"/>
  <c r="S23" i="1"/>
  <c r="S20" i="1"/>
  <c r="S19" i="1"/>
  <c r="S18" i="1"/>
  <c r="S15" i="1"/>
  <c r="S14" i="1"/>
  <c r="S11" i="1"/>
  <c r="S10" i="1"/>
  <c r="S4" i="1"/>
  <c r="S3" i="1"/>
  <c r="S2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89" i="1"/>
  <c r="Q88" i="1"/>
  <c r="Q87" i="1"/>
  <c r="Q86" i="1"/>
  <c r="Q85" i="1"/>
  <c r="Q84" i="1"/>
  <c r="Q83" i="1"/>
  <c r="Q82" i="1"/>
  <c r="Q81" i="1"/>
  <c r="Q80" i="1"/>
  <c r="Q79" i="1"/>
  <c r="Q78" i="1"/>
  <c r="Q73" i="1"/>
  <c r="Q72" i="1"/>
  <c r="Q71" i="1"/>
  <c r="Q70" i="1"/>
  <c r="Q69" i="1"/>
  <c r="Q68" i="1"/>
  <c r="Q67" i="1"/>
  <c r="Q66" i="1"/>
  <c r="Q65" i="1"/>
  <c r="Q64" i="1"/>
  <c r="Q63" i="1"/>
  <c r="Q62" i="1"/>
  <c r="Q59" i="1"/>
  <c r="Q58" i="1"/>
  <c r="Q55" i="1"/>
  <c r="Q54" i="1"/>
  <c r="Q53" i="1"/>
  <c r="Q52" i="1"/>
  <c r="Q49" i="1"/>
  <c r="Q48" i="1"/>
  <c r="Q47" i="1"/>
  <c r="Q46" i="1"/>
  <c r="Q43" i="1"/>
  <c r="Q42" i="1"/>
  <c r="Q39" i="1"/>
  <c r="Q38" i="1"/>
  <c r="Q35" i="1"/>
  <c r="Q34" i="1"/>
  <c r="Q31" i="1"/>
  <c r="Q30" i="1"/>
  <c r="Q27" i="1"/>
  <c r="Q26" i="1"/>
  <c r="Q23" i="1"/>
  <c r="Q20" i="1"/>
  <c r="Q19" i="1"/>
  <c r="Q18" i="1"/>
  <c r="Q15" i="1"/>
  <c r="Q14" i="1"/>
  <c r="Q11" i="1"/>
  <c r="Q10" i="1"/>
  <c r="Q4" i="1"/>
  <c r="Q3" i="1"/>
  <c r="Q2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89" i="1"/>
  <c r="M88" i="1"/>
  <c r="M87" i="1"/>
  <c r="M86" i="1"/>
  <c r="M85" i="1"/>
  <c r="M84" i="1"/>
  <c r="M83" i="1"/>
  <c r="M82" i="1"/>
  <c r="M81" i="1"/>
  <c r="M80" i="1"/>
  <c r="M79" i="1"/>
  <c r="M78" i="1"/>
  <c r="M73" i="1"/>
  <c r="M72" i="1"/>
  <c r="M71" i="1"/>
  <c r="M70" i="1"/>
  <c r="M69" i="1"/>
  <c r="M68" i="1"/>
  <c r="M67" i="1"/>
  <c r="M66" i="1"/>
  <c r="M65" i="1"/>
  <c r="M64" i="1"/>
  <c r="M63" i="1"/>
  <c r="M62" i="1"/>
  <c r="M59" i="1"/>
  <c r="M58" i="1"/>
  <c r="M55" i="1"/>
  <c r="M54" i="1"/>
  <c r="M53" i="1"/>
  <c r="M52" i="1"/>
  <c r="M49" i="1"/>
  <c r="M48" i="1"/>
  <c r="M47" i="1"/>
  <c r="M46" i="1"/>
  <c r="M43" i="1"/>
  <c r="M42" i="1"/>
  <c r="M39" i="1"/>
  <c r="M38" i="1"/>
  <c r="M35" i="1"/>
  <c r="M34" i="1"/>
  <c r="M31" i="1"/>
  <c r="M30" i="1"/>
  <c r="M27" i="1"/>
  <c r="M26" i="1"/>
  <c r="M23" i="1"/>
  <c r="M20" i="1"/>
  <c r="M19" i="1"/>
  <c r="M18" i="1"/>
  <c r="M15" i="1"/>
  <c r="M14" i="1"/>
  <c r="M11" i="1"/>
  <c r="M10" i="1"/>
  <c r="M4" i="1"/>
  <c r="M3" i="1"/>
  <c r="M2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89" i="1"/>
  <c r="O88" i="1"/>
  <c r="O87" i="1"/>
  <c r="O86" i="1"/>
  <c r="O85" i="1"/>
  <c r="O84" i="1"/>
  <c r="O83" i="1"/>
  <c r="O82" i="1"/>
  <c r="O81" i="1"/>
  <c r="O80" i="1"/>
  <c r="O79" i="1"/>
  <c r="O78" i="1"/>
  <c r="O73" i="1"/>
  <c r="O72" i="1"/>
  <c r="O71" i="1"/>
  <c r="O70" i="1"/>
  <c r="O69" i="1"/>
  <c r="O68" i="1"/>
  <c r="O67" i="1"/>
  <c r="O66" i="1"/>
  <c r="O65" i="1"/>
  <c r="O64" i="1"/>
  <c r="O63" i="1"/>
  <c r="O62" i="1"/>
  <c r="O59" i="1"/>
  <c r="O58" i="1"/>
  <c r="O55" i="1"/>
  <c r="O54" i="1"/>
  <c r="O53" i="1"/>
  <c r="O52" i="1"/>
  <c r="O49" i="1"/>
  <c r="O48" i="1"/>
  <c r="O47" i="1"/>
  <c r="O46" i="1"/>
  <c r="O43" i="1"/>
  <c r="O42" i="1"/>
  <c r="O39" i="1"/>
  <c r="O38" i="1"/>
  <c r="O35" i="1"/>
  <c r="O34" i="1"/>
  <c r="O31" i="1"/>
  <c r="O30" i="1"/>
  <c r="O27" i="1"/>
  <c r="O26" i="1"/>
  <c r="O23" i="1"/>
  <c r="O20" i="1"/>
  <c r="O19" i="1"/>
  <c r="O18" i="1"/>
  <c r="O15" i="1"/>
  <c r="O14" i="1"/>
  <c r="O11" i="1"/>
  <c r="O10" i="1"/>
  <c r="O4" i="1"/>
  <c r="O3" i="1"/>
  <c r="O2" i="1"/>
</calcChain>
</file>

<file path=xl/comments1.xml><?xml version="1.0" encoding="utf-8"?>
<comments xmlns="http://schemas.openxmlformats.org/spreadsheetml/2006/main">
  <authors>
    <author>Al-Sammak, Said</author>
  </authors>
  <commentList>
    <comment ref="AF4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1ZJJ114HHWH</t>
        </r>
      </text>
    </comment>
    <comment ref="AF5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1ZJJ114HHWH</t>
        </r>
      </text>
    </comment>
    <comment ref="AF22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1ZJDM1296TC</t>
        </r>
      </text>
    </comment>
    <comment ref="AF52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1ZHXC07L1CY</t>
        </r>
      </text>
    </comment>
  </commentList>
</comments>
</file>

<file path=xl/sharedStrings.xml><?xml version="1.0" encoding="utf-8"?>
<sst xmlns="http://schemas.openxmlformats.org/spreadsheetml/2006/main" count="3200" uniqueCount="681">
  <si>
    <t>Owners</t>
  </si>
  <si>
    <t>Operation Team</t>
  </si>
  <si>
    <t>Status</t>
  </si>
  <si>
    <t>City</t>
  </si>
  <si>
    <t>Country</t>
  </si>
  <si>
    <t>Operational</t>
  </si>
  <si>
    <t>GVV-Concord-WP</t>
  </si>
  <si>
    <t>Toronto</t>
  </si>
  <si>
    <t>Canada</t>
  </si>
  <si>
    <t>WP</t>
  </si>
  <si>
    <t>Power supply type</t>
  </si>
  <si>
    <t># of DUT</t>
  </si>
  <si>
    <t xml:space="preserve">Input Voltage </t>
  </si>
  <si>
    <t>number of Phase</t>
  </si>
  <si>
    <t>Variable</t>
  </si>
  <si>
    <t>eWP Primary</t>
  </si>
  <si>
    <t>eWP Med Aux</t>
  </si>
  <si>
    <t>Location</t>
  </si>
  <si>
    <t>ECH-09</t>
  </si>
  <si>
    <t>Pressure Transducer Inlet</t>
  </si>
  <si>
    <t>Pressure Transducer Outlet</t>
  </si>
  <si>
    <t>Channel</t>
  </si>
  <si>
    <t>CCT1</t>
  </si>
  <si>
    <t>CCT2</t>
  </si>
  <si>
    <t>CCT3</t>
  </si>
  <si>
    <t>CCT4</t>
  </si>
  <si>
    <t>48V Power supply</t>
  </si>
  <si>
    <t>12 V Power supply</t>
  </si>
  <si>
    <t>120 AC</t>
  </si>
  <si>
    <t>Control Type LIN</t>
  </si>
  <si>
    <t>Control Type PWM</t>
  </si>
  <si>
    <t>CCT5</t>
  </si>
  <si>
    <t>CCT6</t>
  </si>
  <si>
    <t>CCT7</t>
  </si>
  <si>
    <t>CCT8</t>
  </si>
  <si>
    <t>CCT9</t>
  </si>
  <si>
    <t>CCT10</t>
  </si>
  <si>
    <t>eWP Primary #</t>
  </si>
  <si>
    <t>eWP Med Aux #</t>
  </si>
  <si>
    <t>eTMOP #</t>
  </si>
  <si>
    <t>eTMOP</t>
  </si>
  <si>
    <t>ETS 00</t>
  </si>
  <si>
    <t>GVV-Concord-OP</t>
  </si>
  <si>
    <t>OP</t>
  </si>
  <si>
    <t>ETS 01</t>
  </si>
  <si>
    <t>ETS 02</t>
  </si>
  <si>
    <t>ETS 03</t>
  </si>
  <si>
    <t>ETS 04</t>
  </si>
  <si>
    <t>ETS 05</t>
  </si>
  <si>
    <t>ETS 06</t>
  </si>
  <si>
    <t>ETS 07</t>
  </si>
  <si>
    <t>ETS 08</t>
  </si>
  <si>
    <t>ETS 09</t>
  </si>
  <si>
    <t>ETS 10</t>
  </si>
  <si>
    <t>ETS 11</t>
  </si>
  <si>
    <t>ETS 12</t>
  </si>
  <si>
    <t>ETS 13</t>
  </si>
  <si>
    <t>ETS 14</t>
  </si>
  <si>
    <t>ETS 15</t>
  </si>
  <si>
    <t>ETS 16</t>
  </si>
  <si>
    <t>ETS 17</t>
  </si>
  <si>
    <t>ETS 18</t>
  </si>
  <si>
    <t>ETS 19</t>
  </si>
  <si>
    <t>ETS 20</t>
  </si>
  <si>
    <t>ETS 21</t>
  </si>
  <si>
    <t>eCF #</t>
  </si>
  <si>
    <t>eCF</t>
  </si>
  <si>
    <t>Not Delivered</t>
  </si>
  <si>
    <t>In Design Stage</t>
  </si>
  <si>
    <t>In Part Procurement Stage</t>
  </si>
  <si>
    <t>In Assembling Stage</t>
  </si>
  <si>
    <t>In Programming Stage</t>
  </si>
  <si>
    <t>55 A</t>
  </si>
  <si>
    <t>110 A</t>
  </si>
  <si>
    <t>Fixed</t>
  </si>
  <si>
    <t>42 A</t>
  </si>
  <si>
    <t>Max Current 48V  per DUT</t>
  </si>
  <si>
    <t>Max Current 12V per DUT</t>
  </si>
  <si>
    <t>ECH-16</t>
  </si>
  <si>
    <t>Computer Type</t>
  </si>
  <si>
    <t>Computer Name</t>
  </si>
  <si>
    <t>Computer Model</t>
  </si>
  <si>
    <t>Teamviewer ID</t>
  </si>
  <si>
    <t>Xantrex XFR 20-60</t>
  </si>
  <si>
    <t>STTTLAB-NB01</t>
  </si>
  <si>
    <t>laptop
 (Panasonic)</t>
  </si>
  <si>
    <t>CF-52</t>
  </si>
  <si>
    <t>Computer Serial Number</t>
  </si>
  <si>
    <t>0KTSA69204</t>
  </si>
  <si>
    <t>Scraped</t>
  </si>
  <si>
    <t>Sold</t>
  </si>
  <si>
    <t>Unknown</t>
  </si>
  <si>
    <t>Storage</t>
  </si>
  <si>
    <t>208 VAC</t>
  </si>
  <si>
    <t>76 A</t>
  </si>
  <si>
    <t>PC (Mini)</t>
  </si>
  <si>
    <t>ETS-PC11</t>
  </si>
  <si>
    <t>HP ProDesk 
400</t>
  </si>
  <si>
    <t>MXL5520BTL</t>
  </si>
  <si>
    <t>12 A</t>
  </si>
  <si>
    <t xml:space="preserve">
N5764A 20-76 LXI 20-76</t>
  </si>
  <si>
    <t>Power Supply Model Number</t>
  </si>
  <si>
    <t>laptop
(lenovo)</t>
  </si>
  <si>
    <t>ETS-12</t>
  </si>
  <si>
    <t>T420</t>
  </si>
  <si>
    <t xml:space="preserve">R8-RAN1T </t>
  </si>
  <si>
    <t>PC(Mini)</t>
  </si>
  <si>
    <t>ETS13-PC08</t>
  </si>
  <si>
    <t>HP ProDesk 400</t>
  </si>
  <si>
    <t>MXL5390DHJ</t>
  </si>
  <si>
    <t>DESKTOP-G5GNPM</t>
  </si>
  <si>
    <t>MXL6493LW2</t>
  </si>
  <si>
    <t>ETS-21</t>
  </si>
  <si>
    <t>T410</t>
  </si>
  <si>
    <t xml:space="preserve">R8-3WBEY </t>
  </si>
  <si>
    <t>Number</t>
  </si>
  <si>
    <t>Under Maintenance</t>
  </si>
  <si>
    <t>APT</t>
  </si>
  <si>
    <t>115 VAC</t>
  </si>
  <si>
    <t>Agilent Technologiest
N5764A 20-76 LXI</t>
  </si>
  <si>
    <t>Kulite: 8252-8-346</t>
  </si>
  <si>
    <t>TDK-Lambda GEN 20-76</t>
  </si>
  <si>
    <t>MXL5390DH8</t>
  </si>
  <si>
    <t>HP ProDesk  400</t>
  </si>
  <si>
    <t>CF-53</t>
  </si>
  <si>
    <t>4FTSA07928</t>
  </si>
  <si>
    <t>AmeTek XG 20-76</t>
  </si>
  <si>
    <t>FPCTL0007</t>
  </si>
  <si>
    <t>4ETSA95919</t>
  </si>
  <si>
    <t>laptop (Panasonic)</t>
  </si>
  <si>
    <t>FPCTL0004</t>
  </si>
  <si>
    <t>STTDDLAB2</t>
  </si>
  <si>
    <t>1KTSA45973</t>
  </si>
  <si>
    <t>ETSPC-12</t>
  </si>
  <si>
    <t>MXL5520BSG</t>
  </si>
  <si>
    <t>Kulite: 8252-8-527</t>
  </si>
  <si>
    <t>115 VDC</t>
  </si>
  <si>
    <t>ETS-09</t>
  </si>
  <si>
    <t>MXL5390DHQ</t>
  </si>
  <si>
    <t>25 A</t>
  </si>
  <si>
    <t>Sorensen DLM 20-76</t>
  </si>
  <si>
    <t>Julabo J1</t>
  </si>
  <si>
    <t>MGA</t>
  </si>
  <si>
    <t>ECH-02</t>
  </si>
  <si>
    <t>ECH-12</t>
  </si>
  <si>
    <t>Ameteck XG20-76</t>
  </si>
  <si>
    <t>ETS-16PC</t>
  </si>
  <si>
    <t>MXL5390DHF</t>
  </si>
  <si>
    <t>Kulite: 8252-8-344/8252-8-526</t>
  </si>
  <si>
    <t>FPCTL0005</t>
  </si>
  <si>
    <t>4ETSA95884</t>
  </si>
  <si>
    <t>Julabo J2/J3</t>
  </si>
  <si>
    <t>ETS-PC02</t>
  </si>
  <si>
    <t>MXL5390DHK</t>
  </si>
  <si>
    <t>ETS-PC01</t>
  </si>
  <si>
    <t>MXL5390DHP</t>
  </si>
  <si>
    <t>ETS-PC03</t>
  </si>
  <si>
    <t>MXL5390DHM</t>
  </si>
  <si>
    <t>ETS-20</t>
  </si>
  <si>
    <t>MXL62327YZ</t>
  </si>
  <si>
    <t>ECH-B</t>
  </si>
  <si>
    <t>20 A</t>
  </si>
  <si>
    <t>84 A</t>
  </si>
  <si>
    <t>Keithley 2268-20-42</t>
  </si>
  <si>
    <t>15 A</t>
  </si>
  <si>
    <t>30 A</t>
  </si>
  <si>
    <t>M5251PC - 072017D060</t>
  </si>
  <si>
    <t>U5251- 011015D159</t>
  </si>
  <si>
    <t>M5251PC - 072017D058</t>
  </si>
  <si>
    <t>M5151- 041715D034</t>
  </si>
  <si>
    <t>M5251PC - 072017D059</t>
  </si>
  <si>
    <t>M5151- 011015D169</t>
  </si>
  <si>
    <t>M5251PC - 072017D061</t>
  </si>
  <si>
    <t>M5151- 120312D037</t>
  </si>
  <si>
    <t>NATC - WP036</t>
  </si>
  <si>
    <t>ECH-07</t>
  </si>
  <si>
    <t>ECH-17</t>
  </si>
  <si>
    <t>ECH-01</t>
  </si>
  <si>
    <t>ECH-03</t>
  </si>
  <si>
    <t>ECH-04</t>
  </si>
  <si>
    <t>ECH-05</t>
  </si>
  <si>
    <t>ECH-06</t>
  </si>
  <si>
    <t>ECH-08</t>
  </si>
  <si>
    <t>ECH-10</t>
  </si>
  <si>
    <t>ECH-11</t>
  </si>
  <si>
    <t>ECH-13</t>
  </si>
  <si>
    <t>ECH-14</t>
  </si>
  <si>
    <t>ECH-15</t>
  </si>
  <si>
    <t>ECH-18</t>
  </si>
  <si>
    <t>ECH-19</t>
  </si>
  <si>
    <t>ECH-20</t>
  </si>
  <si>
    <t>ECH-21</t>
  </si>
  <si>
    <t>ECH-22</t>
  </si>
  <si>
    <t>ECH-23</t>
  </si>
  <si>
    <t>ECH-24</t>
  </si>
  <si>
    <t>ECH-25</t>
  </si>
  <si>
    <t>ECH-26</t>
  </si>
  <si>
    <t>ECH-27</t>
  </si>
  <si>
    <t>Contamination Table</t>
  </si>
  <si>
    <t>Performance Rig 1</t>
  </si>
  <si>
    <t>ECH-C</t>
  </si>
  <si>
    <t>M5251PC- 072017D071</t>
  </si>
  <si>
    <t>M5151- 120312D014</t>
  </si>
  <si>
    <t>M5251PC- 072017D072</t>
  </si>
  <si>
    <t>M5151- 120312D059</t>
  </si>
  <si>
    <t>1050PC - 187236400</t>
  </si>
  <si>
    <t>M5151 - 120312D017</t>
  </si>
  <si>
    <t>1050PC - 187236414</t>
  </si>
  <si>
    <t>M5251 - 032417D208</t>
  </si>
  <si>
    <t>1050PC - 187236416</t>
  </si>
  <si>
    <t>M5151 - 120312D042</t>
  </si>
  <si>
    <t>NATC - WP001</t>
  </si>
  <si>
    <t>NATC - WP070</t>
  </si>
  <si>
    <t>1050PC - 177110507</t>
  </si>
  <si>
    <t>M5251 - 022217D872</t>
  </si>
  <si>
    <t>NATC - WP005</t>
  </si>
  <si>
    <t>IT Laptop</t>
  </si>
  <si>
    <t>1050PC - 187236401</t>
  </si>
  <si>
    <t>M5151 - 040612D764</t>
  </si>
  <si>
    <t>1050PC - 187236406</t>
  </si>
  <si>
    <t>M5151 - 120312D050</t>
  </si>
  <si>
    <t>NATC - WP012</t>
  </si>
  <si>
    <t>NATC - WP038</t>
  </si>
  <si>
    <t>1050PC - 187235092</t>
  </si>
  <si>
    <t>M5251 - 022217D869</t>
  </si>
  <si>
    <t>1050PC - 187235093</t>
  </si>
  <si>
    <t>M5251 - 022217D874</t>
  </si>
  <si>
    <t>NATC - WP029</t>
  </si>
  <si>
    <t>NATC - WP030</t>
  </si>
  <si>
    <t>1050PC - 177110497</t>
  </si>
  <si>
    <t>M5251 - 062316D065</t>
  </si>
  <si>
    <t>1050PC - 177110509</t>
  </si>
  <si>
    <t>M5251 - 062316D066</t>
  </si>
  <si>
    <t>NATC - WP022</t>
  </si>
  <si>
    <t>NATC - WP023</t>
  </si>
  <si>
    <t>1050PC - 177110512</t>
  </si>
  <si>
    <t>M5251 - 022217D867</t>
  </si>
  <si>
    <t>1050PC - 187235095</t>
  </si>
  <si>
    <t>M5251 - 022217D870</t>
  </si>
  <si>
    <t>NATC - WP020</t>
  </si>
  <si>
    <t>NATC - WP021</t>
  </si>
  <si>
    <t>M5251PC- 072017D055</t>
  </si>
  <si>
    <t>M5151- 040612D757</t>
  </si>
  <si>
    <t>M5251PC- 072017D056</t>
  </si>
  <si>
    <t>M5251 - 022217D879</t>
  </si>
  <si>
    <t>NATC - WP003</t>
  </si>
  <si>
    <t>NATC - WP004</t>
  </si>
  <si>
    <t>1050PC - 187235140</t>
  </si>
  <si>
    <t>M5151 - 070812D126</t>
  </si>
  <si>
    <t>1050PC - 187235141</t>
  </si>
  <si>
    <t>M5151 - 011015D160</t>
  </si>
  <si>
    <t>NATC - WP045</t>
  </si>
  <si>
    <t>NATC - WP046</t>
  </si>
  <si>
    <t>1050PC - 187236415</t>
  </si>
  <si>
    <t>M5151- 040612D769</t>
  </si>
  <si>
    <t>M5251PC - 072017D062</t>
  </si>
  <si>
    <t>M5151- 120312D065</t>
  </si>
  <si>
    <t>1050PC - 187236398</t>
  </si>
  <si>
    <t>M5151- 040612D753</t>
  </si>
  <si>
    <t>1050PC - 187236407</t>
  </si>
  <si>
    <t>M5251- 062316D072</t>
  </si>
  <si>
    <t>NATC - WP060</t>
  </si>
  <si>
    <t>NATC - WP006</t>
  </si>
  <si>
    <t>M5251PC - 072017D075</t>
  </si>
  <si>
    <t>M5151- 051815D738</t>
  </si>
  <si>
    <t>M5251PC - 072017D076</t>
  </si>
  <si>
    <t>M5151- 051815D739</t>
  </si>
  <si>
    <t>NATC - WP026</t>
  </si>
  <si>
    <t>NATC - WP027</t>
  </si>
  <si>
    <t>1050PC - 187236413</t>
  </si>
  <si>
    <t>M5151 - 120312D026</t>
  </si>
  <si>
    <t>NATC - WP078</t>
  </si>
  <si>
    <t>NATC - WP079</t>
  </si>
  <si>
    <t>1050PC - 187235123</t>
  </si>
  <si>
    <t>M5251 - 032417D205</t>
  </si>
  <si>
    <t>1050PC - 187235125</t>
  </si>
  <si>
    <t>M5151 - 041715D025</t>
  </si>
  <si>
    <t>NATC - WP007</t>
  </si>
  <si>
    <t>NATC - WP008</t>
  </si>
  <si>
    <t>1050PC - 187236417</t>
  </si>
  <si>
    <t>M5251 - 032417D203</t>
  </si>
  <si>
    <t>1050PC - 187236409</t>
  </si>
  <si>
    <t>M5251 - 032417D201</t>
  </si>
  <si>
    <t>1050PC - 187236402</t>
  </si>
  <si>
    <t>M5151 - 187236402</t>
  </si>
  <si>
    <t>1050PC - 187236410</t>
  </si>
  <si>
    <t>M5151 - 187236410</t>
  </si>
  <si>
    <t>NATC - WP017</t>
  </si>
  <si>
    <t>NATC - WP018</t>
  </si>
  <si>
    <t>M5151 - 040612D760 P1</t>
  </si>
  <si>
    <t>U5251- 1602483 P2</t>
  </si>
  <si>
    <t>M5151 - 051815D745 P3</t>
  </si>
  <si>
    <t>M5151- 051815D740 P4</t>
  </si>
  <si>
    <t>NATC - WP033</t>
  </si>
  <si>
    <t>NATC - WP034</t>
  </si>
  <si>
    <t>1050PC - 187236403</t>
  </si>
  <si>
    <t>M5151 - 120312D001</t>
  </si>
  <si>
    <t>1050PC - 187236405</t>
  </si>
  <si>
    <t>M5151 - 091212D242</t>
  </si>
  <si>
    <t>NATC - WP040</t>
  </si>
  <si>
    <t>NATC - WP041</t>
  </si>
  <si>
    <t>1050PC - 187236411</t>
  </si>
  <si>
    <t>M5151- 091212D247</t>
  </si>
  <si>
    <t>1050PC - 187236412</t>
  </si>
  <si>
    <t>M5151- 091212D244</t>
  </si>
  <si>
    <t>NATC - WP031</t>
  </si>
  <si>
    <t>NATC - WP032</t>
  </si>
  <si>
    <t>1050PC - 187313214</t>
  </si>
  <si>
    <t>M5251PG - 022217D871</t>
  </si>
  <si>
    <t>1050PC - 187313220</t>
  </si>
  <si>
    <t>M5251PG - 022217D877</t>
  </si>
  <si>
    <t>NATC - WP072</t>
  </si>
  <si>
    <t>NATC - WP073</t>
  </si>
  <si>
    <t>M5251PC - 072017D073</t>
  </si>
  <si>
    <t>M5251PC - 072017D074</t>
  </si>
  <si>
    <t>M5251PG - 022217D876</t>
  </si>
  <si>
    <t>NATC - WP074</t>
  </si>
  <si>
    <t>NATC - WP075</t>
  </si>
  <si>
    <t>U5251 - 1602629</t>
  </si>
  <si>
    <t>1050PC - 177110514</t>
  </si>
  <si>
    <t>U5251 - 1602628</t>
  </si>
  <si>
    <t>1050PC - 177110502</t>
  </si>
  <si>
    <t>M5251 - 062316D070</t>
  </si>
  <si>
    <t>1050PC - 177110508</t>
  </si>
  <si>
    <t>M5251 - 062316D077</t>
  </si>
  <si>
    <t>1050PC - 177110503</t>
  </si>
  <si>
    <t>M5251 - 062316D082</t>
  </si>
  <si>
    <t>1050PC - 177110498</t>
  </si>
  <si>
    <t>M5251 - 062316D078</t>
  </si>
  <si>
    <t>NATC - WP024</t>
  </si>
  <si>
    <t>NATC - WP025</t>
  </si>
  <si>
    <t>1050PC - 187235139</t>
  </si>
  <si>
    <t>M5251 - 032417D202</t>
  </si>
  <si>
    <t>M5251 - 032417D204</t>
  </si>
  <si>
    <t>1050PC - 187236391</t>
  </si>
  <si>
    <t>M5251 - 032417D207</t>
  </si>
  <si>
    <t>1050PC - 187236392</t>
  </si>
  <si>
    <t>M5251 - 032417D209</t>
  </si>
  <si>
    <t>NATC - WP019</t>
  </si>
  <si>
    <t>1050PC - 187235126</t>
  </si>
  <si>
    <t>M5251 - 011015D173</t>
  </si>
  <si>
    <t>1050PC - 187236419</t>
  </si>
  <si>
    <t>M5251 - 120312D019</t>
  </si>
  <si>
    <t>1050PC - 187235121</t>
  </si>
  <si>
    <t>M5251 - 091212D238</t>
  </si>
  <si>
    <t>1050PC - 187235119</t>
  </si>
  <si>
    <t>M5251 - 120312D062</t>
  </si>
  <si>
    <t>NATC - WP028</t>
  </si>
  <si>
    <t>M5251PC - 072017D064</t>
  </si>
  <si>
    <t>M5151- 101609D192</t>
  </si>
  <si>
    <t>M5251PC - 072017D067</t>
  </si>
  <si>
    <t>M5151- 040612D772</t>
  </si>
  <si>
    <t>M5251PC - 072017D065</t>
  </si>
  <si>
    <t>M5151- 091212D248</t>
  </si>
  <si>
    <t>M5251PC - 072017D063</t>
  </si>
  <si>
    <t>M5151- 120312D024</t>
  </si>
  <si>
    <t>M5251PC - 072017D069</t>
  </si>
  <si>
    <t>M5151- 120312D030</t>
  </si>
  <si>
    <t>M5251PC - 072017D066</t>
  </si>
  <si>
    <t>M5151- 120312D005</t>
  </si>
  <si>
    <t>NATC - WP066</t>
  </si>
  <si>
    <t>1050PC - 187236427</t>
  </si>
  <si>
    <t>1050PC - 177110505</t>
  </si>
  <si>
    <t>1050PC - 187236424</t>
  </si>
  <si>
    <t>1050PC - 187235081</t>
  </si>
  <si>
    <t>1050PC - 187236425</t>
  </si>
  <si>
    <t>1050PC - 187236423</t>
  </si>
  <si>
    <t>1050PC - 187236420</t>
  </si>
  <si>
    <t>1050PC - 187236422</t>
  </si>
  <si>
    <t>1050PC - 187236418</t>
  </si>
  <si>
    <t>1050PC - 187236428</t>
  </si>
  <si>
    <t>1050PC - 187236421</t>
  </si>
  <si>
    <t>1050PC - 187236426</t>
  </si>
  <si>
    <t>NATC - WP067</t>
  </si>
  <si>
    <t>1050PC - 187236397</t>
  </si>
  <si>
    <t>U5251- 1602481</t>
  </si>
  <si>
    <t>1050PC - 187236395</t>
  </si>
  <si>
    <t>U5251- 1602482</t>
  </si>
  <si>
    <t>1050PC - 187236393</t>
  </si>
  <si>
    <t>U5251- 1602480</t>
  </si>
  <si>
    <t>1050PC - 187236394</t>
  </si>
  <si>
    <t>U5251- 1602484</t>
  </si>
  <si>
    <t>1050PC - 187236396</t>
  </si>
  <si>
    <t>U5251- 1602486</t>
  </si>
  <si>
    <t>1050PC - 187236399</t>
  </si>
  <si>
    <t>U5251- 1602479</t>
  </si>
  <si>
    <t>NATC - WP071</t>
  </si>
  <si>
    <t>1050PC - 187235111</t>
  </si>
  <si>
    <t>M5151- 120312D047</t>
  </si>
  <si>
    <t>1050PC - 187235122</t>
  </si>
  <si>
    <t>U5251- 1602631</t>
  </si>
  <si>
    <t>1050PC - 187235113</t>
  </si>
  <si>
    <t>M5251- 062316D063</t>
  </si>
  <si>
    <t>1050PC - 187235127</t>
  </si>
  <si>
    <t>M5251- 062316D074</t>
  </si>
  <si>
    <t>1050PC - 187235110</t>
  </si>
  <si>
    <t>M5151- 120312D015</t>
  </si>
  <si>
    <t>1050PC - 187235117</t>
  </si>
  <si>
    <t>M5151- 051815D742</t>
  </si>
  <si>
    <t>NATC - WP058</t>
  </si>
  <si>
    <t>NA</t>
  </si>
  <si>
    <t>40 A</t>
  </si>
  <si>
    <t>Owner (Power Bi)</t>
  </si>
  <si>
    <t>DAR# (Power Bi)</t>
  </si>
  <si>
    <t>Input Voltage (Power Bi)</t>
  </si>
  <si>
    <t>Number of Phase (Power Bi)</t>
  </si>
  <si>
    <t>Status(Power Bi)</t>
  </si>
  <si>
    <t>City (Power BI)</t>
  </si>
  <si>
    <t>Location (Power Bi)</t>
  </si>
  <si>
    <t>Operation Team (Power B)</t>
  </si>
  <si>
    <t>Leneovo Laptop</t>
  </si>
  <si>
    <t>R8G5ZD0</t>
  </si>
  <si>
    <t>R8AW05H</t>
  </si>
  <si>
    <t>(T420)  4236-AQ8</t>
  </si>
  <si>
    <t>R8P23FA</t>
  </si>
  <si>
    <t>(T410) 2537-R99</t>
  </si>
  <si>
    <t>R8E9F52</t>
  </si>
  <si>
    <t>T410 2537-LD4</t>
  </si>
  <si>
    <t>R83WMGH</t>
  </si>
  <si>
    <t>R89397E</t>
  </si>
  <si>
    <t>R9WRRZ3</t>
  </si>
  <si>
    <t xml:space="preserve"> (T430S)</t>
  </si>
  <si>
    <t>PK1N9E0</t>
  </si>
  <si>
    <t>R80ZYC7</t>
  </si>
  <si>
    <t>(T410) 2516-ADU</t>
  </si>
  <si>
    <t xml:space="preserve"> (T400) 2768-GV2</t>
  </si>
  <si>
    <t>R8TTMK8</t>
  </si>
  <si>
    <t>20BE00BTUS (T540)</t>
  </si>
  <si>
    <t xml:space="preserve">R90HHSRF </t>
  </si>
  <si>
    <t xml:space="preserve">R90HHSRM </t>
  </si>
  <si>
    <t xml:space="preserve">R90HHSRE  </t>
  </si>
  <si>
    <t xml:space="preserve">R90HHSSA </t>
  </si>
  <si>
    <t xml:space="preserve">R90HHSS9 </t>
  </si>
  <si>
    <t xml:space="preserve">R90HHSRT </t>
  </si>
  <si>
    <t xml:space="preserve">R90HHSSC </t>
  </si>
  <si>
    <t xml:space="preserve">R90HHSSK </t>
  </si>
  <si>
    <t>R90HHSSJ</t>
  </si>
  <si>
    <t>T410  2537-LD4</t>
  </si>
  <si>
    <t>R82RP2E</t>
  </si>
  <si>
    <t xml:space="preserve">R90HHSRN </t>
  </si>
  <si>
    <t>R90HHSSQ</t>
  </si>
  <si>
    <t xml:space="preserve">R90HHSRD </t>
  </si>
  <si>
    <t xml:space="preserve">R90HHSSL </t>
  </si>
  <si>
    <t xml:space="preserve">R90HHSS0 </t>
  </si>
  <si>
    <t>R90HHSS2</t>
  </si>
  <si>
    <t>R9WBYAN</t>
  </si>
  <si>
    <t>R9WBYB5</t>
  </si>
  <si>
    <t>R9TPEVE</t>
  </si>
  <si>
    <t>R9WRTH6</t>
  </si>
  <si>
    <t>R9TPEPD</t>
  </si>
  <si>
    <t>R9TPETA</t>
  </si>
  <si>
    <t xml:space="preserve"> (T430S) 2356-HBU</t>
  </si>
  <si>
    <t>R9X4V3F</t>
  </si>
  <si>
    <t>R9WBYF3</t>
  </si>
  <si>
    <t xml:space="preserve"> (T430S) 2356H8U</t>
  </si>
  <si>
    <t>R9X4V64</t>
  </si>
  <si>
    <t>(T420)  4236AQ8</t>
  </si>
  <si>
    <t>R8LR4K6</t>
  </si>
  <si>
    <t>T430s (2356H8U)</t>
  </si>
  <si>
    <t>PK0V21V</t>
  </si>
  <si>
    <t>R9YWTME</t>
  </si>
  <si>
    <t>PK1NA5X</t>
  </si>
  <si>
    <t>R9YWTWH</t>
  </si>
  <si>
    <t>R9ZK5Y7</t>
  </si>
  <si>
    <t>R9WRT3H</t>
  </si>
  <si>
    <t>PK1N9FL</t>
  </si>
  <si>
    <t xml:space="preserve">R9-YWTLL </t>
  </si>
  <si>
    <t xml:space="preserve"> (T430S) 2355-HJU</t>
  </si>
  <si>
    <t xml:space="preserve">R9VDD8L </t>
  </si>
  <si>
    <t xml:space="preserve"> (T430S) 2355-AC3</t>
  </si>
  <si>
    <t>R9VY2Y4</t>
  </si>
  <si>
    <t>20FM-S15V00</t>
  </si>
  <si>
    <t>PCOCJFN1</t>
  </si>
  <si>
    <t>Not Ordered(Waiting for Approval)</t>
  </si>
  <si>
    <t>MGA Shaker</t>
  </si>
  <si>
    <t>Requirement approved and Waiting for Full CTS Approval</t>
  </si>
  <si>
    <t>PF00YY0J 14/03</t>
  </si>
  <si>
    <t>(T440) 20AQ-005TUS</t>
  </si>
  <si>
    <t>Laptop (Lenovo)</t>
  </si>
  <si>
    <t>T440 20AQ-005TUS</t>
  </si>
  <si>
    <t>PF00YWU6</t>
  </si>
  <si>
    <t>1050PC - 177110511</t>
  </si>
  <si>
    <t>M5151 - 040612D772</t>
  </si>
  <si>
    <t>M5251 - 062316D076</t>
  </si>
  <si>
    <t>NATC - WP015</t>
  </si>
  <si>
    <t>NATC - WP016</t>
  </si>
  <si>
    <t>Kulite: 7971-6A-286</t>
  </si>
  <si>
    <t>Kulite: 8379-4-281</t>
  </si>
  <si>
    <t>Kulite: 8345-1B-148</t>
  </si>
  <si>
    <t>Kulite: 8345-2-484</t>
  </si>
  <si>
    <t>Kulite: 8379-4-275</t>
  </si>
  <si>
    <t>Kulite: 8379-4-280</t>
  </si>
  <si>
    <t>Kulite: 8379-4-282</t>
  </si>
  <si>
    <t>Kulite: 8037-9-139</t>
  </si>
  <si>
    <t>Kulite: 8103-4-430</t>
  </si>
  <si>
    <t>Kulite: 8252-8-347</t>
  </si>
  <si>
    <t xml:space="preserve"> Kulite: 8345-2-232</t>
  </si>
  <si>
    <t xml:space="preserve"> Kulite: 8345-2-246</t>
  </si>
  <si>
    <t xml:space="preserve"> Kulite: 8345-2-249</t>
  </si>
  <si>
    <t xml:space="preserve"> Kulite: 8345-2-250</t>
  </si>
  <si>
    <t>Kulite: 8037-9-123</t>
  </si>
  <si>
    <t>Kulite: 8037-9-124</t>
  </si>
  <si>
    <t>Kulite: 8037-9-128</t>
  </si>
  <si>
    <t>Kulite: 8037-9-129</t>
  </si>
  <si>
    <t>Kulite: 8037-9-130</t>
  </si>
  <si>
    <t>Kulite: 8037-9-137</t>
  </si>
  <si>
    <t>Kulite: 8037-11-165</t>
  </si>
  <si>
    <t>Kulite: 8037-11-166</t>
  </si>
  <si>
    <t>Kulite: 8037-11-167</t>
  </si>
  <si>
    <t>Kulite: 7971-6A-285</t>
  </si>
  <si>
    <t>Kulite: 8037-9-132</t>
  </si>
  <si>
    <t>Kulite: 8103-4-434</t>
  </si>
  <si>
    <t>Kulite: 8252-8-528</t>
  </si>
  <si>
    <t>Kulite: 8345-2-237</t>
  </si>
  <si>
    <t>Kulite: 8037-9-127</t>
  </si>
  <si>
    <t>Kulite: 8037-9-131</t>
  </si>
  <si>
    <t>Kulite: 8037-9-133</t>
  </si>
  <si>
    <t>(T420) 4236-AQ8</t>
  </si>
  <si>
    <t>T430 -PK08XCK</t>
  </si>
  <si>
    <t>NATC - WP047</t>
  </si>
  <si>
    <t>R9VDDR2</t>
  </si>
  <si>
    <t>1050PC - 187313217</t>
  </si>
  <si>
    <t>1050PC - 187313221</t>
  </si>
  <si>
    <t>1050PC - 187313229</t>
  </si>
  <si>
    <t>1050PC - 187313210</t>
  </si>
  <si>
    <t>1050PC - 187313216</t>
  </si>
  <si>
    <t>1050PC - 187313228</t>
  </si>
  <si>
    <t>M5151 - 120312D004</t>
  </si>
  <si>
    <t>M5151 - 120312D063</t>
  </si>
  <si>
    <t>M5151 - 120312D061</t>
  </si>
  <si>
    <t>M5251 - 062316D063</t>
  </si>
  <si>
    <t>NATC - WP042</t>
  </si>
  <si>
    <t>NATC - WP043</t>
  </si>
  <si>
    <t>Lenovo Laptop</t>
  </si>
  <si>
    <t>(T410) 2537R99</t>
  </si>
  <si>
    <t>R80WYFV</t>
  </si>
  <si>
    <t>R83WGFH</t>
  </si>
  <si>
    <t>D1</t>
  </si>
  <si>
    <t>Control Type CAN</t>
  </si>
  <si>
    <t>TUV Michigan</t>
  </si>
  <si>
    <t>NATC - WP009</t>
  </si>
  <si>
    <t>NATC - WP061</t>
  </si>
  <si>
    <t>(T420)  4180-AP4</t>
  </si>
  <si>
    <t>PBKANBX</t>
  </si>
  <si>
    <t xml:space="preserve">R90HHSRK </t>
  </si>
  <si>
    <t>(T540) 20BE00BTUS</t>
  </si>
  <si>
    <t>ECH-28</t>
  </si>
  <si>
    <t>3+ Return and Earth</t>
  </si>
  <si>
    <t>120/208 AC</t>
  </si>
  <si>
    <t xml:space="preserve">3+ Return and Earth </t>
  </si>
  <si>
    <t>3+ Return and Earth/
 60A</t>
  </si>
  <si>
    <t>0</t>
  </si>
  <si>
    <t>40A</t>
  </si>
  <si>
    <t>Sci Lab</t>
  </si>
  <si>
    <t>Paragon</t>
  </si>
  <si>
    <t>M5151PG - 091212D239</t>
  </si>
  <si>
    <t>Shaker 2 (Concord)</t>
  </si>
  <si>
    <t>Shaker 1 (Concord)</t>
  </si>
  <si>
    <t>Delta Electronica (SM 66-AR-110)</t>
  </si>
  <si>
    <t>100A</t>
  </si>
  <si>
    <t>50A</t>
  </si>
  <si>
    <t>NATC - WP092</t>
  </si>
  <si>
    <t>NATC - WP093</t>
  </si>
  <si>
    <t xml:space="preserve"> Thinkpad-t450s (20BWS1A100)</t>
  </si>
  <si>
    <t>76A</t>
  </si>
  <si>
    <t>Desktop Dell</t>
  </si>
  <si>
    <t>M5251PC - 041119D050</t>
  </si>
  <si>
    <t>M5251PC - 041119D059</t>
  </si>
  <si>
    <t>M5251PC - 041119D055</t>
  </si>
  <si>
    <t>M5251PC - 041119D056</t>
  </si>
  <si>
    <t>M5151 - 051815D739</t>
  </si>
  <si>
    <t>M5151 - 011015D168</t>
  </si>
  <si>
    <t>M5151 - 101515D506</t>
  </si>
  <si>
    <t>M5151 - 071608D46</t>
  </si>
  <si>
    <t>M5251PC - 041119D063</t>
  </si>
  <si>
    <t>M5151 - 011015D161</t>
  </si>
  <si>
    <t>M5251PC - 041119D064</t>
  </si>
  <si>
    <t>M5151 - 051815D728</t>
  </si>
  <si>
    <t>M5251PC - 041119D065</t>
  </si>
  <si>
    <t>M5151 - 091212D232</t>
  </si>
  <si>
    <t>M5251PC - 041119D066</t>
  </si>
  <si>
    <t>M5151 - 011015D171</t>
  </si>
  <si>
    <t>NATC - WP084-</t>
  </si>
  <si>
    <t>PC08Z7SN</t>
  </si>
  <si>
    <t>1 469 341 319</t>
  </si>
  <si>
    <t>AMP SP20VDC1000</t>
  </si>
  <si>
    <t>AmeTek XG 20-42</t>
  </si>
  <si>
    <t>125 A</t>
  </si>
  <si>
    <t>RSP 1500-12</t>
  </si>
  <si>
    <t>2091050PC2M1102P    177110498</t>
  </si>
  <si>
    <t>M5151-000005-050PG    051815D739</t>
  </si>
  <si>
    <t>2091050PC2M1102P    187235091</t>
  </si>
  <si>
    <t>M5151-000005-050PG    011015D1568</t>
  </si>
  <si>
    <t>2091050PC2M1102P    187236428</t>
  </si>
  <si>
    <t>M5151-000005-050PG    101515D506</t>
  </si>
  <si>
    <t>2091050PC2M1102P    187235098</t>
  </si>
  <si>
    <t>M5151-000005-050PG    071608D46</t>
  </si>
  <si>
    <t>2091050PC2M1102P    187235096</t>
  </si>
  <si>
    <t>M5151-000005-050PG    040612D766</t>
  </si>
  <si>
    <t>2091050PC2M1102P    177110505</t>
  </si>
  <si>
    <t>M5151-000005-050PG    041715D034</t>
  </si>
  <si>
    <t>2091050PC2M1102P    187313209</t>
  </si>
  <si>
    <t>M5151-000005-050PG    011015D169</t>
  </si>
  <si>
    <t>2091050PC2M1102P    187235102</t>
  </si>
  <si>
    <t>M5151-000005-050PG    120312D037</t>
  </si>
  <si>
    <t>NATC-WP098</t>
  </si>
  <si>
    <t>T450s (20BX001AUS)</t>
  </si>
  <si>
    <t>M5251-000005-050PC    072017D075</t>
  </si>
  <si>
    <t>M5251-000005-050PG    022217D869</t>
  </si>
  <si>
    <t>M5251-000005-050PC    072017D062</t>
  </si>
  <si>
    <t>M5251-000005-050PG    022217D874</t>
  </si>
  <si>
    <t>M5251-000005-050PC    072017D063</t>
  </si>
  <si>
    <t>M5251-000005-050PG    022217D870</t>
  </si>
  <si>
    <t>M5251-000005-050PC    072017D076</t>
  </si>
  <si>
    <t>M5251-000005-050PG    032417D205</t>
  </si>
  <si>
    <t>M5251-000005-050PC    041119D069</t>
  </si>
  <si>
    <t>M5251-000005-050PG    022217D867</t>
  </si>
  <si>
    <t>2091050PC2M1102P    187236414</t>
  </si>
  <si>
    <t>U5251-H00015-050PG    1602479</t>
  </si>
  <si>
    <t>2091050PC2M1102P    187313228</t>
  </si>
  <si>
    <t>M5151-000005-050PG    051815D749</t>
  </si>
  <si>
    <t>2091050PC2M1102P    177110503</t>
  </si>
  <si>
    <t>M5151-000005-050PG    051815D733</t>
  </si>
  <si>
    <t>NATC-WP097</t>
  </si>
  <si>
    <t>NATC-WP099</t>
  </si>
  <si>
    <t>PC0APS3P</t>
  </si>
  <si>
    <t>RSP 1500-48</t>
  </si>
  <si>
    <t>AmeTek XG 20-84</t>
  </si>
  <si>
    <t>25A</t>
  </si>
  <si>
    <t>APM SP75VDC1500W</t>
  </si>
  <si>
    <t>PeWP 01</t>
  </si>
  <si>
    <t>PeWP 02</t>
  </si>
  <si>
    <t>PeWP 03</t>
  </si>
  <si>
    <t>PeWP 04</t>
  </si>
  <si>
    <t>PeWP 05</t>
  </si>
  <si>
    <t>dar_id</t>
  </si>
  <si>
    <t>PeWP 06</t>
  </si>
  <si>
    <t>PeWP 07</t>
  </si>
  <si>
    <t>PeWP 08</t>
  </si>
  <si>
    <t>PeWP 09</t>
  </si>
  <si>
    <t>PeWP 10</t>
  </si>
  <si>
    <t>PeWP 11</t>
  </si>
  <si>
    <t>PeWP 12</t>
  </si>
  <si>
    <t>PeWP 13</t>
  </si>
  <si>
    <t>PeWP 14</t>
  </si>
  <si>
    <t>PeWP 15</t>
  </si>
  <si>
    <t>PeWP 16</t>
  </si>
  <si>
    <t>PeWP 17</t>
  </si>
  <si>
    <t>PeWP 18</t>
  </si>
  <si>
    <t>PeWP 19</t>
  </si>
  <si>
    <t>PeWP 20</t>
  </si>
  <si>
    <t>PeWP 21</t>
  </si>
  <si>
    <t>PeWP 22</t>
  </si>
  <si>
    <t>PeWP 23</t>
  </si>
  <si>
    <t>PeWP 24</t>
  </si>
  <si>
    <t>PeWP 25</t>
  </si>
  <si>
    <t>PeWP 26</t>
  </si>
  <si>
    <t>PeWP 30</t>
  </si>
  <si>
    <t>PeWP 31</t>
  </si>
  <si>
    <t>PeWP 32</t>
  </si>
  <si>
    <t>Med Aux 01</t>
  </si>
  <si>
    <t>Med Aux 02</t>
  </si>
  <si>
    <t>Med Aux 03</t>
  </si>
  <si>
    <t>Med Aux 04</t>
  </si>
  <si>
    <t>Med Aux 05</t>
  </si>
  <si>
    <t>Med Aux 06</t>
  </si>
  <si>
    <t>Med Aux 07</t>
  </si>
  <si>
    <t>Med Aux 10</t>
  </si>
  <si>
    <t>Med Aux 20</t>
  </si>
  <si>
    <t>Med Aux 21</t>
  </si>
  <si>
    <t>Med Aux 22</t>
  </si>
  <si>
    <t>eCF Unit 01</t>
  </si>
  <si>
    <t>Mobile Test Control Unit 01 (12V-DC)</t>
  </si>
  <si>
    <t>Mobile Test Control Unit 02 (12V-DC)</t>
  </si>
  <si>
    <t>Mobile Test Control Unit 01 (48V-DC)</t>
  </si>
  <si>
    <t>CCM 01</t>
  </si>
  <si>
    <t>CCM 02</t>
  </si>
  <si>
    <t>CCM 03</t>
  </si>
  <si>
    <t>CCM 04</t>
  </si>
  <si>
    <t>CCM 05</t>
  </si>
  <si>
    <t>CCM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</si>
</sst>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8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 style="thin">
        <color theme="8"/>
      </top>
      <bottom/>
      <diagonal/>
    </border>
    <border>
      <left/>
      <right/>
      <top style="thin">
        <color theme="6"/>
      </top>
      <bottom/>
      <diagonal/>
    </border>
    <border>
      <left style="thin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0" xfId="0" applyBorder="1"/>
    <xf numFmtId="0" fontId="0" fillId="4" borderId="8" xfId="0" applyFill="1" applyBorder="1"/>
    <xf numFmtId="0" fontId="0" fillId="4" borderId="16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/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2" xfId="0" applyBorder="1" applyAlignment="1">
      <alignment vertical="top"/>
    </xf>
    <xf numFmtId="0" fontId="0" fillId="4" borderId="16" xfId="0" applyFill="1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4" borderId="24" xfId="0" applyFill="1" applyBorder="1" applyAlignment="1">
      <alignment horizontal="center" vertical="top"/>
    </xf>
    <xf numFmtId="0" fontId="0" fillId="4" borderId="15" xfId="0" applyFill="1" applyBorder="1" applyAlignment="1">
      <alignment horizontal="center"/>
    </xf>
    <xf numFmtId="0" fontId="0" fillId="0" borderId="7" xfId="0" applyBorder="1"/>
    <xf numFmtId="0" fontId="0" fillId="4" borderId="7" xfId="0" applyFill="1" applyBorder="1" applyAlignment="1">
      <alignment horizontal="center"/>
    </xf>
    <xf numFmtId="0" fontId="0" fillId="4" borderId="23" xfId="0" applyFill="1" applyBorder="1"/>
    <xf numFmtId="0" fontId="0" fillId="4" borderId="0" xfId="0" applyFill="1" applyBorder="1"/>
    <xf numFmtId="0" fontId="0" fillId="4" borderId="0" xfId="0" applyFill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3" xfId="0" applyBorder="1" applyProtection="1">
      <protection locked="0"/>
    </xf>
    <xf numFmtId="49" fontId="0" fillId="0" borderId="19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top"/>
      <protection locked="0"/>
    </xf>
    <xf numFmtId="0" fontId="0" fillId="0" borderId="2" xfId="0" applyBorder="1" applyAlignment="1" applyProtection="1">
      <alignment horizontal="center" vertical="top"/>
      <protection locked="0"/>
    </xf>
    <xf numFmtId="0" fontId="0" fillId="0" borderId="6" xfId="0" applyBorder="1" applyAlignment="1" applyProtection="1">
      <alignment vertical="top"/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4" borderId="8" xfId="0" applyFill="1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4" borderId="6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/>
      <protection locked="0"/>
    </xf>
    <xf numFmtId="49" fontId="0" fillId="0" borderId="30" xfId="0" applyNumberFormat="1" applyBorder="1" applyAlignment="1" applyProtection="1">
      <alignment horizontal="center" vertical="center"/>
      <protection locked="0"/>
    </xf>
    <xf numFmtId="49" fontId="0" fillId="0" borderId="31" xfId="0" applyNumberFormat="1" applyBorder="1" applyAlignment="1" applyProtection="1">
      <alignment horizontal="center" vertic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0" fontId="0" fillId="4" borderId="7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  <protection locked="0"/>
    </xf>
    <xf numFmtId="49" fontId="0" fillId="0" borderId="9" xfId="0" applyNumberFormat="1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4" borderId="15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0" fontId="0" fillId="3" borderId="15" xfId="0" applyFill="1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9" xfId="0" applyFill="1" applyBorder="1" applyAlignment="1" applyProtection="1">
      <alignment horizontal="center"/>
      <protection locked="0"/>
    </xf>
    <xf numFmtId="49" fontId="0" fillId="0" borderId="22" xfId="0" applyNumberFormat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4" borderId="25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22" xfId="0" applyFill="1" applyBorder="1" applyAlignment="1" applyProtection="1">
      <alignment horizontal="center"/>
      <protection locked="0"/>
    </xf>
    <xf numFmtId="49" fontId="0" fillId="0" borderId="20" xfId="0" applyNumberFormat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4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0" xfId="0" applyFill="1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 vertical="top"/>
      <protection locked="0"/>
    </xf>
    <xf numFmtId="49" fontId="0" fillId="0" borderId="19" xfId="0" applyNumberFormat="1" applyBorder="1" applyAlignment="1" applyProtection="1">
      <alignment horizontal="center" vertical="top" wrapText="1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6" xfId="0" applyFill="1" applyBorder="1" applyAlignment="1" applyProtection="1">
      <alignment horizontal="center" vertical="top"/>
      <protection locked="0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2" borderId="16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3" borderId="19" xfId="0" applyFill="1" applyBorder="1" applyAlignment="1" applyProtection="1">
      <alignment horizontal="center" vertical="top"/>
      <protection locked="0"/>
    </xf>
    <xf numFmtId="49" fontId="0" fillId="0" borderId="16" xfId="0" applyNumberFormat="1" applyBorder="1" applyAlignment="1" applyProtection="1">
      <alignment horizontal="center"/>
      <protection locked="0"/>
    </xf>
    <xf numFmtId="49" fontId="0" fillId="0" borderId="21" xfId="0" applyNumberFormat="1" applyBorder="1" applyAlignment="1" applyProtection="1">
      <alignment horizontal="center"/>
      <protection locked="0"/>
    </xf>
    <xf numFmtId="49" fontId="0" fillId="0" borderId="20" xfId="0" applyNumberFormat="1" applyBorder="1" applyAlignment="1" applyProtection="1">
      <alignment horizontal="center" vertical="top"/>
      <protection locked="0"/>
    </xf>
    <xf numFmtId="0" fontId="0" fillId="4" borderId="5" xfId="0" applyFill="1" applyBorder="1" applyAlignment="1" applyProtection="1">
      <alignment horizontal="center" vertical="top"/>
      <protection locked="0"/>
    </xf>
    <xf numFmtId="0" fontId="0" fillId="4" borderId="24" xfId="0" applyFill="1" applyBorder="1" applyAlignment="1" applyProtection="1">
      <alignment horizontal="center" vertical="top"/>
      <protection locked="0"/>
    </xf>
    <xf numFmtId="0" fontId="0" fillId="2" borderId="5" xfId="0" applyFill="1" applyBorder="1" applyAlignment="1" applyProtection="1">
      <alignment horizontal="center" vertical="top"/>
      <protection locked="0"/>
    </xf>
    <xf numFmtId="0" fontId="0" fillId="2" borderId="24" xfId="0" applyFill="1" applyBorder="1" applyAlignment="1" applyProtection="1">
      <alignment horizontal="center" vertical="top"/>
      <protection locked="0"/>
    </xf>
    <xf numFmtId="0" fontId="0" fillId="3" borderId="5" xfId="0" applyFill="1" applyBorder="1" applyAlignment="1" applyProtection="1">
      <alignment horizontal="center" vertical="top"/>
      <protection locked="0"/>
    </xf>
    <xf numFmtId="0" fontId="0" fillId="3" borderId="20" xfId="0" applyFill="1" applyBorder="1" applyAlignment="1" applyProtection="1">
      <alignment horizontal="center" vertical="top"/>
      <protection locked="0"/>
    </xf>
    <xf numFmtId="49" fontId="0" fillId="0" borderId="4" xfId="0" applyNumberFormat="1" applyFont="1" applyBorder="1" applyAlignment="1" applyProtection="1">
      <alignment horizontal="center" vertical="top"/>
      <protection locked="0"/>
    </xf>
    <xf numFmtId="49" fontId="0" fillId="0" borderId="0" xfId="0" applyNumberFormat="1" applyProtection="1">
      <protection locked="0"/>
    </xf>
    <xf numFmtId="0" fontId="0" fillId="4" borderId="17" xfId="0" applyFill="1" applyBorder="1" applyProtection="1">
      <protection locked="0"/>
    </xf>
    <xf numFmtId="0" fontId="0" fillId="4" borderId="26" xfId="0" applyFill="1" applyBorder="1" applyProtection="1">
      <protection locked="0"/>
    </xf>
    <xf numFmtId="0" fontId="0" fillId="2" borderId="17" xfId="0" applyFill="1" applyBorder="1" applyProtection="1">
      <protection locked="0"/>
    </xf>
    <xf numFmtId="0" fontId="0" fillId="2" borderId="26" xfId="0" applyFill="1" applyBorder="1" applyProtection="1">
      <protection locked="0"/>
    </xf>
    <xf numFmtId="0" fontId="0" fillId="3" borderId="17" xfId="0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0" fillId="4" borderId="8" xfId="0" applyFill="1" applyBorder="1" applyAlignment="1" applyProtection="1">
      <alignment horizontal="center" vertical="center"/>
      <protection locked="0"/>
    </xf>
    <xf numFmtId="0" fontId="0" fillId="4" borderId="10" xfId="0" applyFill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4" borderId="0" xfId="0" applyFill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left"/>
      <protection locked="0"/>
    </xf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0" fillId="0" borderId="2" xfId="0" applyFont="1" applyBorder="1" applyAlignment="1" applyProtection="1">
      <alignment horizontal="left"/>
      <protection locked="0"/>
    </xf>
    <xf numFmtId="0" fontId="0" fillId="0" borderId="4" xfId="0" applyFont="1" applyBorder="1" applyAlignment="1" applyProtection="1">
      <alignment horizontal="left"/>
      <protection locked="0"/>
    </xf>
    <xf numFmtId="0" fontId="0" fillId="0" borderId="6" xfId="0" applyFont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protection locked="0"/>
    </xf>
    <xf numFmtId="0" fontId="0" fillId="0" borderId="2" xfId="0" applyFont="1" applyBorder="1" applyProtection="1">
      <protection locked="0"/>
    </xf>
    <xf numFmtId="0" fontId="0" fillId="0" borderId="9" xfId="0" applyBorder="1" applyAlignment="1" applyProtection="1">
      <alignment horizontal="center" wrapText="1"/>
      <protection locked="0"/>
    </xf>
    <xf numFmtId="0" fontId="0" fillId="0" borderId="30" xfId="0" applyBorder="1" applyAlignment="1" applyProtection="1">
      <alignment horizontal="center" wrapText="1"/>
      <protection locked="0"/>
    </xf>
    <xf numFmtId="0" fontId="0" fillId="0" borderId="15" xfId="0" applyFont="1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1" fillId="0" borderId="29" xfId="0" applyFont="1" applyBorder="1" applyProtection="1">
      <protection locked="0"/>
    </xf>
    <xf numFmtId="0" fontId="0" fillId="0" borderId="29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0" fillId="0" borderId="4" xfId="0" applyFont="1" applyBorder="1" applyProtection="1"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2" xfId="0" applyFont="1" applyBorder="1" applyAlignment="1" applyProtection="1">
      <alignment horizontal="center" vertical="top"/>
      <protection locked="0"/>
    </xf>
    <xf numFmtId="0" fontId="0" fillId="0" borderId="2" xfId="0" applyFont="1" applyBorder="1" applyAlignment="1" applyProtection="1">
      <alignment vertical="top"/>
      <protection locked="0"/>
    </xf>
    <xf numFmtId="0" fontId="0" fillId="0" borderId="2" xfId="0" applyFont="1" applyBorder="1" applyAlignment="1" applyProtection="1">
      <alignment horizontal="center" vertical="top" wrapText="1"/>
      <protection locked="0"/>
    </xf>
    <xf numFmtId="0" fontId="0" fillId="0" borderId="4" xfId="0" applyFont="1" applyBorder="1" applyAlignment="1" applyProtection="1">
      <alignment horizontal="center" vertical="top" wrapText="1"/>
      <protection locked="0"/>
    </xf>
    <xf numFmtId="0" fontId="0" fillId="0" borderId="4" xfId="0" applyBorder="1" applyAlignment="1" applyProtection="1">
      <alignment horizontal="center" vertical="top"/>
      <protection locked="0"/>
    </xf>
    <xf numFmtId="0" fontId="0" fillId="0" borderId="7" xfId="0" applyBorder="1" applyAlignment="1" applyProtection="1">
      <alignment horizontal="center" vertical="top"/>
      <protection locked="0"/>
    </xf>
    <xf numFmtId="0" fontId="0" fillId="0" borderId="15" xfId="0" applyFont="1" applyBorder="1" applyAlignment="1" applyProtection="1">
      <alignment horizontal="center" vertical="top" wrapText="1"/>
      <protection locked="0"/>
    </xf>
    <xf numFmtId="0" fontId="0" fillId="0" borderId="15" xfId="0" applyBorder="1" applyAlignment="1" applyProtection="1">
      <alignment horizontal="center" vertical="top"/>
      <protection locked="0"/>
    </xf>
    <xf numFmtId="0" fontId="0" fillId="0" borderId="27" xfId="0" applyFont="1" applyBorder="1" applyAlignment="1" applyProtection="1">
      <alignment horizontal="center" vertical="top"/>
      <protection locked="0"/>
    </xf>
    <xf numFmtId="0" fontId="0" fillId="0" borderId="27" xfId="0" applyBorder="1" applyAlignment="1" applyProtection="1">
      <alignment horizontal="center" vertical="top"/>
      <protection locked="0"/>
    </xf>
    <xf numFmtId="0" fontId="0" fillId="0" borderId="27" xfId="0" applyFont="1" applyBorder="1" applyAlignment="1" applyProtection="1">
      <alignment horizontal="center" vertical="top" wrapText="1"/>
      <protection locked="0"/>
    </xf>
    <xf numFmtId="0" fontId="0" fillId="0" borderId="27" xfId="0" applyBorder="1" applyAlignment="1" applyProtection="1">
      <alignment horizontal="center"/>
      <protection locked="0"/>
    </xf>
    <xf numFmtId="0" fontId="1" fillId="0" borderId="27" xfId="0" applyFont="1" applyBorder="1" applyAlignment="1" applyProtection="1">
      <alignment horizontal="center" vertical="top"/>
      <protection locked="0"/>
    </xf>
    <xf numFmtId="0" fontId="0" fillId="0" borderId="7" xfId="0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4" borderId="0" xfId="0" applyFill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4" fillId="0" borderId="4" xfId="0" applyFont="1" applyFill="1" applyBorder="1" applyAlignment="1" applyProtection="1">
      <alignment vertical="center"/>
      <protection locked="0"/>
    </xf>
    <xf numFmtId="0" fontId="1" fillId="0" borderId="4" xfId="0" applyFont="1" applyFill="1" applyBorder="1" applyProtection="1">
      <protection locked="0"/>
    </xf>
    <xf numFmtId="0" fontId="1" fillId="0" borderId="4" xfId="0" applyFont="1" applyFill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center"/>
    </xf>
    <xf numFmtId="0" fontId="7" fillId="0" borderId="2" xfId="0" applyFont="1" applyBorder="1" applyAlignment="1" applyProtection="1">
      <alignment horizontal="left"/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7" fillId="0" borderId="15" xfId="0" applyFont="1" applyBorder="1" applyAlignment="1" applyProtection="1">
      <alignment horizontal="left"/>
      <protection locked="0"/>
    </xf>
    <xf numFmtId="0" fontId="7" fillId="0" borderId="29" xfId="0" applyFont="1" applyBorder="1" applyProtection="1">
      <protection locked="0"/>
    </xf>
    <xf numFmtId="0" fontId="7" fillId="0" borderId="4" xfId="0" applyFont="1" applyBorder="1" applyProtection="1">
      <protection locked="0"/>
    </xf>
    <xf numFmtId="0" fontId="7" fillId="0" borderId="15" xfId="0" applyFont="1" applyBorder="1" applyProtection="1">
      <protection locked="0"/>
    </xf>
    <xf numFmtId="0" fontId="7" fillId="0" borderId="6" xfId="0" applyFont="1" applyBorder="1" applyAlignment="1" applyProtection="1">
      <alignment horizontal="left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4" borderId="14" xfId="0" applyFill="1" applyBorder="1" applyAlignment="1" applyProtection="1">
      <alignment horizontal="center"/>
      <protection locked="0"/>
    </xf>
    <xf numFmtId="0" fontId="1" fillId="0" borderId="43" xfId="0" applyFont="1" applyBorder="1" applyAlignment="1">
      <alignment horizontal="left"/>
    </xf>
    <xf numFmtId="0" fontId="0" fillId="0" borderId="43" xfId="0" applyFont="1" applyBorder="1"/>
    <xf numFmtId="0" fontId="0" fillId="0" borderId="44" xfId="0" applyFont="1" applyBorder="1"/>
    <xf numFmtId="0" fontId="0" fillId="0" borderId="4" xfId="0" applyFont="1" applyBorder="1"/>
    <xf numFmtId="0" fontId="0" fillId="0" borderId="44" xfId="0" applyFont="1" applyBorder="1" applyAlignment="1">
      <alignment horizontal="center" vertical="center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49" fontId="0" fillId="0" borderId="45" xfId="0" applyNumberFormat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5" borderId="8" xfId="0" applyFill="1" applyBorder="1" applyProtection="1">
      <protection locked="0"/>
    </xf>
    <xf numFmtId="49" fontId="0" fillId="5" borderId="18" xfId="0" applyNumberFormat="1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6" borderId="8" xfId="0" applyFill="1" applyBorder="1" applyAlignment="1" applyProtection="1">
      <alignment horizontal="center" vertical="center"/>
      <protection locked="0"/>
    </xf>
    <xf numFmtId="0" fontId="0" fillId="6" borderId="8" xfId="0" applyFill="1" applyBorder="1" applyProtection="1">
      <protection locked="0"/>
    </xf>
    <xf numFmtId="0" fontId="0" fillId="6" borderId="8" xfId="0" applyFill="1" applyBorder="1" applyAlignment="1" applyProtection="1">
      <alignment horizontal="center"/>
      <protection locked="0"/>
    </xf>
    <xf numFmtId="0" fontId="0" fillId="7" borderId="10" xfId="0" applyFill="1" applyBorder="1" applyAlignment="1">
      <alignment horizontal="center" vertical="center"/>
    </xf>
    <xf numFmtId="0" fontId="0" fillId="7" borderId="2" xfId="0" applyFill="1" applyBorder="1" applyProtection="1">
      <protection locked="0"/>
    </xf>
    <xf numFmtId="0" fontId="0" fillId="7" borderId="2" xfId="0" applyFill="1" applyBorder="1" applyAlignment="1" applyProtection="1">
      <alignment horizontal="center"/>
      <protection locked="0"/>
    </xf>
    <xf numFmtId="49" fontId="0" fillId="7" borderId="9" xfId="0" applyNumberFormat="1" applyFill="1" applyBorder="1" applyAlignment="1" applyProtection="1">
      <alignment horizontal="center" vertical="center" wrapText="1"/>
      <protection locked="0"/>
    </xf>
    <xf numFmtId="49" fontId="0" fillId="7" borderId="9" xfId="0" applyNumberFormat="1" applyFill="1" applyBorder="1" applyAlignment="1" applyProtection="1">
      <alignment horizontal="center" vertical="center"/>
      <protection locked="0"/>
    </xf>
    <xf numFmtId="49" fontId="0" fillId="7" borderId="2" xfId="0" applyNumberFormat="1" applyFill="1" applyBorder="1" applyAlignment="1" applyProtection="1">
      <alignment horizontal="center"/>
      <protection locked="0"/>
    </xf>
    <xf numFmtId="0" fontId="0" fillId="7" borderId="2" xfId="0" applyFill="1" applyBorder="1" applyAlignment="1">
      <alignment horizontal="center"/>
    </xf>
    <xf numFmtId="0" fontId="0" fillId="7" borderId="10" xfId="0" applyFill="1" applyBorder="1" applyAlignment="1" applyProtection="1">
      <alignment horizontal="center" vertical="center"/>
      <protection locked="0"/>
    </xf>
    <xf numFmtId="0" fontId="0" fillId="7" borderId="7" xfId="0" applyFill="1" applyBorder="1" applyAlignment="1" applyProtection="1">
      <alignment horizontal="center"/>
      <protection locked="0"/>
    </xf>
    <xf numFmtId="0" fontId="2" fillId="7" borderId="4" xfId="0" applyFont="1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7" borderId="9" xfId="0" applyFill="1" applyBorder="1" applyAlignment="1" applyProtection="1">
      <alignment horizontal="center"/>
      <protection locked="0"/>
    </xf>
    <xf numFmtId="0" fontId="0" fillId="7" borderId="2" xfId="0" applyFill="1" applyBorder="1"/>
    <xf numFmtId="0" fontId="0" fillId="7" borderId="0" xfId="0" applyFill="1" applyBorder="1" applyAlignment="1">
      <alignment horizontal="center" vertical="center"/>
    </xf>
    <xf numFmtId="0" fontId="0" fillId="7" borderId="4" xfId="0" applyFill="1" applyBorder="1" applyProtection="1"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30" xfId="0" applyFill="1" applyBorder="1" applyAlignment="1" applyProtection="1">
      <alignment horizontal="center" vertical="center" wrapText="1"/>
      <protection locked="0"/>
    </xf>
    <xf numFmtId="0" fontId="0" fillId="7" borderId="30" xfId="0" applyFill="1" applyBorder="1" applyAlignment="1" applyProtection="1">
      <alignment horizontal="center" vertical="center"/>
      <protection locked="0"/>
    </xf>
    <xf numFmtId="49" fontId="0" fillId="7" borderId="4" xfId="0" applyNumberFormat="1" applyFill="1" applyBorder="1" applyAlignment="1" applyProtection="1">
      <alignment horizontal="center"/>
      <protection locked="0"/>
    </xf>
    <xf numFmtId="0" fontId="0" fillId="7" borderId="4" xfId="0" applyFill="1" applyBorder="1" applyAlignment="1">
      <alignment horizontal="center"/>
    </xf>
    <xf numFmtId="0" fontId="0" fillId="7" borderId="0" xfId="0" applyFill="1" applyBorder="1" applyAlignment="1" applyProtection="1">
      <alignment horizontal="center" vertical="center"/>
      <protection locked="0"/>
    </xf>
    <xf numFmtId="0" fontId="0" fillId="7" borderId="4" xfId="0" applyFill="1" applyBorder="1"/>
    <xf numFmtId="0" fontId="0" fillId="7" borderId="30" xfId="0" applyFill="1" applyBorder="1" applyAlignment="1" applyProtection="1">
      <alignment horizontal="center"/>
      <protection locked="0"/>
    </xf>
    <xf numFmtId="0" fontId="0" fillId="7" borderId="2" xfId="0" applyFill="1" applyBorder="1" applyAlignment="1" applyProtection="1">
      <alignment horizontal="left"/>
      <protection locked="0"/>
    </xf>
    <xf numFmtId="0" fontId="0" fillId="7" borderId="4" xfId="0" applyFill="1" applyBorder="1" applyAlignment="1" applyProtection="1">
      <alignment horizontal="left"/>
      <protection locked="0"/>
    </xf>
    <xf numFmtId="0" fontId="0" fillId="8" borderId="8" xfId="0" applyFill="1" applyBorder="1" applyProtection="1">
      <protection locked="0"/>
    </xf>
    <xf numFmtId="0" fontId="0" fillId="8" borderId="8" xfId="0" applyNumberFormat="1" applyFill="1" applyBorder="1" applyAlignment="1" applyProtection="1">
      <alignment horizontal="center" vertical="center"/>
      <protection locked="0"/>
    </xf>
    <xf numFmtId="0" fontId="9" fillId="0" borderId="0" xfId="0" applyFont="1"/>
    <xf numFmtId="0" fontId="0" fillId="0" borderId="0" xfId="0" applyFill="1" applyBorder="1"/>
    <xf numFmtId="0" fontId="0" fillId="0" borderId="9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0" fontId="0" fillId="0" borderId="37" xfId="0" applyNumberFormat="1" applyBorder="1" applyAlignment="1" applyProtection="1">
      <alignment horizontal="center" vertical="center"/>
      <protection locked="0"/>
    </xf>
    <xf numFmtId="0" fontId="0" fillId="0" borderId="38" xfId="0" applyNumberFormat="1" applyBorder="1" applyAlignment="1" applyProtection="1">
      <alignment horizontal="center" vertical="center"/>
      <protection locked="0"/>
    </xf>
    <xf numFmtId="0" fontId="0" fillId="0" borderId="39" xfId="0" applyNumberFormat="1" applyBorder="1" applyAlignment="1" applyProtection="1">
      <alignment horizontal="center" vertical="center"/>
      <protection locked="0"/>
    </xf>
    <xf numFmtId="0" fontId="0" fillId="4" borderId="23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49" fontId="0" fillId="0" borderId="9" xfId="0" applyNumberFormat="1" applyBorder="1" applyAlignment="1" applyProtection="1">
      <alignment horizontal="center" vertical="center"/>
      <protection locked="0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 wrapText="1"/>
      <protection locked="0"/>
    </xf>
    <xf numFmtId="0" fontId="0" fillId="4" borderId="8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9" xfId="0" applyNumberFormat="1" applyFill="1" applyBorder="1" applyAlignment="1" applyProtection="1">
      <alignment horizontal="center" vertical="center"/>
      <protection locked="0"/>
    </xf>
    <xf numFmtId="0" fontId="0" fillId="0" borderId="31" xfId="0" applyNumberFormat="1" applyFill="1" applyBorder="1" applyAlignment="1" applyProtection="1">
      <alignment horizontal="center" vertical="center"/>
      <protection locked="0"/>
    </xf>
    <xf numFmtId="0" fontId="0" fillId="0" borderId="9" xfId="0" applyNumberFormat="1" applyBorder="1" applyAlignment="1" applyProtection="1">
      <alignment horizontal="center" vertical="center"/>
      <protection locked="0"/>
    </xf>
    <xf numFmtId="0" fontId="0" fillId="0" borderId="30" xfId="0" applyNumberFormat="1" applyBorder="1" applyAlignment="1" applyProtection="1">
      <alignment horizontal="center" vertical="center"/>
      <protection locked="0"/>
    </xf>
    <xf numFmtId="0" fontId="0" fillId="0" borderId="31" xfId="0" applyNumberFormat="1" applyBorder="1" applyAlignment="1" applyProtection="1">
      <alignment horizontal="center" vertical="center"/>
      <protection locked="0"/>
    </xf>
    <xf numFmtId="0" fontId="0" fillId="0" borderId="9" xfId="0" applyNumberFormat="1" applyBorder="1" applyAlignment="1" applyProtection="1">
      <alignment horizontal="center" vertical="center" wrapText="1"/>
      <protection locked="0"/>
    </xf>
    <xf numFmtId="0" fontId="0" fillId="0" borderId="30" xfId="0" applyNumberFormat="1" applyBorder="1" applyAlignment="1" applyProtection="1">
      <alignment horizontal="center" vertical="center" wrapText="1"/>
      <protection locked="0"/>
    </xf>
    <xf numFmtId="0" fontId="0" fillId="0" borderId="31" xfId="0" applyNumberFormat="1" applyBorder="1" applyAlignment="1" applyProtection="1">
      <alignment horizontal="center" vertical="center" wrapText="1"/>
      <protection locked="0"/>
    </xf>
    <xf numFmtId="49" fontId="0" fillId="6" borderId="18" xfId="0" applyNumberFormat="1" applyFill="1" applyBorder="1" applyAlignment="1" applyProtection="1">
      <alignment horizontal="center" vertical="center"/>
      <protection locked="0"/>
    </xf>
    <xf numFmtId="49" fontId="0" fillId="6" borderId="18" xfId="0" applyNumberFormat="1" applyFill="1" applyBorder="1" applyProtection="1">
      <protection locked="0"/>
    </xf>
    <xf numFmtId="0" fontId="0" fillId="5" borderId="23" xfId="0" applyFill="1" applyBorder="1" applyAlignment="1" applyProtection="1">
      <alignment horizontal="center" vertical="center"/>
      <protection locked="0"/>
    </xf>
    <xf numFmtId="0" fontId="0" fillId="5" borderId="8" xfId="0" applyFill="1" applyBorder="1" applyAlignment="1" applyProtection="1">
      <alignment horizontal="center" vertical="center"/>
      <protection locked="0"/>
    </xf>
    <xf numFmtId="0" fontId="0" fillId="6" borderId="8" xfId="0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4">
    <dxf>
      <font>
        <b/>
        <i val="0"/>
        <strike val="0"/>
        <color rgb="FFC00000"/>
      </font>
    </dxf>
    <dxf>
      <font>
        <b/>
        <i val="0"/>
        <strike val="0"/>
        <color rgb="FFC00000"/>
      </font>
    </dxf>
    <dxf>
      <font>
        <b/>
        <i val="0"/>
        <strike val="0"/>
        <color rgb="FFC00000"/>
      </font>
    </dxf>
    <dxf>
      <font>
        <b/>
        <i val="0"/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D310"/>
  <sheetViews>
    <sheetView tabSelected="1" zoomScale="85" zoomScaleNormal="85" workbookViewId="0">
      <pane xSplit="3" ySplit="1" topLeftCell="AB2" activePane="bottomRight" state="frozen"/>
      <selection pane="topRight" activeCell="B1" sqref="B1"/>
      <selection pane="bottomLeft" activeCell="A2" sqref="A2"/>
      <selection pane="bottomRight" activeCell="AI16" sqref="AI16:AI19"/>
    </sheetView>
  </sheetViews>
  <sheetFormatPr defaultRowHeight="14.4" x14ac:dyDescent="0.3"/>
  <cols>
    <col min="1" max="1" width="14.109375" style="25" hidden="1" customWidth="1"/>
    <col min="2" max="2" width="23.5546875" style="25" hidden="1" customWidth="1"/>
    <col min="3" max="3" width="31.88671875" style="189" customWidth="1"/>
    <col min="4" max="4" width="23.5546875" style="58" customWidth="1"/>
    <col min="5" max="6" width="17.6640625" style="58" customWidth="1"/>
    <col min="7" max="7" width="20.5546875" style="58" bestFit="1" customWidth="1"/>
    <col min="8" max="8" width="20.5546875" style="58" customWidth="1"/>
    <col min="9" max="9" width="30.109375" style="59" bestFit="1" customWidth="1"/>
    <col min="10" max="11" width="30.109375" style="127" customWidth="1"/>
    <col min="12" max="12" width="17.88671875" style="128" customWidth="1"/>
    <col min="13" max="13" width="16.88671875" style="129" hidden="1" customWidth="1"/>
    <col min="14" max="14" width="18.5546875" style="130" customWidth="1"/>
    <col min="15" max="15" width="17" style="131" hidden="1" customWidth="1"/>
    <col min="16" max="16" width="13.44140625" style="132" customWidth="1"/>
    <col min="17" max="17" width="12.6640625" style="133" hidden="1" customWidth="1"/>
    <col min="18" max="18" width="11" style="128" customWidth="1"/>
    <col min="19" max="19" width="14.109375" style="12" hidden="1" customWidth="1"/>
    <col min="20" max="20" width="25.44140625" style="24" hidden="1" customWidth="1"/>
    <col min="21" max="21" width="20.5546875" style="185" customWidth="1"/>
    <col min="22" max="22" width="20.5546875" style="186" hidden="1" customWidth="1"/>
    <col min="23" max="23" width="20.5546875" style="185" customWidth="1"/>
    <col min="24" max="26" width="20.5546875" style="58" customWidth="1"/>
    <col min="27" max="27" width="33.109375" style="58" customWidth="1"/>
    <col min="28" max="28" width="25.5546875" style="58" bestFit="1" customWidth="1"/>
    <col min="29" max="29" width="21.6640625" style="58" customWidth="1"/>
    <col min="30" max="33" width="25.5546875" style="58" customWidth="1"/>
    <col min="34" max="34" width="25.5546875" style="187" hidden="1" customWidth="1"/>
    <col min="35" max="35" width="16.6640625" style="185" customWidth="1"/>
    <col min="36" max="36" width="28.88671875" style="186" hidden="1" customWidth="1"/>
    <col min="37" max="37" width="15.44140625" style="185" bestFit="1" customWidth="1"/>
    <col min="38" max="38" width="15.44140625" style="186" hidden="1" customWidth="1"/>
    <col min="39" max="39" width="29.5546875" style="198" customWidth="1"/>
    <col min="40" max="40" width="7" style="186" hidden="1" customWidth="1"/>
    <col min="41" max="41" width="15.5546875" style="188" bestFit="1" customWidth="1"/>
    <col min="42" max="42" width="15.5546875" style="185" customWidth="1"/>
    <col min="43" max="43" width="23" style="186" hidden="1" customWidth="1"/>
    <col min="44" max="44" width="20.33203125" style="202" customWidth="1"/>
  </cols>
  <sheetData>
    <row r="1" spans="1:44" ht="15.6" thickTop="1" thickBot="1" x14ac:dyDescent="0.35">
      <c r="A1" s="25" t="s">
        <v>115</v>
      </c>
      <c r="B1" s="25" t="s">
        <v>403</v>
      </c>
      <c r="C1" s="270" t="s">
        <v>635</v>
      </c>
      <c r="D1" s="241" t="s">
        <v>21</v>
      </c>
      <c r="E1" s="268" t="s">
        <v>11</v>
      </c>
      <c r="F1" s="237" t="s">
        <v>10</v>
      </c>
      <c r="G1" s="241" t="s">
        <v>26</v>
      </c>
      <c r="H1" s="241" t="s">
        <v>27</v>
      </c>
      <c r="I1" s="311" t="s">
        <v>76</v>
      </c>
      <c r="J1" s="312" t="s">
        <v>77</v>
      </c>
      <c r="K1" s="238" t="s">
        <v>101</v>
      </c>
      <c r="L1" s="237" t="s">
        <v>37</v>
      </c>
      <c r="M1" s="237" t="s">
        <v>15</v>
      </c>
      <c r="N1" s="237" t="s">
        <v>38</v>
      </c>
      <c r="O1" s="237" t="s">
        <v>16</v>
      </c>
      <c r="P1" s="237" t="s">
        <v>39</v>
      </c>
      <c r="Q1" s="239" t="s">
        <v>40</v>
      </c>
      <c r="R1" s="237" t="s">
        <v>65</v>
      </c>
      <c r="S1" s="8" t="s">
        <v>66</v>
      </c>
      <c r="T1" s="23" t="s">
        <v>404</v>
      </c>
      <c r="U1" s="313" t="s">
        <v>12</v>
      </c>
      <c r="V1" s="313" t="s">
        <v>405</v>
      </c>
      <c r="W1" s="314" t="s">
        <v>13</v>
      </c>
      <c r="X1" s="241" t="s">
        <v>29</v>
      </c>
      <c r="Y1" s="241" t="s">
        <v>30</v>
      </c>
      <c r="Z1" s="241" t="s">
        <v>538</v>
      </c>
      <c r="AA1" s="237" t="s">
        <v>19</v>
      </c>
      <c r="AB1" s="237" t="s">
        <v>20</v>
      </c>
      <c r="AC1" s="268" t="s">
        <v>79</v>
      </c>
      <c r="AD1" s="268" t="s">
        <v>80</v>
      </c>
      <c r="AE1" s="268" t="s">
        <v>81</v>
      </c>
      <c r="AF1" s="268" t="s">
        <v>87</v>
      </c>
      <c r="AG1" s="268" t="s">
        <v>82</v>
      </c>
      <c r="AH1" s="60" t="s">
        <v>402</v>
      </c>
      <c r="AI1" s="240" t="s">
        <v>0</v>
      </c>
      <c r="AJ1" s="240" t="s">
        <v>409</v>
      </c>
      <c r="AK1" s="240" t="s">
        <v>1</v>
      </c>
      <c r="AL1" s="240" t="s">
        <v>406</v>
      </c>
      <c r="AM1" s="315" t="s">
        <v>2</v>
      </c>
      <c r="AN1" s="134" t="s">
        <v>407</v>
      </c>
      <c r="AO1" s="242" t="s">
        <v>3</v>
      </c>
      <c r="AP1" s="240" t="s">
        <v>4</v>
      </c>
      <c r="AQ1" s="240" t="s">
        <v>408</v>
      </c>
      <c r="AR1" s="269" t="s">
        <v>17</v>
      </c>
    </row>
    <row r="2" spans="1:44" s="1" customFormat="1" ht="15.6" thickTop="1" thickBot="1" x14ac:dyDescent="0.35">
      <c r="A2" s="290">
        <f>IF(AM2="Operational",1,0)</f>
        <v>1</v>
      </c>
      <c r="B2" s="26" t="str">
        <f>C2</f>
        <v>PeWP 01</v>
      </c>
      <c r="C2" t="s">
        <v>630</v>
      </c>
      <c r="D2" s="29" t="s">
        <v>22</v>
      </c>
      <c r="E2" s="30">
        <v>1</v>
      </c>
      <c r="F2" s="30" t="s">
        <v>14</v>
      </c>
      <c r="G2" s="30">
        <v>1</v>
      </c>
      <c r="H2" s="31">
        <v>1</v>
      </c>
      <c r="I2" s="32" t="s">
        <v>552</v>
      </c>
      <c r="J2" s="61" t="s">
        <v>162</v>
      </c>
      <c r="K2" s="69" t="str">
        <f t="shared" ref="K2" si="0">IF(I2&gt;=40,"TDK-Lambda GEN 60-40",IF(I2=0,"AmeTek XG 20-84","AmeTek XG 60-40"))</f>
        <v>TDK-Lambda GEN 60-40</v>
      </c>
      <c r="L2" s="62">
        <v>1</v>
      </c>
      <c r="M2" s="62" t="str">
        <f>IF(L2&gt;=1,"Yes","No")</f>
        <v>Yes</v>
      </c>
      <c r="N2" s="63">
        <v>0</v>
      </c>
      <c r="O2" s="63" t="str">
        <f>IF(N2&gt;=1,"Yes","No")</f>
        <v>No</v>
      </c>
      <c r="P2" s="64">
        <v>0</v>
      </c>
      <c r="Q2" s="64" t="str">
        <f>IF(P2&gt;=1,"Yes","No")</f>
        <v>No</v>
      </c>
      <c r="R2" s="62">
        <v>0</v>
      </c>
      <c r="S2" s="13" t="str">
        <f>IF(R2&gt;=1,"Yes","No")</f>
        <v>No</v>
      </c>
      <c r="T2" s="26" t="str">
        <f>U2</f>
        <v>120/208 AC</v>
      </c>
      <c r="U2" s="272" t="s">
        <v>548</v>
      </c>
      <c r="V2" s="135" t="str">
        <f>W2</f>
        <v xml:space="preserve">3+ Return and Earth </v>
      </c>
      <c r="W2" s="272" t="s">
        <v>549</v>
      </c>
      <c r="X2" s="30">
        <v>1</v>
      </c>
      <c r="Y2" s="30">
        <v>0</v>
      </c>
      <c r="Z2" s="30">
        <v>0</v>
      </c>
      <c r="AA2" s="30"/>
      <c r="AB2" s="30"/>
      <c r="AC2" s="30"/>
      <c r="AD2" s="30"/>
      <c r="AE2" s="30"/>
      <c r="AF2" s="30"/>
      <c r="AG2" s="30"/>
      <c r="AH2" s="135" t="str">
        <f>AI2</f>
        <v>GVV-Concord-WP</v>
      </c>
      <c r="AI2" s="272" t="s">
        <v>6</v>
      </c>
      <c r="AJ2" s="135" t="str">
        <f>AK2</f>
        <v>WP</v>
      </c>
      <c r="AK2" s="272" t="s">
        <v>9</v>
      </c>
      <c r="AL2" s="135" t="str">
        <f>AM2</f>
        <v>Operational</v>
      </c>
      <c r="AM2" s="276" t="s">
        <v>5</v>
      </c>
      <c r="AN2" s="135" t="str">
        <f>AO2</f>
        <v>Toronto</v>
      </c>
      <c r="AO2" s="136" t="s">
        <v>7</v>
      </c>
      <c r="AP2" s="272" t="s">
        <v>8</v>
      </c>
      <c r="AQ2" s="135" t="str">
        <f>AR2</f>
        <v>Performance Rig 1</v>
      </c>
      <c r="AR2" s="303" t="s">
        <v>199</v>
      </c>
    </row>
    <row r="3" spans="1:44" s="3" customFormat="1" ht="15.6" thickTop="1" thickBot="1" x14ac:dyDescent="0.35">
      <c r="A3" s="291"/>
      <c r="B3" s="27" t="str">
        <f>B2</f>
        <v>PeWP 01</v>
      </c>
      <c r="C3" t="s">
        <v>630</v>
      </c>
      <c r="D3" s="33" t="s">
        <v>23</v>
      </c>
      <c r="E3" s="34">
        <v>0</v>
      </c>
      <c r="F3" s="34" t="s">
        <v>14</v>
      </c>
      <c r="G3" s="34">
        <v>0</v>
      </c>
      <c r="H3" s="35">
        <v>0</v>
      </c>
      <c r="I3" s="36" t="s">
        <v>551</v>
      </c>
      <c r="J3" s="65">
        <v>0</v>
      </c>
      <c r="K3" s="69" t="s">
        <v>627</v>
      </c>
      <c r="L3" s="66">
        <v>0</v>
      </c>
      <c r="M3" s="66" t="str">
        <f t="shared" ref="M3:M104" si="1">IF(L3&gt;=1,"Yes","No")</f>
        <v>No</v>
      </c>
      <c r="N3" s="67">
        <v>0</v>
      </c>
      <c r="O3" s="67" t="str">
        <f t="shared" ref="O3:O104" si="2">IF(N3&gt;=1,"Yes","No")</f>
        <v>No</v>
      </c>
      <c r="P3" s="68">
        <v>0</v>
      </c>
      <c r="Q3" s="68" t="str">
        <f t="shared" ref="Q3:Q104" si="3">IF(P3&gt;=1,"Yes","No")</f>
        <v>No</v>
      </c>
      <c r="R3" s="66">
        <v>0</v>
      </c>
      <c r="S3" s="14" t="str">
        <f t="shared" ref="S3:S104" si="4">IF(R3&gt;=1,"Yes","No")</f>
        <v>No</v>
      </c>
      <c r="T3" s="27" t="str">
        <f>T2</f>
        <v>120/208 AC</v>
      </c>
      <c r="U3" s="274"/>
      <c r="V3" s="137" t="str">
        <f>V2</f>
        <v xml:space="preserve">3+ Return and Earth </v>
      </c>
      <c r="W3" s="274"/>
      <c r="X3" s="34">
        <v>0</v>
      </c>
      <c r="Y3" s="34">
        <v>0</v>
      </c>
      <c r="Z3" s="34">
        <v>0</v>
      </c>
      <c r="AA3" s="34"/>
      <c r="AB3" s="34"/>
      <c r="AC3" s="34"/>
      <c r="AD3" s="34"/>
      <c r="AE3" s="34"/>
      <c r="AF3" s="34"/>
      <c r="AG3" s="34"/>
      <c r="AH3" s="137" t="str">
        <f>AH2</f>
        <v>GVV-Concord-WP</v>
      </c>
      <c r="AI3" s="274"/>
      <c r="AJ3" s="137" t="str">
        <f>AJ2</f>
        <v>WP</v>
      </c>
      <c r="AK3" s="274"/>
      <c r="AL3" s="137" t="str">
        <f>AL2</f>
        <v>Operational</v>
      </c>
      <c r="AM3" s="278"/>
      <c r="AN3" s="137" t="str">
        <f>AN2</f>
        <v>Toronto</v>
      </c>
      <c r="AO3" s="83" t="s">
        <v>7</v>
      </c>
      <c r="AP3" s="274"/>
      <c r="AQ3" s="137" t="str">
        <f>AQ2</f>
        <v>Performance Rig 1</v>
      </c>
      <c r="AR3" s="304"/>
    </row>
    <row r="4" spans="1:44" s="1" customFormat="1" ht="16.2" thickTop="1" x14ac:dyDescent="0.3">
      <c r="A4" s="290">
        <f t="shared" ref="A4:A64" si="5">IF(AM4="Operational",1,0)</f>
        <v>1</v>
      </c>
      <c r="B4" s="26" t="str">
        <f>C4</f>
        <v>PeWP 02</v>
      </c>
      <c r="C4" t="s">
        <v>631</v>
      </c>
      <c r="D4" s="29" t="s">
        <v>22</v>
      </c>
      <c r="E4" s="30">
        <v>1</v>
      </c>
      <c r="F4" s="30" t="s">
        <v>14</v>
      </c>
      <c r="G4" s="30">
        <v>1</v>
      </c>
      <c r="H4" s="30">
        <v>0</v>
      </c>
      <c r="I4" s="37" t="s">
        <v>139</v>
      </c>
      <c r="J4" s="42" t="s">
        <v>162</v>
      </c>
      <c r="K4" s="69" t="str">
        <f>IF(I4&gt;=40,"TDK-Lambda GEN 60-40",IF(I4=0,"AmeTek XG 20-84","AmeTek XG 60-40"))</f>
        <v>TDK-Lambda GEN 60-40</v>
      </c>
      <c r="L4" s="62">
        <v>1</v>
      </c>
      <c r="M4" s="62" t="str">
        <f t="shared" si="1"/>
        <v>Yes</v>
      </c>
      <c r="N4" s="63">
        <v>1</v>
      </c>
      <c r="O4" s="63" t="str">
        <f t="shared" si="2"/>
        <v>Yes</v>
      </c>
      <c r="P4" s="64">
        <v>0</v>
      </c>
      <c r="Q4" s="64" t="str">
        <f t="shared" si="3"/>
        <v>No</v>
      </c>
      <c r="R4" s="62">
        <v>0</v>
      </c>
      <c r="S4" s="13" t="str">
        <f t="shared" si="4"/>
        <v>No</v>
      </c>
      <c r="T4" s="26" t="str">
        <f>U4</f>
        <v>120/208 AC</v>
      </c>
      <c r="U4" s="272" t="s">
        <v>548</v>
      </c>
      <c r="V4" s="135" t="str">
        <f>W4</f>
        <v>3+ Return and Earth</v>
      </c>
      <c r="W4" s="272" t="s">
        <v>547</v>
      </c>
      <c r="X4" s="30">
        <v>1</v>
      </c>
      <c r="Y4" s="30">
        <v>0</v>
      </c>
      <c r="Z4" s="30">
        <v>0</v>
      </c>
      <c r="AA4" s="138" t="s">
        <v>166</v>
      </c>
      <c r="AB4" s="139" t="s">
        <v>167</v>
      </c>
      <c r="AC4" s="190" t="s">
        <v>410</v>
      </c>
      <c r="AD4" s="29" t="s">
        <v>329</v>
      </c>
      <c r="AE4" s="191" t="s">
        <v>518</v>
      </c>
      <c r="AF4" s="192" t="s">
        <v>411</v>
      </c>
      <c r="AG4" s="30"/>
      <c r="AH4" s="135" t="str">
        <f>AI4</f>
        <v>GVV-Concord-WP</v>
      </c>
      <c r="AI4" s="272" t="s">
        <v>6</v>
      </c>
      <c r="AJ4" s="135" t="str">
        <f>AK4</f>
        <v>WP</v>
      </c>
      <c r="AK4" s="272" t="s">
        <v>9</v>
      </c>
      <c r="AL4" s="135" t="str">
        <f>AM4</f>
        <v>Operational</v>
      </c>
      <c r="AM4" s="276" t="s">
        <v>5</v>
      </c>
      <c r="AN4" s="135" t="str">
        <f>AO4</f>
        <v>Toronto</v>
      </c>
      <c r="AO4" s="136" t="s">
        <v>7</v>
      </c>
      <c r="AP4" s="272" t="s">
        <v>8</v>
      </c>
      <c r="AQ4" s="135" t="str">
        <f>AR4</f>
        <v>ECH-19</v>
      </c>
      <c r="AR4" s="305" t="s">
        <v>189</v>
      </c>
    </row>
    <row r="5" spans="1:44" s="2" customFormat="1" ht="15.6" x14ac:dyDescent="0.3">
      <c r="A5" s="292"/>
      <c r="B5" s="28" t="str">
        <f>B4</f>
        <v>PeWP 02</v>
      </c>
      <c r="C5" t="s">
        <v>631</v>
      </c>
      <c r="D5" s="38" t="s">
        <v>22</v>
      </c>
      <c r="E5" s="39">
        <v>0</v>
      </c>
      <c r="F5" s="39" t="s">
        <v>14</v>
      </c>
      <c r="G5" s="39">
        <v>0</v>
      </c>
      <c r="H5" s="39">
        <v>1</v>
      </c>
      <c r="I5" s="40" t="s">
        <v>139</v>
      </c>
      <c r="J5" s="43" t="s">
        <v>162</v>
      </c>
      <c r="K5" s="70" t="str">
        <f t="shared" ref="K5:K70" si="6">IF(I5&gt;=40,"TDK-Lambda GEN 60-40",IF(I5=0,"AmeTek XG 20-84","AmeTek XG 60-40"))</f>
        <v>TDK-Lambda GEN 60-40</v>
      </c>
      <c r="L5" s="71">
        <v>0</v>
      </c>
      <c r="M5" s="71" t="str">
        <f t="shared" si="1"/>
        <v>No</v>
      </c>
      <c r="N5" s="72">
        <v>1</v>
      </c>
      <c r="O5" s="72" t="str">
        <f t="shared" si="2"/>
        <v>Yes</v>
      </c>
      <c r="P5" s="73">
        <v>0</v>
      </c>
      <c r="Q5" s="73" t="str">
        <f t="shared" si="3"/>
        <v>No</v>
      </c>
      <c r="R5" s="71">
        <v>0</v>
      </c>
      <c r="S5" s="15" t="str">
        <f t="shared" si="4"/>
        <v>No</v>
      </c>
      <c r="T5" s="28" t="str">
        <f>T4</f>
        <v>120/208 AC</v>
      </c>
      <c r="U5" s="273"/>
      <c r="V5" s="140" t="str">
        <f>V4</f>
        <v>3+ Return and Earth</v>
      </c>
      <c r="W5" s="273"/>
      <c r="X5" s="39">
        <v>1</v>
      </c>
      <c r="Y5" s="39">
        <v>0</v>
      </c>
      <c r="Z5" s="39">
        <v>0</v>
      </c>
      <c r="AA5" s="141" t="s">
        <v>168</v>
      </c>
      <c r="AB5" s="142" t="s">
        <v>169</v>
      </c>
      <c r="AC5" s="190" t="s">
        <v>410</v>
      </c>
      <c r="AD5" s="38" t="s">
        <v>329</v>
      </c>
      <c r="AE5" s="191" t="s">
        <v>518</v>
      </c>
      <c r="AF5" s="192" t="s">
        <v>411</v>
      </c>
      <c r="AG5" s="39"/>
      <c r="AH5" s="140" t="str">
        <f>AH4</f>
        <v>GVV-Concord-WP</v>
      </c>
      <c r="AI5" s="273"/>
      <c r="AJ5" s="140" t="str">
        <f>AJ4</f>
        <v>WP</v>
      </c>
      <c r="AK5" s="273"/>
      <c r="AL5" s="140" t="str">
        <f>AL4</f>
        <v>Operational</v>
      </c>
      <c r="AM5" s="277"/>
      <c r="AN5" s="140" t="str">
        <f>AN4</f>
        <v>Toronto</v>
      </c>
      <c r="AO5" s="82" t="s">
        <v>7</v>
      </c>
      <c r="AP5" s="273"/>
      <c r="AQ5" s="140" t="str">
        <f>AQ4</f>
        <v>ECH-19</v>
      </c>
      <c r="AR5" s="306"/>
    </row>
    <row r="6" spans="1:44" s="2" customFormat="1" x14ac:dyDescent="0.3">
      <c r="A6" s="292"/>
      <c r="B6" s="28" t="str">
        <f t="shared" ref="B6:B7" si="7">B5</f>
        <v>PeWP 02</v>
      </c>
      <c r="C6" t="s">
        <v>631</v>
      </c>
      <c r="D6" s="38" t="s">
        <v>24</v>
      </c>
      <c r="E6" s="39">
        <v>1</v>
      </c>
      <c r="F6" s="39" t="s">
        <v>14</v>
      </c>
      <c r="G6" s="39">
        <v>1</v>
      </c>
      <c r="H6" s="39">
        <v>0</v>
      </c>
      <c r="I6" s="40" t="s">
        <v>139</v>
      </c>
      <c r="J6" s="43" t="s">
        <v>162</v>
      </c>
      <c r="K6" s="70" t="str">
        <f t="shared" si="6"/>
        <v>TDK-Lambda GEN 60-40</v>
      </c>
      <c r="L6" s="71">
        <v>1</v>
      </c>
      <c r="M6" s="71" t="str">
        <f t="shared" si="1"/>
        <v>Yes</v>
      </c>
      <c r="N6" s="72">
        <v>1</v>
      </c>
      <c r="O6" s="72" t="str">
        <f t="shared" si="2"/>
        <v>Yes</v>
      </c>
      <c r="P6" s="73">
        <v>0</v>
      </c>
      <c r="Q6" s="73" t="str">
        <f t="shared" si="3"/>
        <v>No</v>
      </c>
      <c r="R6" s="71">
        <v>0</v>
      </c>
      <c r="S6" s="15" t="str">
        <f t="shared" si="4"/>
        <v>No</v>
      </c>
      <c r="T6" s="28" t="str">
        <f t="shared" ref="T6:T7" si="8">T5</f>
        <v>120/208 AC</v>
      </c>
      <c r="U6" s="273"/>
      <c r="V6" s="140" t="str">
        <f t="shared" ref="V6:V7" si="9">V5</f>
        <v>3+ Return and Earth</v>
      </c>
      <c r="W6" s="273"/>
      <c r="X6" s="39">
        <v>1</v>
      </c>
      <c r="Y6" s="39">
        <v>0</v>
      </c>
      <c r="Z6" s="39">
        <v>0</v>
      </c>
      <c r="AA6" s="141" t="s">
        <v>170</v>
      </c>
      <c r="AB6" s="142" t="s">
        <v>171</v>
      </c>
      <c r="AC6" s="191" t="s">
        <v>410</v>
      </c>
      <c r="AD6" s="38" t="s">
        <v>174</v>
      </c>
      <c r="AE6" s="191" t="s">
        <v>413</v>
      </c>
      <c r="AF6" s="192" t="s">
        <v>412</v>
      </c>
      <c r="AG6" s="39"/>
      <c r="AH6" s="140" t="str">
        <f t="shared" ref="AH6:AH7" si="10">AH5</f>
        <v>GVV-Concord-WP</v>
      </c>
      <c r="AI6" s="273"/>
      <c r="AJ6" s="140" t="str">
        <f t="shared" ref="AJ6:AJ7" si="11">AJ5</f>
        <v>WP</v>
      </c>
      <c r="AK6" s="273"/>
      <c r="AL6" s="140" t="str">
        <f t="shared" ref="AL6:AL7" si="12">AL5</f>
        <v>Operational</v>
      </c>
      <c r="AM6" s="277"/>
      <c r="AN6" s="140" t="str">
        <f t="shared" ref="AN6:AN7" si="13">AN5</f>
        <v>Toronto</v>
      </c>
      <c r="AO6" s="82" t="s">
        <v>7</v>
      </c>
      <c r="AP6" s="273"/>
      <c r="AQ6" s="140" t="str">
        <f t="shared" ref="AQ6:AQ7" si="14">AQ5</f>
        <v>ECH-19</v>
      </c>
      <c r="AR6" s="306"/>
    </row>
    <row r="7" spans="1:44" s="3" customFormat="1" ht="15" thickBot="1" x14ac:dyDescent="0.35">
      <c r="A7" s="291"/>
      <c r="B7" s="28" t="str">
        <f t="shared" si="7"/>
        <v>PeWP 02</v>
      </c>
      <c r="C7" t="s">
        <v>631</v>
      </c>
      <c r="D7" s="33" t="s">
        <v>25</v>
      </c>
      <c r="E7" s="34">
        <v>0</v>
      </c>
      <c r="F7" s="34" t="s">
        <v>14</v>
      </c>
      <c r="G7" s="34">
        <v>0</v>
      </c>
      <c r="H7" s="34">
        <v>1</v>
      </c>
      <c r="I7" s="41" t="s">
        <v>139</v>
      </c>
      <c r="J7" s="44" t="s">
        <v>162</v>
      </c>
      <c r="K7" s="74" t="str">
        <f t="shared" si="6"/>
        <v>TDK-Lambda GEN 60-40</v>
      </c>
      <c r="L7" s="66">
        <v>0</v>
      </c>
      <c r="M7" s="66" t="str">
        <f t="shared" si="1"/>
        <v>No</v>
      </c>
      <c r="N7" s="67">
        <v>1</v>
      </c>
      <c r="O7" s="67" t="str">
        <f t="shared" si="2"/>
        <v>Yes</v>
      </c>
      <c r="P7" s="68">
        <v>0</v>
      </c>
      <c r="Q7" s="68" t="str">
        <f t="shared" si="3"/>
        <v>No</v>
      </c>
      <c r="R7" s="66">
        <v>0</v>
      </c>
      <c r="S7" s="14" t="str">
        <f t="shared" si="4"/>
        <v>No</v>
      </c>
      <c r="T7" s="28" t="str">
        <f t="shared" si="8"/>
        <v>120/208 AC</v>
      </c>
      <c r="U7" s="274"/>
      <c r="V7" s="140" t="str">
        <f t="shared" si="9"/>
        <v>3+ Return and Earth</v>
      </c>
      <c r="W7" s="274"/>
      <c r="X7" s="34">
        <v>1</v>
      </c>
      <c r="Y7" s="34">
        <v>0</v>
      </c>
      <c r="Z7" s="34">
        <v>0</v>
      </c>
      <c r="AA7" s="143" t="s">
        <v>172</v>
      </c>
      <c r="AB7" s="144" t="s">
        <v>173</v>
      </c>
      <c r="AC7" s="34"/>
      <c r="AD7" s="33" t="s">
        <v>174</v>
      </c>
      <c r="AE7" s="144" t="s">
        <v>517</v>
      </c>
      <c r="AF7" s="34"/>
      <c r="AG7" s="34"/>
      <c r="AH7" s="140" t="str">
        <f t="shared" si="10"/>
        <v>GVV-Concord-WP</v>
      </c>
      <c r="AI7" s="274"/>
      <c r="AJ7" s="140" t="str">
        <f t="shared" si="11"/>
        <v>WP</v>
      </c>
      <c r="AK7" s="274"/>
      <c r="AL7" s="140" t="str">
        <f t="shared" si="12"/>
        <v>Operational</v>
      </c>
      <c r="AM7" s="278"/>
      <c r="AN7" s="140" t="str">
        <f t="shared" si="13"/>
        <v>Toronto</v>
      </c>
      <c r="AO7" s="83" t="s">
        <v>7</v>
      </c>
      <c r="AP7" s="274"/>
      <c r="AQ7" s="140" t="str">
        <f t="shared" si="14"/>
        <v>ECH-19</v>
      </c>
      <c r="AR7" s="307"/>
    </row>
    <row r="8" spans="1:44" s="255" customFormat="1" ht="15" thickTop="1" x14ac:dyDescent="0.3">
      <c r="A8" s="290">
        <f t="shared" si="5"/>
        <v>1</v>
      </c>
      <c r="B8" s="243" t="str">
        <f>C8</f>
        <v>PeWP 03</v>
      </c>
      <c r="C8" t="s">
        <v>632</v>
      </c>
      <c r="D8" s="244" t="s">
        <v>22</v>
      </c>
      <c r="E8" s="245">
        <v>1</v>
      </c>
      <c r="F8" s="245" t="s">
        <v>14</v>
      </c>
      <c r="G8" s="245">
        <v>1</v>
      </c>
      <c r="H8" s="245">
        <v>0</v>
      </c>
      <c r="I8" s="246" t="s">
        <v>139</v>
      </c>
      <c r="J8" s="247" t="s">
        <v>162</v>
      </c>
      <c r="K8" s="248" t="str">
        <f t="shared" si="6"/>
        <v>TDK-Lambda GEN 60-40</v>
      </c>
      <c r="L8" s="245">
        <v>1</v>
      </c>
      <c r="M8" s="245" t="str">
        <f t="shared" si="1"/>
        <v>Yes</v>
      </c>
      <c r="N8" s="245">
        <v>0</v>
      </c>
      <c r="O8" s="245" t="str">
        <f t="shared" si="2"/>
        <v>No</v>
      </c>
      <c r="P8" s="245">
        <v>0</v>
      </c>
      <c r="Q8" s="245" t="str">
        <f t="shared" si="3"/>
        <v>No</v>
      </c>
      <c r="R8" s="245">
        <v>0</v>
      </c>
      <c r="S8" s="249" t="str">
        <f t="shared" si="4"/>
        <v>No</v>
      </c>
      <c r="T8" s="243" t="str">
        <f>U8</f>
        <v>120/208 AC</v>
      </c>
      <c r="U8" s="272" t="s">
        <v>548</v>
      </c>
      <c r="V8" s="250" t="str">
        <f>W8</f>
        <v>3+ Return and Earth</v>
      </c>
      <c r="W8" s="272" t="s">
        <v>547</v>
      </c>
      <c r="X8" s="245">
        <v>1</v>
      </c>
      <c r="Y8" s="245">
        <v>0</v>
      </c>
      <c r="Z8" s="251">
        <v>0</v>
      </c>
      <c r="AA8" s="252" t="s">
        <v>481</v>
      </c>
      <c r="AB8" s="253" t="s">
        <v>482</v>
      </c>
      <c r="AC8" s="245"/>
      <c r="AD8" s="253" t="s">
        <v>484</v>
      </c>
      <c r="AE8" s="245"/>
      <c r="AF8" s="245"/>
      <c r="AG8" s="245"/>
      <c r="AH8" s="250" t="str">
        <f>AI8</f>
        <v>GVV-Concord-WP</v>
      </c>
      <c r="AI8" s="272" t="s">
        <v>6</v>
      </c>
      <c r="AJ8" s="250" t="str">
        <f>AK8</f>
        <v>WP</v>
      </c>
      <c r="AK8" s="272" t="s">
        <v>9</v>
      </c>
      <c r="AL8" s="250" t="str">
        <f>AM8</f>
        <v>Operational</v>
      </c>
      <c r="AM8" s="276" t="s">
        <v>5</v>
      </c>
      <c r="AN8" s="250" t="str">
        <f>AO8</f>
        <v>Toronto</v>
      </c>
      <c r="AO8" s="254" t="s">
        <v>7</v>
      </c>
      <c r="AP8" s="272" t="s">
        <v>8</v>
      </c>
      <c r="AQ8" s="250" t="str">
        <f>AR8</f>
        <v>D1</v>
      </c>
      <c r="AR8" s="305" t="s">
        <v>537</v>
      </c>
    </row>
    <row r="9" spans="1:44" s="264" customFormat="1" x14ac:dyDescent="0.3">
      <c r="A9" s="292"/>
      <c r="B9" s="256" t="str">
        <f>B8</f>
        <v>PeWP 03</v>
      </c>
      <c r="C9" t="s">
        <v>632</v>
      </c>
      <c r="D9" s="257" t="s">
        <v>22</v>
      </c>
      <c r="E9" s="258">
        <v>0</v>
      </c>
      <c r="F9" s="258" t="s">
        <v>14</v>
      </c>
      <c r="G9" s="258">
        <v>0</v>
      </c>
      <c r="H9" s="258">
        <v>1</v>
      </c>
      <c r="I9" s="259" t="s">
        <v>139</v>
      </c>
      <c r="J9" s="260" t="s">
        <v>162</v>
      </c>
      <c r="K9" s="261" t="str">
        <f t="shared" si="6"/>
        <v>TDK-Lambda GEN 60-40</v>
      </c>
      <c r="L9" s="258">
        <v>0</v>
      </c>
      <c r="M9" s="258" t="str">
        <f t="shared" si="1"/>
        <v>No</v>
      </c>
      <c r="N9" s="258">
        <v>0</v>
      </c>
      <c r="O9" s="258" t="str">
        <f t="shared" si="2"/>
        <v>No</v>
      </c>
      <c r="P9" s="258">
        <v>0</v>
      </c>
      <c r="Q9" s="258" t="str">
        <f t="shared" si="3"/>
        <v>No</v>
      </c>
      <c r="R9" s="258">
        <v>0</v>
      </c>
      <c r="S9" s="262" t="str">
        <f t="shared" si="4"/>
        <v>No</v>
      </c>
      <c r="T9" s="256" t="str">
        <f>T8</f>
        <v>120/208 AC</v>
      </c>
      <c r="U9" s="273"/>
      <c r="V9" s="263" t="str">
        <f>V8</f>
        <v>3+ Return and Earth</v>
      </c>
      <c r="W9" s="273"/>
      <c r="X9" s="258">
        <v>0</v>
      </c>
      <c r="Y9" s="258">
        <v>0</v>
      </c>
      <c r="Z9" s="258">
        <v>0</v>
      </c>
      <c r="AC9" s="258"/>
      <c r="AE9" s="258"/>
      <c r="AF9" s="258"/>
      <c r="AG9" s="258"/>
      <c r="AH9" s="263" t="str">
        <f>AH8</f>
        <v>GVV-Concord-WP</v>
      </c>
      <c r="AI9" s="273"/>
      <c r="AJ9" s="263" t="str">
        <f>AJ8</f>
        <v>WP</v>
      </c>
      <c r="AK9" s="273"/>
      <c r="AL9" s="263" t="str">
        <f>AL8</f>
        <v>Operational</v>
      </c>
      <c r="AM9" s="277"/>
      <c r="AN9" s="263" t="str">
        <f>AN8</f>
        <v>Toronto</v>
      </c>
      <c r="AO9" s="265" t="s">
        <v>7</v>
      </c>
      <c r="AP9" s="273"/>
      <c r="AQ9" s="263" t="str">
        <f>AQ8</f>
        <v>D1</v>
      </c>
      <c r="AR9" s="306"/>
    </row>
    <row r="10" spans="1:44" s="2" customFormat="1" x14ac:dyDescent="0.3">
      <c r="A10" s="292"/>
      <c r="B10" s="28" t="str">
        <f t="shared" ref="B10:B11" si="15">B9</f>
        <v>PeWP 03</v>
      </c>
      <c r="C10" t="s">
        <v>632</v>
      </c>
      <c r="D10" s="38" t="s">
        <v>23</v>
      </c>
      <c r="E10" s="39">
        <v>1</v>
      </c>
      <c r="F10" s="39" t="s">
        <v>14</v>
      </c>
      <c r="G10" s="39">
        <v>1</v>
      </c>
      <c r="H10" s="39">
        <v>0</v>
      </c>
      <c r="I10" s="40" t="s">
        <v>139</v>
      </c>
      <c r="J10" s="43" t="s">
        <v>162</v>
      </c>
      <c r="K10" s="70" t="str">
        <f t="shared" si="6"/>
        <v>TDK-Lambda GEN 60-40</v>
      </c>
      <c r="L10" s="71">
        <v>1</v>
      </c>
      <c r="M10" s="71" t="str">
        <f t="shared" si="1"/>
        <v>Yes</v>
      </c>
      <c r="N10" s="72">
        <v>0</v>
      </c>
      <c r="O10" s="72" t="str">
        <f t="shared" si="2"/>
        <v>No</v>
      </c>
      <c r="P10" s="73">
        <v>0</v>
      </c>
      <c r="Q10" s="73" t="str">
        <f t="shared" si="3"/>
        <v>No</v>
      </c>
      <c r="R10" s="71">
        <v>0</v>
      </c>
      <c r="S10" s="15" t="str">
        <f t="shared" si="4"/>
        <v>No</v>
      </c>
      <c r="T10" s="28" t="str">
        <f t="shared" ref="T10:T11" si="16">T9</f>
        <v>120/208 AC</v>
      </c>
      <c r="U10" s="273"/>
      <c r="V10" s="140" t="str">
        <f t="shared" ref="V10:V11" si="17">V9</f>
        <v>3+ Return and Earth</v>
      </c>
      <c r="W10" s="273"/>
      <c r="X10" s="39">
        <v>1</v>
      </c>
      <c r="Y10" s="39">
        <v>0</v>
      </c>
      <c r="Z10" s="39">
        <v>0</v>
      </c>
      <c r="AA10" s="199" t="s">
        <v>350</v>
      </c>
      <c r="AB10" s="200" t="s">
        <v>483</v>
      </c>
      <c r="AC10" s="39"/>
      <c r="AD10" s="200" t="s">
        <v>485</v>
      </c>
      <c r="AE10" s="39"/>
      <c r="AF10" s="39"/>
      <c r="AG10" s="39"/>
      <c r="AH10" s="140" t="str">
        <f t="shared" ref="AH10:AH11" si="18">AH9</f>
        <v>GVV-Concord-WP</v>
      </c>
      <c r="AI10" s="273"/>
      <c r="AJ10" s="140" t="str">
        <f t="shared" ref="AJ10:AJ11" si="19">AJ9</f>
        <v>WP</v>
      </c>
      <c r="AK10" s="273"/>
      <c r="AL10" s="140" t="str">
        <f t="shared" ref="AL10:AL11" si="20">AL9</f>
        <v>Operational</v>
      </c>
      <c r="AM10" s="277"/>
      <c r="AN10" s="140" t="str">
        <f t="shared" ref="AN10:AN11" si="21">AN9</f>
        <v>Toronto</v>
      </c>
      <c r="AO10" s="82" t="s">
        <v>7</v>
      </c>
      <c r="AP10" s="273"/>
      <c r="AQ10" s="140" t="str">
        <f t="shared" ref="AQ10:AQ11" si="22">AQ9</f>
        <v>D1</v>
      </c>
      <c r="AR10" s="306"/>
    </row>
    <row r="11" spans="1:44" s="3" customFormat="1" ht="15" thickBot="1" x14ac:dyDescent="0.35">
      <c r="A11" s="291"/>
      <c r="B11" s="28" t="str">
        <f t="shared" si="15"/>
        <v>PeWP 03</v>
      </c>
      <c r="C11" t="s">
        <v>632</v>
      </c>
      <c r="D11" s="33" t="s">
        <v>23</v>
      </c>
      <c r="E11" s="34">
        <v>0</v>
      </c>
      <c r="F11" s="34" t="s">
        <v>14</v>
      </c>
      <c r="G11" s="34">
        <v>0</v>
      </c>
      <c r="H11" s="34">
        <v>1</v>
      </c>
      <c r="I11" s="41" t="s">
        <v>139</v>
      </c>
      <c r="J11" s="44" t="s">
        <v>162</v>
      </c>
      <c r="K11" s="74" t="str">
        <f t="shared" si="6"/>
        <v>TDK-Lambda GEN 60-40</v>
      </c>
      <c r="L11" s="66">
        <v>0</v>
      </c>
      <c r="M11" s="66" t="str">
        <f t="shared" si="1"/>
        <v>No</v>
      </c>
      <c r="N11" s="67">
        <v>0</v>
      </c>
      <c r="O11" s="67" t="str">
        <f t="shared" si="2"/>
        <v>No</v>
      </c>
      <c r="P11" s="68">
        <v>0</v>
      </c>
      <c r="Q11" s="68" t="str">
        <f t="shared" si="3"/>
        <v>No</v>
      </c>
      <c r="R11" s="66">
        <v>0</v>
      </c>
      <c r="S11" s="14" t="str">
        <f t="shared" si="4"/>
        <v>No</v>
      </c>
      <c r="T11" s="28" t="str">
        <f t="shared" si="16"/>
        <v>120/208 AC</v>
      </c>
      <c r="U11" s="274"/>
      <c r="V11" s="140" t="str">
        <f t="shared" si="17"/>
        <v>3+ Return and Earth</v>
      </c>
      <c r="W11" s="274"/>
      <c r="X11" s="34">
        <v>0</v>
      </c>
      <c r="Y11" s="34">
        <v>0</v>
      </c>
      <c r="Z11" s="34">
        <v>0</v>
      </c>
      <c r="AA11" s="34"/>
      <c r="AB11" s="34"/>
      <c r="AC11" s="34"/>
      <c r="AD11" s="34"/>
      <c r="AE11" s="34"/>
      <c r="AF11" s="34"/>
      <c r="AG11" s="34"/>
      <c r="AH11" s="140" t="str">
        <f t="shared" si="18"/>
        <v>GVV-Concord-WP</v>
      </c>
      <c r="AI11" s="274"/>
      <c r="AJ11" s="140" t="str">
        <f t="shared" si="19"/>
        <v>WP</v>
      </c>
      <c r="AK11" s="274"/>
      <c r="AL11" s="140" t="str">
        <f t="shared" si="20"/>
        <v>Operational</v>
      </c>
      <c r="AM11" s="278"/>
      <c r="AN11" s="140" t="str">
        <f t="shared" si="21"/>
        <v>Toronto</v>
      </c>
      <c r="AO11" s="83" t="s">
        <v>7</v>
      </c>
      <c r="AP11" s="274"/>
      <c r="AQ11" s="140" t="str">
        <f t="shared" si="22"/>
        <v>D1</v>
      </c>
      <c r="AR11" s="307"/>
    </row>
    <row r="12" spans="1:44" s="255" customFormat="1" ht="15" thickTop="1" x14ac:dyDescent="0.3">
      <c r="A12" s="290">
        <f t="shared" si="5"/>
        <v>1</v>
      </c>
      <c r="B12" s="243" t="str">
        <f>C12</f>
        <v>PeWP 04</v>
      </c>
      <c r="C12" t="s">
        <v>633</v>
      </c>
      <c r="D12" s="244" t="s">
        <v>22</v>
      </c>
      <c r="E12" s="245">
        <v>1</v>
      </c>
      <c r="F12" s="245" t="s">
        <v>14</v>
      </c>
      <c r="G12" s="245">
        <v>1</v>
      </c>
      <c r="H12" s="245">
        <v>0</v>
      </c>
      <c r="I12" s="246" t="s">
        <v>139</v>
      </c>
      <c r="J12" s="247" t="s">
        <v>162</v>
      </c>
      <c r="K12" s="248" t="str">
        <f t="shared" si="6"/>
        <v>TDK-Lambda GEN 60-40</v>
      </c>
      <c r="L12" s="245">
        <v>1</v>
      </c>
      <c r="M12" s="245" t="str">
        <f t="shared" si="1"/>
        <v>Yes</v>
      </c>
      <c r="N12" s="245">
        <v>0</v>
      </c>
      <c r="O12" s="245" t="str">
        <f t="shared" si="2"/>
        <v>No</v>
      </c>
      <c r="P12" s="245">
        <v>0</v>
      </c>
      <c r="Q12" s="245" t="str">
        <f t="shared" si="3"/>
        <v>No</v>
      </c>
      <c r="R12" s="245">
        <v>0</v>
      </c>
      <c r="S12" s="249" t="str">
        <f t="shared" si="4"/>
        <v>No</v>
      </c>
      <c r="T12" s="243" t="str">
        <f>U12</f>
        <v>120/208 AC</v>
      </c>
      <c r="U12" s="272" t="s">
        <v>548</v>
      </c>
      <c r="V12" s="250" t="str">
        <f>W12</f>
        <v>3+ Return and Earth</v>
      </c>
      <c r="W12" s="272" t="s">
        <v>547</v>
      </c>
      <c r="X12" s="245">
        <v>1</v>
      </c>
      <c r="Y12" s="245">
        <v>0</v>
      </c>
      <c r="Z12" s="245">
        <v>0</v>
      </c>
      <c r="AA12" s="245"/>
      <c r="AB12" s="245"/>
      <c r="AC12" s="245" t="s">
        <v>533</v>
      </c>
      <c r="AD12" s="253" t="s">
        <v>531</v>
      </c>
      <c r="AE12" s="266" t="s">
        <v>534</v>
      </c>
      <c r="AF12" s="266" t="s">
        <v>535</v>
      </c>
      <c r="AG12" s="245"/>
      <c r="AH12" s="250" t="str">
        <f>AI12</f>
        <v>GVV-Concord-WP</v>
      </c>
      <c r="AI12" s="272" t="s">
        <v>6</v>
      </c>
      <c r="AJ12" s="250" t="str">
        <f>AK12</f>
        <v>WP</v>
      </c>
      <c r="AK12" s="272" t="s">
        <v>9</v>
      </c>
      <c r="AL12" s="250" t="str">
        <f>AM12</f>
        <v>Operational</v>
      </c>
      <c r="AM12" s="276" t="s">
        <v>5</v>
      </c>
      <c r="AN12" s="250" t="str">
        <f>AO12</f>
        <v>Toronto</v>
      </c>
      <c r="AO12" s="254" t="s">
        <v>7</v>
      </c>
      <c r="AP12" s="272" t="s">
        <v>8</v>
      </c>
      <c r="AQ12" s="250" t="str">
        <f>AR12</f>
        <v>MGA Shaker</v>
      </c>
      <c r="AR12" s="305" t="s">
        <v>474</v>
      </c>
    </row>
    <row r="13" spans="1:44" s="264" customFormat="1" x14ac:dyDescent="0.3">
      <c r="A13" s="292"/>
      <c r="B13" s="256" t="str">
        <f>B12</f>
        <v>PeWP 04</v>
      </c>
      <c r="C13" t="s">
        <v>633</v>
      </c>
      <c r="D13" s="257" t="s">
        <v>22</v>
      </c>
      <c r="E13" s="258">
        <v>0</v>
      </c>
      <c r="F13" s="258" t="s">
        <v>14</v>
      </c>
      <c r="G13" s="258">
        <v>0</v>
      </c>
      <c r="H13" s="258">
        <v>1</v>
      </c>
      <c r="I13" s="259" t="s">
        <v>139</v>
      </c>
      <c r="J13" s="260" t="s">
        <v>162</v>
      </c>
      <c r="K13" s="261" t="str">
        <f t="shared" si="6"/>
        <v>TDK-Lambda GEN 60-40</v>
      </c>
      <c r="L13" s="258">
        <v>0</v>
      </c>
      <c r="M13" s="258" t="str">
        <f t="shared" si="1"/>
        <v>No</v>
      </c>
      <c r="N13" s="258">
        <v>0</v>
      </c>
      <c r="O13" s="258" t="str">
        <f t="shared" si="2"/>
        <v>No</v>
      </c>
      <c r="P13" s="258">
        <v>0</v>
      </c>
      <c r="Q13" s="258" t="str">
        <f t="shared" si="3"/>
        <v>No</v>
      </c>
      <c r="R13" s="258">
        <v>0</v>
      </c>
      <c r="S13" s="262" t="str">
        <f t="shared" si="4"/>
        <v>No</v>
      </c>
      <c r="T13" s="256" t="str">
        <f>T12</f>
        <v>120/208 AC</v>
      </c>
      <c r="U13" s="273"/>
      <c r="V13" s="263" t="str">
        <f>V12</f>
        <v>3+ Return and Earth</v>
      </c>
      <c r="W13" s="273"/>
      <c r="X13" s="258">
        <v>0</v>
      </c>
      <c r="Y13" s="258">
        <v>0</v>
      </c>
      <c r="Z13" s="258">
        <v>0</v>
      </c>
      <c r="AA13" s="258"/>
      <c r="AB13" s="258"/>
      <c r="AC13" s="258"/>
      <c r="AD13" s="267"/>
      <c r="AE13" s="267"/>
      <c r="AF13" s="267"/>
      <c r="AG13" s="258"/>
      <c r="AH13" s="263" t="str">
        <f>AH12</f>
        <v>GVV-Concord-WP</v>
      </c>
      <c r="AI13" s="273"/>
      <c r="AJ13" s="263" t="str">
        <f>AJ12</f>
        <v>WP</v>
      </c>
      <c r="AK13" s="273"/>
      <c r="AL13" s="263" t="str">
        <f>AL12</f>
        <v>Operational</v>
      </c>
      <c r="AM13" s="277"/>
      <c r="AN13" s="263" t="str">
        <f>AN12</f>
        <v>Toronto</v>
      </c>
      <c r="AO13" s="265" t="s">
        <v>7</v>
      </c>
      <c r="AP13" s="273"/>
      <c r="AQ13" s="263" t="str">
        <f>AQ12</f>
        <v>MGA Shaker</v>
      </c>
      <c r="AR13" s="306"/>
    </row>
    <row r="14" spans="1:44" s="2" customFormat="1" x14ac:dyDescent="0.3">
      <c r="A14" s="292"/>
      <c r="B14" s="28" t="str">
        <f t="shared" ref="B14:B15" si="23">B13</f>
        <v>PeWP 04</v>
      </c>
      <c r="C14" t="s">
        <v>633</v>
      </c>
      <c r="D14" s="38" t="s">
        <v>23</v>
      </c>
      <c r="E14" s="39">
        <v>1</v>
      </c>
      <c r="F14" s="39" t="s">
        <v>14</v>
      </c>
      <c r="G14" s="39">
        <v>0</v>
      </c>
      <c r="H14" s="39">
        <v>0</v>
      </c>
      <c r="I14" s="40" t="s">
        <v>139</v>
      </c>
      <c r="J14" s="43" t="s">
        <v>162</v>
      </c>
      <c r="K14" s="70" t="str">
        <f t="shared" si="6"/>
        <v>TDK-Lambda GEN 60-40</v>
      </c>
      <c r="L14" s="71">
        <v>1</v>
      </c>
      <c r="M14" s="71" t="str">
        <f t="shared" si="1"/>
        <v>Yes</v>
      </c>
      <c r="N14" s="72">
        <v>0</v>
      </c>
      <c r="O14" s="72" t="str">
        <f t="shared" si="2"/>
        <v>No</v>
      </c>
      <c r="P14" s="73">
        <v>0</v>
      </c>
      <c r="Q14" s="73" t="str">
        <f t="shared" si="3"/>
        <v>No</v>
      </c>
      <c r="R14" s="71">
        <v>0</v>
      </c>
      <c r="S14" s="15" t="str">
        <f t="shared" si="4"/>
        <v>No</v>
      </c>
      <c r="T14" s="28" t="str">
        <f t="shared" ref="T14:T15" si="24">T13</f>
        <v>120/208 AC</v>
      </c>
      <c r="U14" s="273"/>
      <c r="V14" s="140" t="str">
        <f t="shared" ref="V14:V15" si="25">V13</f>
        <v>3+ Return and Earth</v>
      </c>
      <c r="W14" s="273"/>
      <c r="X14" s="39">
        <v>1</v>
      </c>
      <c r="Y14" s="39">
        <v>0</v>
      </c>
      <c r="Z14" s="39">
        <v>0</v>
      </c>
      <c r="AA14" s="39"/>
      <c r="AB14" s="39"/>
      <c r="AC14" s="39" t="s">
        <v>533</v>
      </c>
      <c r="AD14" s="142" t="s">
        <v>532</v>
      </c>
      <c r="AE14" s="142" t="s">
        <v>534</v>
      </c>
      <c r="AF14" s="142" t="s">
        <v>536</v>
      </c>
      <c r="AG14" s="39"/>
      <c r="AH14" s="140" t="str">
        <f t="shared" ref="AH14:AH15" si="26">AH13</f>
        <v>GVV-Concord-WP</v>
      </c>
      <c r="AI14" s="273"/>
      <c r="AJ14" s="140" t="str">
        <f t="shared" ref="AJ14:AJ15" si="27">AJ13</f>
        <v>WP</v>
      </c>
      <c r="AK14" s="273"/>
      <c r="AL14" s="140" t="str">
        <f t="shared" ref="AL14:AL15" si="28">AL13</f>
        <v>Operational</v>
      </c>
      <c r="AM14" s="277"/>
      <c r="AN14" s="140" t="str">
        <f t="shared" ref="AN14:AN15" si="29">AN13</f>
        <v>Toronto</v>
      </c>
      <c r="AO14" s="82" t="s">
        <v>7</v>
      </c>
      <c r="AP14" s="273"/>
      <c r="AQ14" s="140" t="str">
        <f t="shared" ref="AQ14:AQ15" si="30">AQ13</f>
        <v>MGA Shaker</v>
      </c>
      <c r="AR14" s="306"/>
    </row>
    <row r="15" spans="1:44" s="3" customFormat="1" ht="15" thickBot="1" x14ac:dyDescent="0.35">
      <c r="A15" s="291"/>
      <c r="B15" s="28" t="str">
        <f t="shared" si="23"/>
        <v>PeWP 04</v>
      </c>
      <c r="C15" t="s">
        <v>633</v>
      </c>
      <c r="D15" s="33" t="s">
        <v>23</v>
      </c>
      <c r="E15" s="34">
        <v>0</v>
      </c>
      <c r="F15" s="34" t="s">
        <v>14</v>
      </c>
      <c r="G15" s="34">
        <v>0</v>
      </c>
      <c r="H15" s="34">
        <v>1</v>
      </c>
      <c r="I15" s="41" t="s">
        <v>139</v>
      </c>
      <c r="J15" s="44" t="s">
        <v>162</v>
      </c>
      <c r="K15" s="74" t="str">
        <f t="shared" si="6"/>
        <v>TDK-Lambda GEN 60-40</v>
      </c>
      <c r="L15" s="66">
        <v>0</v>
      </c>
      <c r="M15" s="66" t="str">
        <f t="shared" si="1"/>
        <v>No</v>
      </c>
      <c r="N15" s="67">
        <v>0</v>
      </c>
      <c r="O15" s="67" t="str">
        <f t="shared" si="2"/>
        <v>No</v>
      </c>
      <c r="P15" s="68">
        <v>0</v>
      </c>
      <c r="Q15" s="68" t="str">
        <f t="shared" si="3"/>
        <v>No</v>
      </c>
      <c r="R15" s="66">
        <v>0</v>
      </c>
      <c r="S15" s="14" t="str">
        <f t="shared" si="4"/>
        <v>No</v>
      </c>
      <c r="T15" s="28" t="str">
        <f t="shared" si="24"/>
        <v>120/208 AC</v>
      </c>
      <c r="U15" s="274"/>
      <c r="V15" s="140" t="str">
        <f t="shared" si="25"/>
        <v>3+ Return and Earth</v>
      </c>
      <c r="W15" s="274"/>
      <c r="X15" s="34">
        <v>0</v>
      </c>
      <c r="Y15" s="34">
        <v>0</v>
      </c>
      <c r="Z15" s="34">
        <v>0</v>
      </c>
      <c r="AA15" s="34"/>
      <c r="AB15" s="34"/>
      <c r="AC15" s="34"/>
      <c r="AD15" s="144"/>
      <c r="AE15" s="144"/>
      <c r="AF15" s="144"/>
      <c r="AG15" s="34"/>
      <c r="AH15" s="140" t="str">
        <f t="shared" si="26"/>
        <v>GVV-Concord-WP</v>
      </c>
      <c r="AI15" s="274"/>
      <c r="AJ15" s="140" t="str">
        <f t="shared" si="27"/>
        <v>WP</v>
      </c>
      <c r="AK15" s="274"/>
      <c r="AL15" s="140" t="str">
        <f t="shared" si="28"/>
        <v>Operational</v>
      </c>
      <c r="AM15" s="278"/>
      <c r="AN15" s="140" t="str">
        <f t="shared" si="29"/>
        <v>Toronto</v>
      </c>
      <c r="AO15" s="83" t="s">
        <v>7</v>
      </c>
      <c r="AP15" s="274"/>
      <c r="AQ15" s="140" t="str">
        <f t="shared" si="30"/>
        <v>MGA Shaker</v>
      </c>
      <c r="AR15" s="307"/>
    </row>
    <row r="16" spans="1:44" s="1" customFormat="1" ht="15.6" thickTop="1" thickBot="1" x14ac:dyDescent="0.35">
      <c r="A16" s="290">
        <f t="shared" si="5"/>
        <v>1</v>
      </c>
      <c r="B16" s="26" t="str">
        <f>C16</f>
        <v>PeWP 05</v>
      </c>
      <c r="C16" t="s">
        <v>634</v>
      </c>
      <c r="D16" s="29" t="s">
        <v>22</v>
      </c>
      <c r="E16" s="30">
        <v>1</v>
      </c>
      <c r="F16" s="30" t="s">
        <v>14</v>
      </c>
      <c r="G16" s="30">
        <v>1</v>
      </c>
      <c r="H16" s="30">
        <v>0</v>
      </c>
      <c r="I16" s="42" t="s">
        <v>139</v>
      </c>
      <c r="J16" s="42" t="s">
        <v>162</v>
      </c>
      <c r="K16" s="69" t="str">
        <f t="shared" si="6"/>
        <v>TDK-Lambda GEN 60-40</v>
      </c>
      <c r="L16" s="62">
        <v>1</v>
      </c>
      <c r="M16" s="62" t="str">
        <f t="shared" si="1"/>
        <v>Yes</v>
      </c>
      <c r="N16" s="63">
        <v>0</v>
      </c>
      <c r="O16" s="63" t="str">
        <f t="shared" si="2"/>
        <v>No</v>
      </c>
      <c r="P16" s="64">
        <v>0</v>
      </c>
      <c r="Q16" s="64" t="str">
        <f t="shared" si="3"/>
        <v>No</v>
      </c>
      <c r="R16" s="62">
        <v>0</v>
      </c>
      <c r="S16" s="13" t="str">
        <f t="shared" si="4"/>
        <v>No</v>
      </c>
      <c r="T16" s="26" t="str">
        <f>U16</f>
        <v>120/208 AC</v>
      </c>
      <c r="U16" s="272" t="s">
        <v>548</v>
      </c>
      <c r="V16" s="135" t="str">
        <f>W16</f>
        <v>3+ Return and Earth</v>
      </c>
      <c r="W16" s="272" t="s">
        <v>547</v>
      </c>
      <c r="X16" s="30">
        <v>1</v>
      </c>
      <c r="Y16" s="30">
        <v>0</v>
      </c>
      <c r="Z16" s="30">
        <v>0</v>
      </c>
      <c r="AA16" s="138" t="s">
        <v>201</v>
      </c>
      <c r="AB16" s="139" t="s">
        <v>202</v>
      </c>
      <c r="AC16" s="191" t="s">
        <v>410</v>
      </c>
      <c r="AD16" s="29" t="s">
        <v>540</v>
      </c>
      <c r="AE16" s="191" t="s">
        <v>542</v>
      </c>
      <c r="AF16" s="192" t="s">
        <v>543</v>
      </c>
      <c r="AG16" s="30"/>
      <c r="AH16" s="135" t="str">
        <f>AI16</f>
        <v>GVV-Concord-WP</v>
      </c>
      <c r="AI16" s="272" t="s">
        <v>6</v>
      </c>
      <c r="AJ16" s="135" t="str">
        <f>AK16</f>
        <v>WP</v>
      </c>
      <c r="AK16" s="272" t="s">
        <v>9</v>
      </c>
      <c r="AL16" s="135" t="str">
        <f>AM16</f>
        <v>Operational</v>
      </c>
      <c r="AM16" s="276" t="s">
        <v>5</v>
      </c>
      <c r="AN16" s="135" t="str">
        <f>AO16</f>
        <v>Toronto</v>
      </c>
      <c r="AO16" s="136" t="s">
        <v>7</v>
      </c>
      <c r="AP16" s="272" t="s">
        <v>8</v>
      </c>
      <c r="AQ16" s="135" t="str">
        <f>AR16</f>
        <v>ECH-26</v>
      </c>
      <c r="AR16" s="305" t="s">
        <v>196</v>
      </c>
    </row>
    <row r="17" spans="1:44" s="2" customFormat="1" ht="15" thickTop="1" x14ac:dyDescent="0.3">
      <c r="A17" s="292"/>
      <c r="B17" s="28" t="str">
        <f>B16</f>
        <v>PeWP 05</v>
      </c>
      <c r="C17" t="s">
        <v>634</v>
      </c>
      <c r="D17" s="38" t="s">
        <v>22</v>
      </c>
      <c r="E17" s="39">
        <v>0</v>
      </c>
      <c r="F17" s="39" t="s">
        <v>14</v>
      </c>
      <c r="G17" s="39">
        <v>0</v>
      </c>
      <c r="H17" s="39">
        <v>1</v>
      </c>
      <c r="I17" s="43" t="s">
        <v>139</v>
      </c>
      <c r="J17" s="75" t="s">
        <v>162</v>
      </c>
      <c r="K17" s="70" t="str">
        <f t="shared" si="6"/>
        <v>TDK-Lambda GEN 60-40</v>
      </c>
      <c r="L17" s="71">
        <v>0</v>
      </c>
      <c r="M17" s="71" t="str">
        <f t="shared" si="1"/>
        <v>No</v>
      </c>
      <c r="N17" s="72">
        <v>0</v>
      </c>
      <c r="O17" s="72" t="str">
        <f t="shared" si="2"/>
        <v>No</v>
      </c>
      <c r="P17" s="73">
        <v>0</v>
      </c>
      <c r="Q17" s="73" t="str">
        <f t="shared" si="3"/>
        <v>No</v>
      </c>
      <c r="R17" s="71">
        <v>0</v>
      </c>
      <c r="S17" s="15" t="str">
        <f t="shared" si="4"/>
        <v>No</v>
      </c>
      <c r="T17" s="28" t="str">
        <f>T16</f>
        <v>120/208 AC</v>
      </c>
      <c r="U17" s="273"/>
      <c r="V17" s="140" t="str">
        <f>V16</f>
        <v>3+ Return and Earth</v>
      </c>
      <c r="W17" s="273"/>
      <c r="X17" s="39">
        <v>0</v>
      </c>
      <c r="Y17" s="39">
        <v>0</v>
      </c>
      <c r="Z17" s="39">
        <v>0</v>
      </c>
      <c r="AA17" s="141" t="s">
        <v>201</v>
      </c>
      <c r="AB17" s="142" t="s">
        <v>202</v>
      </c>
      <c r="AC17" s="191" t="s">
        <v>410</v>
      </c>
      <c r="AD17" s="29" t="s">
        <v>540</v>
      </c>
      <c r="AE17" s="191" t="s">
        <v>542</v>
      </c>
      <c r="AF17" s="192" t="s">
        <v>543</v>
      </c>
      <c r="AG17" s="39"/>
      <c r="AH17" s="140" t="str">
        <f>AH16</f>
        <v>GVV-Concord-WP</v>
      </c>
      <c r="AI17" s="273"/>
      <c r="AJ17" s="140" t="str">
        <f>AJ16</f>
        <v>WP</v>
      </c>
      <c r="AK17" s="273"/>
      <c r="AL17" s="140" t="str">
        <f>AL16</f>
        <v>Operational</v>
      </c>
      <c r="AM17" s="277"/>
      <c r="AN17" s="140" t="str">
        <f>AN16</f>
        <v>Toronto</v>
      </c>
      <c r="AO17" s="82" t="s">
        <v>7</v>
      </c>
      <c r="AP17" s="273"/>
      <c r="AQ17" s="140" t="str">
        <f>AQ16</f>
        <v>ECH-26</v>
      </c>
      <c r="AR17" s="306"/>
    </row>
    <row r="18" spans="1:44" s="2" customFormat="1" x14ac:dyDescent="0.3">
      <c r="A18" s="292"/>
      <c r="B18" s="28" t="str">
        <f t="shared" ref="B18:B19" si="31">B17</f>
        <v>PeWP 05</v>
      </c>
      <c r="C18" t="s">
        <v>634</v>
      </c>
      <c r="D18" s="38" t="s">
        <v>23</v>
      </c>
      <c r="E18" s="39">
        <v>1</v>
      </c>
      <c r="F18" s="39" t="s">
        <v>14</v>
      </c>
      <c r="G18" s="39">
        <v>1</v>
      </c>
      <c r="H18" s="39">
        <v>0</v>
      </c>
      <c r="I18" s="43" t="s">
        <v>139</v>
      </c>
      <c r="J18" s="75" t="s">
        <v>162</v>
      </c>
      <c r="K18" s="70" t="str">
        <f t="shared" si="6"/>
        <v>TDK-Lambda GEN 60-40</v>
      </c>
      <c r="L18" s="71">
        <v>1</v>
      </c>
      <c r="M18" s="71" t="str">
        <f t="shared" si="1"/>
        <v>Yes</v>
      </c>
      <c r="N18" s="72">
        <v>0</v>
      </c>
      <c r="O18" s="72" t="str">
        <f t="shared" si="2"/>
        <v>No</v>
      </c>
      <c r="P18" s="73">
        <v>0</v>
      </c>
      <c r="Q18" s="73" t="str">
        <f t="shared" si="3"/>
        <v>No</v>
      </c>
      <c r="R18" s="71">
        <v>0</v>
      </c>
      <c r="S18" s="15" t="str">
        <f t="shared" si="4"/>
        <v>No</v>
      </c>
      <c r="T18" s="28" t="str">
        <f t="shared" ref="T18:T19" si="32">T17</f>
        <v>120/208 AC</v>
      </c>
      <c r="U18" s="273"/>
      <c r="V18" s="140" t="str">
        <f t="shared" ref="V18:V19" si="33">V17</f>
        <v>3+ Return and Earth</v>
      </c>
      <c r="W18" s="273"/>
      <c r="X18" s="39">
        <v>1</v>
      </c>
      <c r="Y18" s="39">
        <v>0</v>
      </c>
      <c r="Z18" s="39">
        <v>0</v>
      </c>
      <c r="AA18" s="141" t="s">
        <v>203</v>
      </c>
      <c r="AB18" s="142" t="s">
        <v>204</v>
      </c>
      <c r="AC18" s="191" t="s">
        <v>410</v>
      </c>
      <c r="AD18" s="38" t="s">
        <v>541</v>
      </c>
      <c r="AE18" s="191" t="s">
        <v>545</v>
      </c>
      <c r="AF18" s="192" t="s">
        <v>544</v>
      </c>
      <c r="AG18" s="39"/>
      <c r="AH18" s="140" t="str">
        <f t="shared" ref="AH18:AH19" si="34">AH17</f>
        <v>GVV-Concord-WP</v>
      </c>
      <c r="AI18" s="273"/>
      <c r="AJ18" s="140" t="str">
        <f t="shared" ref="AJ18:AJ19" si="35">AJ17</f>
        <v>WP</v>
      </c>
      <c r="AK18" s="273"/>
      <c r="AL18" s="140" t="str">
        <f t="shared" ref="AL18:AL19" si="36">AL17</f>
        <v>Operational</v>
      </c>
      <c r="AM18" s="277"/>
      <c r="AN18" s="140" t="str">
        <f t="shared" ref="AN18:AN19" si="37">AN17</f>
        <v>Toronto</v>
      </c>
      <c r="AO18" s="82" t="s">
        <v>7</v>
      </c>
      <c r="AP18" s="273"/>
      <c r="AQ18" s="140" t="str">
        <f t="shared" ref="AQ18:AQ19" si="38">AQ17</f>
        <v>ECH-26</v>
      </c>
      <c r="AR18" s="306"/>
    </row>
    <row r="19" spans="1:44" s="3" customFormat="1" ht="15" thickBot="1" x14ac:dyDescent="0.35">
      <c r="A19" s="291"/>
      <c r="B19" s="28" t="str">
        <f t="shared" si="31"/>
        <v>PeWP 05</v>
      </c>
      <c r="C19" t="s">
        <v>634</v>
      </c>
      <c r="D19" s="33" t="s">
        <v>23</v>
      </c>
      <c r="E19" s="34">
        <v>0</v>
      </c>
      <c r="F19" s="34" t="s">
        <v>14</v>
      </c>
      <c r="G19" s="34">
        <v>0</v>
      </c>
      <c r="H19" s="34">
        <v>1</v>
      </c>
      <c r="I19" s="44" t="s">
        <v>139</v>
      </c>
      <c r="J19" s="76" t="s">
        <v>162</v>
      </c>
      <c r="K19" s="74" t="str">
        <f t="shared" si="6"/>
        <v>TDK-Lambda GEN 60-40</v>
      </c>
      <c r="L19" s="66">
        <v>0</v>
      </c>
      <c r="M19" s="66" t="str">
        <f t="shared" si="1"/>
        <v>No</v>
      </c>
      <c r="N19" s="67">
        <v>0</v>
      </c>
      <c r="O19" s="67" t="str">
        <f t="shared" si="2"/>
        <v>No</v>
      </c>
      <c r="P19" s="68">
        <v>0</v>
      </c>
      <c r="Q19" s="68" t="str">
        <f t="shared" si="3"/>
        <v>No</v>
      </c>
      <c r="R19" s="66">
        <v>0</v>
      </c>
      <c r="S19" s="14" t="str">
        <f t="shared" si="4"/>
        <v>No</v>
      </c>
      <c r="T19" s="28" t="str">
        <f t="shared" si="32"/>
        <v>120/208 AC</v>
      </c>
      <c r="U19" s="274"/>
      <c r="V19" s="140" t="str">
        <f t="shared" si="33"/>
        <v>3+ Return and Earth</v>
      </c>
      <c r="W19" s="274"/>
      <c r="X19" s="34">
        <v>0</v>
      </c>
      <c r="Y19" s="34">
        <v>0</v>
      </c>
      <c r="Z19" s="34">
        <v>0</v>
      </c>
      <c r="AA19" s="143" t="s">
        <v>203</v>
      </c>
      <c r="AB19" s="144" t="s">
        <v>204</v>
      </c>
      <c r="AC19" s="191" t="s">
        <v>410</v>
      </c>
      <c r="AD19" s="33" t="s">
        <v>541</v>
      </c>
      <c r="AE19" s="191" t="s">
        <v>545</v>
      </c>
      <c r="AF19" s="192" t="s">
        <v>544</v>
      </c>
      <c r="AG19" s="34"/>
      <c r="AH19" s="140" t="str">
        <f t="shared" si="34"/>
        <v>GVV-Concord-WP</v>
      </c>
      <c r="AI19" s="274"/>
      <c r="AJ19" s="140" t="str">
        <f t="shared" si="35"/>
        <v>WP</v>
      </c>
      <c r="AK19" s="274"/>
      <c r="AL19" s="140" t="str">
        <f t="shared" si="36"/>
        <v>Operational</v>
      </c>
      <c r="AM19" s="278"/>
      <c r="AN19" s="140" t="str">
        <f t="shared" si="37"/>
        <v>Toronto</v>
      </c>
      <c r="AO19" s="83" t="s">
        <v>7</v>
      </c>
      <c r="AP19" s="274"/>
      <c r="AQ19" s="140" t="str">
        <f t="shared" si="38"/>
        <v>ECH-26</v>
      </c>
      <c r="AR19" s="307"/>
    </row>
    <row r="20" spans="1:44" s="1" customFormat="1" ht="15" thickTop="1" x14ac:dyDescent="0.3">
      <c r="A20" s="290">
        <f t="shared" si="5"/>
        <v>1</v>
      </c>
      <c r="B20" s="26" t="str">
        <f>C20</f>
        <v>PeWP 06</v>
      </c>
      <c r="C20" t="s">
        <v>636</v>
      </c>
      <c r="D20" s="29" t="s">
        <v>22</v>
      </c>
      <c r="E20" s="30">
        <v>1</v>
      </c>
      <c r="F20" s="30" t="s">
        <v>14</v>
      </c>
      <c r="G20" s="30">
        <v>1</v>
      </c>
      <c r="H20" s="30">
        <v>0</v>
      </c>
      <c r="I20" s="42"/>
      <c r="J20" s="235" t="s">
        <v>162</v>
      </c>
      <c r="K20" s="69" t="str">
        <f t="shared" si="6"/>
        <v>AmeTek XG 20-84</v>
      </c>
      <c r="L20" s="62">
        <v>1</v>
      </c>
      <c r="M20" s="62" t="str">
        <f t="shared" si="1"/>
        <v>Yes</v>
      </c>
      <c r="N20" s="63">
        <v>1</v>
      </c>
      <c r="O20" s="63" t="str">
        <f t="shared" si="2"/>
        <v>Yes</v>
      </c>
      <c r="P20" s="64">
        <v>0</v>
      </c>
      <c r="Q20" s="64" t="str">
        <f t="shared" si="3"/>
        <v>No</v>
      </c>
      <c r="R20" s="62">
        <v>0</v>
      </c>
      <c r="S20" s="13" t="str">
        <f t="shared" si="4"/>
        <v>No</v>
      </c>
      <c r="T20" s="26" t="str">
        <f>U20</f>
        <v>120/208 AC</v>
      </c>
      <c r="U20" s="272" t="s">
        <v>548</v>
      </c>
      <c r="V20" s="135" t="str">
        <f>W20</f>
        <v>3+ Return and Earth</v>
      </c>
      <c r="W20" s="272" t="s">
        <v>547</v>
      </c>
      <c r="X20" s="30">
        <v>1</v>
      </c>
      <c r="Y20" s="30">
        <v>0</v>
      </c>
      <c r="Z20" s="30">
        <v>0</v>
      </c>
      <c r="AA20" s="138" t="s">
        <v>205</v>
      </c>
      <c r="AB20" s="139" t="s">
        <v>206</v>
      </c>
      <c r="AC20" s="30" t="s">
        <v>410</v>
      </c>
      <c r="AD20" s="29" t="s">
        <v>211</v>
      </c>
      <c r="AE20" s="191" t="s">
        <v>415</v>
      </c>
      <c r="AF20" s="192" t="s">
        <v>414</v>
      </c>
      <c r="AG20" s="30"/>
      <c r="AH20" s="135" t="str">
        <f>AI20</f>
        <v>GVV-Concord-WP</v>
      </c>
      <c r="AI20" s="272" t="s">
        <v>6</v>
      </c>
      <c r="AJ20" s="135" t="str">
        <f>AK20</f>
        <v>WP</v>
      </c>
      <c r="AK20" s="272" t="s">
        <v>9</v>
      </c>
      <c r="AL20" s="135" t="str">
        <f>AM20</f>
        <v>Operational</v>
      </c>
      <c r="AM20" s="276" t="s">
        <v>5</v>
      </c>
      <c r="AN20" s="135" t="str">
        <f>AO20</f>
        <v>Toronto</v>
      </c>
      <c r="AO20" s="136" t="s">
        <v>7</v>
      </c>
      <c r="AP20" s="272" t="s">
        <v>8</v>
      </c>
      <c r="AQ20" s="135" t="str">
        <f>AR20</f>
        <v>ECH-22</v>
      </c>
      <c r="AR20" s="305" t="s">
        <v>192</v>
      </c>
    </row>
    <row r="21" spans="1:44" s="2" customFormat="1" x14ac:dyDescent="0.3">
      <c r="A21" s="292"/>
      <c r="B21" s="28" t="str">
        <f>B20</f>
        <v>PeWP 06</v>
      </c>
      <c r="C21" t="s">
        <v>636</v>
      </c>
      <c r="D21" s="38" t="s">
        <v>23</v>
      </c>
      <c r="E21" s="39">
        <v>1</v>
      </c>
      <c r="F21" s="39" t="s">
        <v>14</v>
      </c>
      <c r="G21" s="39">
        <v>0</v>
      </c>
      <c r="H21" s="39">
        <v>1</v>
      </c>
      <c r="I21" s="43"/>
      <c r="J21" s="235" t="s">
        <v>162</v>
      </c>
      <c r="K21" s="70" t="str">
        <f t="shared" si="6"/>
        <v>AmeTek XG 20-84</v>
      </c>
      <c r="L21" s="71">
        <v>0</v>
      </c>
      <c r="M21" s="71" t="str">
        <f t="shared" si="1"/>
        <v>No</v>
      </c>
      <c r="N21" s="72">
        <v>1</v>
      </c>
      <c r="O21" s="72" t="str">
        <f t="shared" si="2"/>
        <v>Yes</v>
      </c>
      <c r="P21" s="73">
        <v>0</v>
      </c>
      <c r="Q21" s="73" t="str">
        <f t="shared" si="3"/>
        <v>No</v>
      </c>
      <c r="R21" s="71">
        <v>0</v>
      </c>
      <c r="S21" s="15" t="str">
        <f t="shared" si="4"/>
        <v>No</v>
      </c>
      <c r="T21" s="28" t="str">
        <f>T20</f>
        <v>120/208 AC</v>
      </c>
      <c r="U21" s="273"/>
      <c r="V21" s="140" t="str">
        <f>V20</f>
        <v>3+ Return and Earth</v>
      </c>
      <c r="W21" s="273"/>
      <c r="X21" s="39">
        <v>1</v>
      </c>
      <c r="Y21" s="39">
        <v>0</v>
      </c>
      <c r="Z21" s="39">
        <v>0</v>
      </c>
      <c r="AA21" s="141" t="s">
        <v>207</v>
      </c>
      <c r="AB21" s="142" t="s">
        <v>208</v>
      </c>
      <c r="AC21" s="39"/>
      <c r="AD21" s="39"/>
      <c r="AE21" s="39"/>
      <c r="AF21" s="39"/>
      <c r="AG21" s="39"/>
      <c r="AH21" s="140" t="str">
        <f>AH20</f>
        <v>GVV-Concord-WP</v>
      </c>
      <c r="AI21" s="273"/>
      <c r="AJ21" s="140" t="str">
        <f>AJ20</f>
        <v>WP</v>
      </c>
      <c r="AK21" s="273"/>
      <c r="AL21" s="140" t="str">
        <f>AL20</f>
        <v>Operational</v>
      </c>
      <c r="AM21" s="277"/>
      <c r="AN21" s="140" t="str">
        <f>AN20</f>
        <v>Toronto</v>
      </c>
      <c r="AO21" s="82" t="s">
        <v>7</v>
      </c>
      <c r="AP21" s="273"/>
      <c r="AQ21" s="140" t="str">
        <f>AQ20</f>
        <v>ECH-22</v>
      </c>
      <c r="AR21" s="306"/>
    </row>
    <row r="22" spans="1:44" s="2" customFormat="1" x14ac:dyDescent="0.3">
      <c r="A22" s="292"/>
      <c r="B22" s="28" t="str">
        <f t="shared" ref="B22:B23" si="39">B21</f>
        <v>PeWP 06</v>
      </c>
      <c r="C22" t="s">
        <v>636</v>
      </c>
      <c r="D22" s="38" t="s">
        <v>24</v>
      </c>
      <c r="E22" s="39">
        <v>1</v>
      </c>
      <c r="F22" s="39" t="s">
        <v>14</v>
      </c>
      <c r="G22" s="39">
        <v>1</v>
      </c>
      <c r="H22" s="39">
        <v>0</v>
      </c>
      <c r="I22" s="43"/>
      <c r="J22" s="235" t="s">
        <v>162</v>
      </c>
      <c r="K22" s="70" t="str">
        <f t="shared" si="6"/>
        <v>AmeTek XG 20-84</v>
      </c>
      <c r="L22" s="71">
        <v>1</v>
      </c>
      <c r="M22" s="71" t="str">
        <f t="shared" si="1"/>
        <v>Yes</v>
      </c>
      <c r="N22" s="72">
        <v>1</v>
      </c>
      <c r="O22" s="72" t="str">
        <f t="shared" si="2"/>
        <v>Yes</v>
      </c>
      <c r="P22" s="73">
        <v>0</v>
      </c>
      <c r="Q22" s="73" t="str">
        <f t="shared" si="3"/>
        <v>No</v>
      </c>
      <c r="R22" s="71">
        <v>0</v>
      </c>
      <c r="S22" s="15" t="str">
        <f t="shared" si="4"/>
        <v>No</v>
      </c>
      <c r="T22" s="28" t="str">
        <f t="shared" ref="T22:T23" si="40">T21</f>
        <v>120/208 AC</v>
      </c>
      <c r="U22" s="273"/>
      <c r="V22" s="140" t="str">
        <f t="shared" ref="V22:V23" si="41">V21</f>
        <v>3+ Return and Earth</v>
      </c>
      <c r="W22" s="273"/>
      <c r="X22" s="39">
        <v>1</v>
      </c>
      <c r="Y22" s="39">
        <v>0</v>
      </c>
      <c r="Z22" s="39">
        <v>0</v>
      </c>
      <c r="AA22" s="141" t="s">
        <v>209</v>
      </c>
      <c r="AB22" s="142" t="s">
        <v>210</v>
      </c>
      <c r="AC22" s="39" t="s">
        <v>410</v>
      </c>
      <c r="AD22" s="38" t="s">
        <v>212</v>
      </c>
      <c r="AE22" s="191" t="s">
        <v>417</v>
      </c>
      <c r="AF22" s="192" t="s">
        <v>416</v>
      </c>
      <c r="AG22" s="39"/>
      <c r="AH22" s="140" t="str">
        <f t="shared" ref="AH22:AH23" si="42">AH21</f>
        <v>GVV-Concord-WP</v>
      </c>
      <c r="AI22" s="273"/>
      <c r="AJ22" s="140" t="str">
        <f t="shared" ref="AJ22:AJ23" si="43">AJ21</f>
        <v>WP</v>
      </c>
      <c r="AK22" s="273"/>
      <c r="AL22" s="140" t="str">
        <f t="shared" ref="AL22:AL23" si="44">AL21</f>
        <v>Operational</v>
      </c>
      <c r="AM22" s="277"/>
      <c r="AN22" s="140" t="str">
        <f t="shared" ref="AN22:AN23" si="45">AN21</f>
        <v>Toronto</v>
      </c>
      <c r="AO22" s="82" t="s">
        <v>7</v>
      </c>
      <c r="AP22" s="273"/>
      <c r="AQ22" s="140" t="str">
        <f t="shared" ref="AQ22:AQ23" si="46">AQ21</f>
        <v>ECH-22</v>
      </c>
      <c r="AR22" s="306"/>
    </row>
    <row r="23" spans="1:44" s="3" customFormat="1" ht="15" thickBot="1" x14ac:dyDescent="0.35">
      <c r="A23" s="291"/>
      <c r="B23" s="28" t="str">
        <f t="shared" si="39"/>
        <v>PeWP 06</v>
      </c>
      <c r="C23" t="s">
        <v>636</v>
      </c>
      <c r="D23" s="33" t="s">
        <v>25</v>
      </c>
      <c r="E23" s="34">
        <v>1</v>
      </c>
      <c r="F23" s="34" t="s">
        <v>14</v>
      </c>
      <c r="G23" s="34">
        <v>0</v>
      </c>
      <c r="H23" s="34">
        <v>1</v>
      </c>
      <c r="I23" s="44"/>
      <c r="J23" s="236" t="s">
        <v>162</v>
      </c>
      <c r="K23" s="74" t="str">
        <f t="shared" si="6"/>
        <v>AmeTek XG 20-84</v>
      </c>
      <c r="L23" s="66">
        <v>0</v>
      </c>
      <c r="M23" s="66" t="str">
        <f t="shared" si="1"/>
        <v>No</v>
      </c>
      <c r="N23" s="67">
        <v>1</v>
      </c>
      <c r="O23" s="67" t="str">
        <f t="shared" si="2"/>
        <v>Yes</v>
      </c>
      <c r="P23" s="68">
        <v>0</v>
      </c>
      <c r="Q23" s="68" t="str">
        <f t="shared" si="3"/>
        <v>No</v>
      </c>
      <c r="R23" s="66">
        <v>0</v>
      </c>
      <c r="S23" s="14" t="str">
        <f t="shared" si="4"/>
        <v>No</v>
      </c>
      <c r="T23" s="28" t="str">
        <f t="shared" si="40"/>
        <v>120/208 AC</v>
      </c>
      <c r="U23" s="274"/>
      <c r="V23" s="140" t="str">
        <f t="shared" si="41"/>
        <v>3+ Return and Earth</v>
      </c>
      <c r="W23" s="274"/>
      <c r="X23" s="34">
        <v>1</v>
      </c>
      <c r="Y23" s="34">
        <v>0</v>
      </c>
      <c r="Z23" s="34">
        <v>0</v>
      </c>
      <c r="AA23" s="34"/>
      <c r="AB23" s="34"/>
      <c r="AC23" s="34"/>
      <c r="AD23" s="34"/>
      <c r="AE23" s="34"/>
      <c r="AF23" s="34"/>
      <c r="AG23" s="34"/>
      <c r="AH23" s="140" t="str">
        <f t="shared" si="42"/>
        <v>GVV-Concord-WP</v>
      </c>
      <c r="AI23" s="274"/>
      <c r="AJ23" s="140" t="str">
        <f t="shared" si="43"/>
        <v>WP</v>
      </c>
      <c r="AK23" s="274"/>
      <c r="AL23" s="140" t="str">
        <f t="shared" si="44"/>
        <v>Operational</v>
      </c>
      <c r="AM23" s="278"/>
      <c r="AN23" s="140" t="str">
        <f t="shared" si="45"/>
        <v>Toronto</v>
      </c>
      <c r="AO23" s="83" t="s">
        <v>7</v>
      </c>
      <c r="AP23" s="274"/>
      <c r="AQ23" s="140" t="str">
        <f t="shared" si="46"/>
        <v>ECH-22</v>
      </c>
      <c r="AR23" s="307"/>
    </row>
    <row r="24" spans="1:44" s="1" customFormat="1" ht="15" thickTop="1" x14ac:dyDescent="0.3">
      <c r="A24" s="290">
        <f t="shared" si="5"/>
        <v>1</v>
      </c>
      <c r="B24" s="26" t="str">
        <f>C24</f>
        <v>PeWP 07</v>
      </c>
      <c r="C24" t="s">
        <v>637</v>
      </c>
      <c r="D24" s="29" t="s">
        <v>22</v>
      </c>
      <c r="E24" s="30">
        <v>1</v>
      </c>
      <c r="F24" s="30" t="s">
        <v>14</v>
      </c>
      <c r="G24" s="30">
        <v>1</v>
      </c>
      <c r="H24" s="30">
        <v>0</v>
      </c>
      <c r="I24" s="37" t="s">
        <v>139</v>
      </c>
      <c r="J24" s="42" t="s">
        <v>162</v>
      </c>
      <c r="K24" s="69" t="str">
        <f t="shared" si="6"/>
        <v>TDK-Lambda GEN 60-40</v>
      </c>
      <c r="L24" s="62">
        <v>1</v>
      </c>
      <c r="M24" s="62" t="str">
        <f t="shared" si="1"/>
        <v>Yes</v>
      </c>
      <c r="N24" s="63">
        <v>0</v>
      </c>
      <c r="O24" s="63" t="str">
        <f t="shared" si="2"/>
        <v>No</v>
      </c>
      <c r="P24" s="64">
        <v>0</v>
      </c>
      <c r="Q24" s="64" t="str">
        <f t="shared" si="3"/>
        <v>No</v>
      </c>
      <c r="R24" s="62">
        <v>0</v>
      </c>
      <c r="S24" s="13" t="str">
        <f t="shared" si="4"/>
        <v>No</v>
      </c>
      <c r="T24" s="26" t="str">
        <f>U24</f>
        <v>120/208 AC</v>
      </c>
      <c r="U24" s="272" t="s">
        <v>548</v>
      </c>
      <c r="V24" s="135" t="str">
        <f>W24</f>
        <v>3+ Return and Earth</v>
      </c>
      <c r="W24" s="272" t="s">
        <v>547</v>
      </c>
      <c r="X24" s="30">
        <v>1</v>
      </c>
      <c r="Y24" s="30">
        <v>0</v>
      </c>
      <c r="Z24" s="30">
        <v>0</v>
      </c>
      <c r="AA24" s="204" t="s">
        <v>213</v>
      </c>
      <c r="AB24" s="145" t="s">
        <v>214</v>
      </c>
      <c r="AC24" s="30" t="s">
        <v>410</v>
      </c>
      <c r="AD24" s="139" t="s">
        <v>215</v>
      </c>
      <c r="AE24" s="191" t="s">
        <v>415</v>
      </c>
      <c r="AF24" s="192" t="s">
        <v>418</v>
      </c>
      <c r="AG24" s="30"/>
      <c r="AH24" s="135" t="str">
        <f>AI24</f>
        <v>GVV-Concord-WP</v>
      </c>
      <c r="AI24" s="272" t="s">
        <v>6</v>
      </c>
      <c r="AJ24" s="135" t="str">
        <f>AK24</f>
        <v>WP</v>
      </c>
      <c r="AK24" s="272" t="s">
        <v>9</v>
      </c>
      <c r="AL24" s="135" t="str">
        <f>AM24</f>
        <v>Operational</v>
      </c>
      <c r="AM24" s="276" t="s">
        <v>5</v>
      </c>
      <c r="AN24" s="135" t="str">
        <f>AO24</f>
        <v>Toronto</v>
      </c>
      <c r="AO24" s="136" t="s">
        <v>7</v>
      </c>
      <c r="AP24" s="272" t="s">
        <v>8</v>
      </c>
      <c r="AQ24" s="135" t="str">
        <f>AR24</f>
        <v>Contamination Table</v>
      </c>
      <c r="AR24" s="305" t="s">
        <v>198</v>
      </c>
    </row>
    <row r="25" spans="1:44" s="2" customFormat="1" x14ac:dyDescent="0.3">
      <c r="A25" s="292"/>
      <c r="B25" s="28" t="str">
        <f>B24</f>
        <v>PeWP 07</v>
      </c>
      <c r="C25" t="s">
        <v>637</v>
      </c>
      <c r="D25" s="38" t="s">
        <v>22</v>
      </c>
      <c r="E25" s="39">
        <v>0</v>
      </c>
      <c r="F25" s="39" t="s">
        <v>14</v>
      </c>
      <c r="G25" s="39">
        <v>0</v>
      </c>
      <c r="H25" s="39">
        <v>1</v>
      </c>
      <c r="I25" s="40" t="s">
        <v>139</v>
      </c>
      <c r="J25" s="43" t="s">
        <v>162</v>
      </c>
      <c r="K25" s="70" t="str">
        <f t="shared" si="6"/>
        <v>TDK-Lambda GEN 60-40</v>
      </c>
      <c r="L25" s="71">
        <v>0</v>
      </c>
      <c r="M25" s="71" t="str">
        <f t="shared" si="1"/>
        <v>No</v>
      </c>
      <c r="N25" s="72">
        <v>0</v>
      </c>
      <c r="O25" s="72" t="str">
        <f t="shared" si="2"/>
        <v>No</v>
      </c>
      <c r="P25" s="73">
        <v>0</v>
      </c>
      <c r="Q25" s="73" t="str">
        <f t="shared" si="3"/>
        <v>No</v>
      </c>
      <c r="R25" s="71">
        <v>0</v>
      </c>
      <c r="S25" s="15" t="str">
        <f t="shared" si="4"/>
        <v>No</v>
      </c>
      <c r="T25" s="28" t="str">
        <f>T24</f>
        <v>120/208 AC</v>
      </c>
      <c r="U25" s="273"/>
      <c r="V25" s="140" t="str">
        <f>V24</f>
        <v>3+ Return and Earth</v>
      </c>
      <c r="W25" s="273"/>
      <c r="X25" s="39">
        <v>0</v>
      </c>
      <c r="Y25" s="39">
        <v>0</v>
      </c>
      <c r="Z25" s="39">
        <v>0</v>
      </c>
      <c r="AA25" s="205" t="s">
        <v>213</v>
      </c>
      <c r="AB25" s="147" t="s">
        <v>214</v>
      </c>
      <c r="AC25" s="39"/>
      <c r="AD25" s="39"/>
      <c r="AE25" s="39"/>
      <c r="AF25" s="39"/>
      <c r="AG25" s="39"/>
      <c r="AH25" s="140" t="str">
        <f>AH24</f>
        <v>GVV-Concord-WP</v>
      </c>
      <c r="AI25" s="273"/>
      <c r="AJ25" s="140" t="str">
        <f>AJ24</f>
        <v>WP</v>
      </c>
      <c r="AK25" s="273"/>
      <c r="AL25" s="140" t="str">
        <f>AL24</f>
        <v>Operational</v>
      </c>
      <c r="AM25" s="277"/>
      <c r="AN25" s="140" t="str">
        <f>AN24</f>
        <v>Toronto</v>
      </c>
      <c r="AO25" s="82" t="s">
        <v>7</v>
      </c>
      <c r="AP25" s="273"/>
      <c r="AQ25" s="140" t="str">
        <f>AQ24</f>
        <v>Contamination Table</v>
      </c>
      <c r="AR25" s="306"/>
    </row>
    <row r="26" spans="1:44" s="2" customFormat="1" x14ac:dyDescent="0.3">
      <c r="A26" s="292"/>
      <c r="B26" s="28" t="str">
        <f t="shared" ref="B26:B27" si="47">B25</f>
        <v>PeWP 07</v>
      </c>
      <c r="C26" t="s">
        <v>637</v>
      </c>
      <c r="D26" s="38" t="s">
        <v>23</v>
      </c>
      <c r="E26" s="39">
        <v>1</v>
      </c>
      <c r="F26" s="39" t="s">
        <v>14</v>
      </c>
      <c r="G26" s="39">
        <v>1</v>
      </c>
      <c r="H26" s="39">
        <v>0</v>
      </c>
      <c r="I26" s="40" t="s">
        <v>139</v>
      </c>
      <c r="J26" s="43" t="s">
        <v>162</v>
      </c>
      <c r="K26" s="70" t="str">
        <f t="shared" si="6"/>
        <v>TDK-Lambda GEN 60-40</v>
      </c>
      <c r="L26" s="71">
        <v>1</v>
      </c>
      <c r="M26" s="71" t="str">
        <f t="shared" si="1"/>
        <v>Yes</v>
      </c>
      <c r="N26" s="72">
        <v>0</v>
      </c>
      <c r="O26" s="72" t="str">
        <f t="shared" si="2"/>
        <v>No</v>
      </c>
      <c r="P26" s="73">
        <v>0</v>
      </c>
      <c r="Q26" s="73" t="str">
        <f t="shared" si="3"/>
        <v>No</v>
      </c>
      <c r="R26" s="71">
        <v>0</v>
      </c>
      <c r="S26" s="15" t="str">
        <f t="shared" si="4"/>
        <v>No</v>
      </c>
      <c r="T26" s="28" t="str">
        <f t="shared" ref="T26:T27" si="48">T25</f>
        <v>120/208 AC</v>
      </c>
      <c r="U26" s="273"/>
      <c r="V26" s="140" t="str">
        <f t="shared" ref="V26:V27" si="49">V25</f>
        <v>3+ Return and Earth</v>
      </c>
      <c r="W26" s="273"/>
      <c r="X26" s="39">
        <v>1</v>
      </c>
      <c r="Y26" s="39">
        <v>0</v>
      </c>
      <c r="Z26" s="39">
        <v>0</v>
      </c>
      <c r="AA26" s="39"/>
      <c r="AB26" s="39"/>
      <c r="AC26" s="39" t="s">
        <v>410</v>
      </c>
      <c r="AD26" s="142" t="s">
        <v>216</v>
      </c>
      <c r="AE26" s="167">
        <v>2765</v>
      </c>
      <c r="AF26" s="193" t="s">
        <v>419</v>
      </c>
      <c r="AG26" s="39"/>
      <c r="AH26" s="140" t="str">
        <f t="shared" ref="AH26:AH27" si="50">AH25</f>
        <v>GVV-Concord-WP</v>
      </c>
      <c r="AI26" s="273"/>
      <c r="AJ26" s="140" t="str">
        <f t="shared" ref="AJ26:AJ27" si="51">AJ25</f>
        <v>WP</v>
      </c>
      <c r="AK26" s="273"/>
      <c r="AL26" s="140" t="str">
        <f t="shared" ref="AL26:AL27" si="52">AL25</f>
        <v>Operational</v>
      </c>
      <c r="AM26" s="277"/>
      <c r="AN26" s="140" t="str">
        <f t="shared" ref="AN26:AN27" si="53">AN25</f>
        <v>Toronto</v>
      </c>
      <c r="AO26" s="82" t="s">
        <v>7</v>
      </c>
      <c r="AP26" s="273"/>
      <c r="AQ26" s="140" t="str">
        <f t="shared" ref="AQ26:AQ27" si="54">AQ25</f>
        <v>Contamination Table</v>
      </c>
      <c r="AR26" s="306"/>
    </row>
    <row r="27" spans="1:44" s="3" customFormat="1" ht="15" thickBot="1" x14ac:dyDescent="0.35">
      <c r="A27" s="291"/>
      <c r="B27" s="28" t="str">
        <f t="shared" si="47"/>
        <v>PeWP 07</v>
      </c>
      <c r="C27" t="s">
        <v>637</v>
      </c>
      <c r="D27" s="33" t="s">
        <v>23</v>
      </c>
      <c r="E27" s="34">
        <v>0</v>
      </c>
      <c r="F27" s="34" t="s">
        <v>14</v>
      </c>
      <c r="G27" s="34">
        <v>0</v>
      </c>
      <c r="H27" s="34">
        <v>1</v>
      </c>
      <c r="I27" s="41" t="s">
        <v>139</v>
      </c>
      <c r="J27" s="44" t="s">
        <v>162</v>
      </c>
      <c r="K27" s="74" t="str">
        <f t="shared" si="6"/>
        <v>TDK-Lambda GEN 60-40</v>
      </c>
      <c r="L27" s="66">
        <v>0</v>
      </c>
      <c r="M27" s="66" t="str">
        <f t="shared" si="1"/>
        <v>No</v>
      </c>
      <c r="N27" s="67">
        <v>0</v>
      </c>
      <c r="O27" s="67" t="str">
        <f t="shared" si="2"/>
        <v>No</v>
      </c>
      <c r="P27" s="68">
        <v>0</v>
      </c>
      <c r="Q27" s="68" t="str">
        <f t="shared" si="3"/>
        <v>No</v>
      </c>
      <c r="R27" s="66">
        <v>0</v>
      </c>
      <c r="S27" s="14" t="str">
        <f t="shared" si="4"/>
        <v>No</v>
      </c>
      <c r="T27" s="28" t="str">
        <f t="shared" si="48"/>
        <v>120/208 AC</v>
      </c>
      <c r="U27" s="274"/>
      <c r="V27" s="140" t="str">
        <f t="shared" si="49"/>
        <v>3+ Return and Earth</v>
      </c>
      <c r="W27" s="274"/>
      <c r="X27" s="34">
        <v>0</v>
      </c>
      <c r="Y27" s="34">
        <v>0</v>
      </c>
      <c r="Z27" s="34">
        <v>0</v>
      </c>
      <c r="AA27" s="34"/>
      <c r="AB27" s="34"/>
      <c r="AC27" s="34"/>
      <c r="AD27" s="34"/>
      <c r="AE27" s="34"/>
      <c r="AF27" s="34"/>
      <c r="AG27" s="34"/>
      <c r="AH27" s="140" t="str">
        <f t="shared" si="50"/>
        <v>GVV-Concord-WP</v>
      </c>
      <c r="AI27" s="274"/>
      <c r="AJ27" s="140" t="str">
        <f t="shared" si="51"/>
        <v>WP</v>
      </c>
      <c r="AK27" s="274"/>
      <c r="AL27" s="140" t="str">
        <f t="shared" si="52"/>
        <v>Operational</v>
      </c>
      <c r="AM27" s="278"/>
      <c r="AN27" s="140" t="str">
        <f t="shared" si="53"/>
        <v>Toronto</v>
      </c>
      <c r="AO27" s="83" t="s">
        <v>7</v>
      </c>
      <c r="AP27" s="274"/>
      <c r="AQ27" s="140" t="str">
        <f t="shared" si="54"/>
        <v>Contamination Table</v>
      </c>
      <c r="AR27" s="307"/>
    </row>
    <row r="28" spans="1:44" s="1" customFormat="1" ht="15" thickTop="1" x14ac:dyDescent="0.3">
      <c r="A28" s="290">
        <f t="shared" si="5"/>
        <v>1</v>
      </c>
      <c r="B28" s="26" t="str">
        <f>C28</f>
        <v>PeWP 08</v>
      </c>
      <c r="C28" t="s">
        <v>638</v>
      </c>
      <c r="D28" s="29" t="s">
        <v>22</v>
      </c>
      <c r="E28" s="30">
        <v>1</v>
      </c>
      <c r="F28" s="30" t="s">
        <v>14</v>
      </c>
      <c r="G28" s="30">
        <v>1</v>
      </c>
      <c r="H28" s="30">
        <v>0</v>
      </c>
      <c r="I28" s="42" t="s">
        <v>401</v>
      </c>
      <c r="J28" s="42" t="s">
        <v>162</v>
      </c>
      <c r="K28" s="69" t="str">
        <f t="shared" si="6"/>
        <v>TDK-Lambda GEN 60-40</v>
      </c>
      <c r="L28" s="62">
        <v>1</v>
      </c>
      <c r="M28" s="62" t="str">
        <f t="shared" si="1"/>
        <v>Yes</v>
      </c>
      <c r="N28" s="63">
        <v>0</v>
      </c>
      <c r="O28" s="63" t="str">
        <f t="shared" si="2"/>
        <v>No</v>
      </c>
      <c r="P28" s="64">
        <v>0</v>
      </c>
      <c r="Q28" s="64" t="str">
        <f t="shared" si="3"/>
        <v>No</v>
      </c>
      <c r="R28" s="62">
        <v>0</v>
      </c>
      <c r="S28" s="13" t="str">
        <f t="shared" si="4"/>
        <v>No</v>
      </c>
      <c r="T28" s="26" t="str">
        <f>U28</f>
        <v>120/208 AC</v>
      </c>
      <c r="U28" s="272" t="s">
        <v>548</v>
      </c>
      <c r="V28" s="135" t="str">
        <f>W28</f>
        <v>3+ Return and Earth</v>
      </c>
      <c r="W28" s="272" t="s">
        <v>547</v>
      </c>
      <c r="X28" s="30">
        <v>1</v>
      </c>
      <c r="Y28" s="30">
        <v>0</v>
      </c>
      <c r="Z28" s="30">
        <v>0</v>
      </c>
      <c r="AA28" s="148" t="s">
        <v>217</v>
      </c>
      <c r="AB28" s="139" t="s">
        <v>218</v>
      </c>
      <c r="AC28" s="29" t="s">
        <v>410</v>
      </c>
      <c r="AD28" s="29" t="s">
        <v>221</v>
      </c>
      <c r="AE28" s="191" t="s">
        <v>421</v>
      </c>
      <c r="AF28" s="192" t="s">
        <v>420</v>
      </c>
      <c r="AG28" s="30"/>
      <c r="AH28" s="135" t="str">
        <f>AI28</f>
        <v>GVV-Concord-WP</v>
      </c>
      <c r="AI28" s="272" t="s">
        <v>6</v>
      </c>
      <c r="AJ28" s="135" t="str">
        <f>AK28</f>
        <v>WP</v>
      </c>
      <c r="AK28" s="272" t="s">
        <v>9</v>
      </c>
      <c r="AL28" s="135" t="str">
        <f>AM28</f>
        <v>Operational</v>
      </c>
      <c r="AM28" s="276" t="s">
        <v>5</v>
      </c>
      <c r="AN28" s="135" t="str">
        <f>AO28</f>
        <v>Toronto</v>
      </c>
      <c r="AO28" s="136" t="s">
        <v>7</v>
      </c>
      <c r="AP28" s="272" t="s">
        <v>8</v>
      </c>
      <c r="AQ28" s="135" t="str">
        <f>AR28</f>
        <v>Storage</v>
      </c>
      <c r="AR28" s="305" t="s">
        <v>92</v>
      </c>
    </row>
    <row r="29" spans="1:44" s="2" customFormat="1" x14ac:dyDescent="0.3">
      <c r="A29" s="292"/>
      <c r="B29" s="28" t="str">
        <f>B28</f>
        <v>PeWP 08</v>
      </c>
      <c r="C29" t="s">
        <v>638</v>
      </c>
      <c r="D29" s="38" t="s">
        <v>22</v>
      </c>
      <c r="E29" s="39">
        <v>0</v>
      </c>
      <c r="F29" s="39" t="s">
        <v>14</v>
      </c>
      <c r="G29" s="39">
        <v>0</v>
      </c>
      <c r="H29" s="39">
        <v>1</v>
      </c>
      <c r="I29" s="43" t="s">
        <v>401</v>
      </c>
      <c r="J29" s="43" t="s">
        <v>162</v>
      </c>
      <c r="K29" s="70" t="str">
        <f t="shared" si="6"/>
        <v>TDK-Lambda GEN 60-40</v>
      </c>
      <c r="L29" s="71">
        <v>0</v>
      </c>
      <c r="M29" s="71" t="str">
        <f t="shared" si="1"/>
        <v>No</v>
      </c>
      <c r="N29" s="72">
        <v>0</v>
      </c>
      <c r="O29" s="72" t="str">
        <f t="shared" si="2"/>
        <v>No</v>
      </c>
      <c r="P29" s="73">
        <v>0</v>
      </c>
      <c r="Q29" s="73" t="str">
        <f t="shared" si="3"/>
        <v>No</v>
      </c>
      <c r="R29" s="71">
        <v>0</v>
      </c>
      <c r="S29" s="15" t="str">
        <f t="shared" si="4"/>
        <v>No</v>
      </c>
      <c r="T29" s="28" t="str">
        <f>T28</f>
        <v>120/208 AC</v>
      </c>
      <c r="U29" s="273"/>
      <c r="V29" s="140" t="str">
        <f>V28</f>
        <v>3+ Return and Earth</v>
      </c>
      <c r="W29" s="273"/>
      <c r="X29" s="39">
        <v>0</v>
      </c>
      <c r="Y29" s="39">
        <v>0</v>
      </c>
      <c r="Z29" s="39">
        <v>0</v>
      </c>
      <c r="AA29" s="149" t="s">
        <v>217</v>
      </c>
      <c r="AB29" s="142" t="s">
        <v>218</v>
      </c>
      <c r="AC29" s="38"/>
      <c r="AD29" s="39"/>
      <c r="AE29" s="39"/>
      <c r="AF29" s="39"/>
      <c r="AG29" s="39"/>
      <c r="AH29" s="140" t="str">
        <f>AH28</f>
        <v>GVV-Concord-WP</v>
      </c>
      <c r="AI29" s="273"/>
      <c r="AJ29" s="140" t="str">
        <f>AJ28</f>
        <v>WP</v>
      </c>
      <c r="AK29" s="273"/>
      <c r="AL29" s="140" t="str">
        <f>AL28</f>
        <v>Operational</v>
      </c>
      <c r="AM29" s="277"/>
      <c r="AN29" s="140" t="str">
        <f>AN28</f>
        <v>Toronto</v>
      </c>
      <c r="AO29" s="82" t="s">
        <v>7</v>
      </c>
      <c r="AP29" s="273"/>
      <c r="AQ29" s="140" t="str">
        <f>AQ28</f>
        <v>Storage</v>
      </c>
      <c r="AR29" s="306"/>
    </row>
    <row r="30" spans="1:44" s="2" customFormat="1" x14ac:dyDescent="0.3">
      <c r="A30" s="292"/>
      <c r="B30" s="28" t="str">
        <f t="shared" ref="B30:B31" si="55">B29</f>
        <v>PeWP 08</v>
      </c>
      <c r="C30" t="s">
        <v>638</v>
      </c>
      <c r="D30" s="38" t="s">
        <v>23</v>
      </c>
      <c r="E30" s="39">
        <v>1</v>
      </c>
      <c r="F30" s="39" t="s">
        <v>14</v>
      </c>
      <c r="G30" s="39">
        <v>1</v>
      </c>
      <c r="H30" s="39">
        <v>0</v>
      </c>
      <c r="I30" s="43" t="s">
        <v>401</v>
      </c>
      <c r="J30" s="43" t="s">
        <v>162</v>
      </c>
      <c r="K30" s="70" t="str">
        <f t="shared" si="6"/>
        <v>TDK-Lambda GEN 60-40</v>
      </c>
      <c r="L30" s="71">
        <v>1</v>
      </c>
      <c r="M30" s="71" t="str">
        <f t="shared" si="1"/>
        <v>Yes</v>
      </c>
      <c r="N30" s="72">
        <v>0</v>
      </c>
      <c r="O30" s="72" t="str">
        <f t="shared" si="2"/>
        <v>No</v>
      </c>
      <c r="P30" s="73">
        <v>0</v>
      </c>
      <c r="Q30" s="73" t="str">
        <f t="shared" si="3"/>
        <v>No</v>
      </c>
      <c r="R30" s="71">
        <v>0</v>
      </c>
      <c r="S30" s="15" t="str">
        <f t="shared" si="4"/>
        <v>No</v>
      </c>
      <c r="T30" s="28" t="str">
        <f t="shared" ref="T30:T31" si="56">T29</f>
        <v>120/208 AC</v>
      </c>
      <c r="U30" s="273"/>
      <c r="V30" s="140" t="str">
        <f t="shared" ref="V30:V31" si="57">V29</f>
        <v>3+ Return and Earth</v>
      </c>
      <c r="W30" s="273"/>
      <c r="X30" s="39">
        <v>1</v>
      </c>
      <c r="Y30" s="39">
        <v>0</v>
      </c>
      <c r="Z30" s="39">
        <v>0</v>
      </c>
      <c r="AA30" s="149" t="s">
        <v>219</v>
      </c>
      <c r="AB30" s="142" t="s">
        <v>220</v>
      </c>
      <c r="AC30" s="38"/>
      <c r="AD30" s="38" t="s">
        <v>222</v>
      </c>
      <c r="AE30" s="191" t="s">
        <v>421</v>
      </c>
      <c r="AF30" s="192" t="s">
        <v>422</v>
      </c>
      <c r="AG30" s="39"/>
      <c r="AH30" s="140" t="str">
        <f t="shared" ref="AH30:AH31" si="58">AH29</f>
        <v>GVV-Concord-WP</v>
      </c>
      <c r="AI30" s="273"/>
      <c r="AJ30" s="140" t="str">
        <f t="shared" ref="AJ30:AJ31" si="59">AJ29</f>
        <v>WP</v>
      </c>
      <c r="AK30" s="273"/>
      <c r="AL30" s="140" t="str">
        <f t="shared" ref="AL30:AL31" si="60">AL29</f>
        <v>Operational</v>
      </c>
      <c r="AM30" s="277"/>
      <c r="AN30" s="140" t="str">
        <f t="shared" ref="AN30:AN31" si="61">AN29</f>
        <v>Toronto</v>
      </c>
      <c r="AO30" s="82" t="s">
        <v>7</v>
      </c>
      <c r="AP30" s="273"/>
      <c r="AQ30" s="140" t="str">
        <f t="shared" ref="AQ30:AQ31" si="62">AQ29</f>
        <v>Storage</v>
      </c>
      <c r="AR30" s="306"/>
    </row>
    <row r="31" spans="1:44" s="3" customFormat="1" ht="15" thickBot="1" x14ac:dyDescent="0.35">
      <c r="A31" s="291"/>
      <c r="B31" s="28" t="str">
        <f t="shared" si="55"/>
        <v>PeWP 08</v>
      </c>
      <c r="C31" t="s">
        <v>638</v>
      </c>
      <c r="D31" s="33" t="s">
        <v>23</v>
      </c>
      <c r="E31" s="34">
        <v>0</v>
      </c>
      <c r="F31" s="34" t="s">
        <v>14</v>
      </c>
      <c r="G31" s="34">
        <v>0</v>
      </c>
      <c r="H31" s="34">
        <v>1</v>
      </c>
      <c r="I31" s="44" t="s">
        <v>401</v>
      </c>
      <c r="J31" s="44" t="s">
        <v>162</v>
      </c>
      <c r="K31" s="74" t="str">
        <f t="shared" si="6"/>
        <v>TDK-Lambda GEN 60-40</v>
      </c>
      <c r="L31" s="66">
        <v>0</v>
      </c>
      <c r="M31" s="66" t="str">
        <f t="shared" si="1"/>
        <v>No</v>
      </c>
      <c r="N31" s="67">
        <v>0</v>
      </c>
      <c r="O31" s="67" t="str">
        <f t="shared" si="2"/>
        <v>No</v>
      </c>
      <c r="P31" s="68">
        <v>0</v>
      </c>
      <c r="Q31" s="68" t="str">
        <f t="shared" si="3"/>
        <v>No</v>
      </c>
      <c r="R31" s="66">
        <v>0</v>
      </c>
      <c r="S31" s="14" t="str">
        <f t="shared" si="4"/>
        <v>No</v>
      </c>
      <c r="T31" s="28" t="str">
        <f t="shared" si="56"/>
        <v>120/208 AC</v>
      </c>
      <c r="U31" s="274"/>
      <c r="V31" s="140" t="str">
        <f t="shared" si="57"/>
        <v>3+ Return and Earth</v>
      </c>
      <c r="W31" s="274"/>
      <c r="X31" s="34">
        <v>0</v>
      </c>
      <c r="Y31" s="34">
        <v>0</v>
      </c>
      <c r="Z31" s="34">
        <v>0</v>
      </c>
      <c r="AA31" s="150" t="s">
        <v>219</v>
      </c>
      <c r="AB31" s="144" t="s">
        <v>220</v>
      </c>
      <c r="AC31" s="33"/>
      <c r="AD31" s="34"/>
      <c r="AE31" s="34"/>
      <c r="AF31" s="34"/>
      <c r="AG31" s="34"/>
      <c r="AH31" s="140" t="str">
        <f t="shared" si="58"/>
        <v>GVV-Concord-WP</v>
      </c>
      <c r="AI31" s="274"/>
      <c r="AJ31" s="140" t="str">
        <f t="shared" si="59"/>
        <v>WP</v>
      </c>
      <c r="AK31" s="274"/>
      <c r="AL31" s="140" t="str">
        <f t="shared" si="60"/>
        <v>Operational</v>
      </c>
      <c r="AM31" s="278"/>
      <c r="AN31" s="140" t="str">
        <f t="shared" si="61"/>
        <v>Toronto</v>
      </c>
      <c r="AO31" s="83" t="s">
        <v>7</v>
      </c>
      <c r="AP31" s="274"/>
      <c r="AQ31" s="140" t="str">
        <f t="shared" si="62"/>
        <v>Storage</v>
      </c>
      <c r="AR31" s="307"/>
    </row>
    <row r="32" spans="1:44" s="1" customFormat="1" ht="15" thickTop="1" x14ac:dyDescent="0.3">
      <c r="A32" s="290">
        <f t="shared" si="5"/>
        <v>1</v>
      </c>
      <c r="B32" s="26" t="str">
        <f>C32</f>
        <v>PeWP 09</v>
      </c>
      <c r="C32" t="s">
        <v>639</v>
      </c>
      <c r="D32" s="29" t="s">
        <v>22</v>
      </c>
      <c r="E32" s="30">
        <v>1</v>
      </c>
      <c r="F32" s="30" t="s">
        <v>14</v>
      </c>
      <c r="G32" s="30">
        <v>1</v>
      </c>
      <c r="H32" s="30">
        <v>0</v>
      </c>
      <c r="I32" s="42" t="s">
        <v>401</v>
      </c>
      <c r="J32" s="42" t="s">
        <v>162</v>
      </c>
      <c r="K32" s="69" t="str">
        <f t="shared" si="6"/>
        <v>TDK-Lambda GEN 60-40</v>
      </c>
      <c r="L32" s="62">
        <v>1</v>
      </c>
      <c r="M32" s="62" t="str">
        <f t="shared" si="1"/>
        <v>Yes</v>
      </c>
      <c r="N32" s="63">
        <v>0</v>
      </c>
      <c r="O32" s="63" t="str">
        <f t="shared" si="2"/>
        <v>No</v>
      </c>
      <c r="P32" s="64">
        <v>0</v>
      </c>
      <c r="Q32" s="64" t="str">
        <f t="shared" si="3"/>
        <v>No</v>
      </c>
      <c r="R32" s="62">
        <v>0</v>
      </c>
      <c r="S32" s="13" t="str">
        <f t="shared" si="4"/>
        <v>No</v>
      </c>
      <c r="T32" s="26" t="str">
        <f>U32</f>
        <v>120/208 AC</v>
      </c>
      <c r="U32" s="272" t="s">
        <v>548</v>
      </c>
      <c r="V32" s="135" t="str">
        <f>W32</f>
        <v>3+ Return and Earth</v>
      </c>
      <c r="W32" s="272" t="s">
        <v>547</v>
      </c>
      <c r="X32" s="30">
        <v>1</v>
      </c>
      <c r="Y32" s="30">
        <v>0</v>
      </c>
      <c r="Z32" s="30">
        <v>0</v>
      </c>
      <c r="AA32" s="148" t="s">
        <v>223</v>
      </c>
      <c r="AB32" s="139" t="s">
        <v>224</v>
      </c>
      <c r="AC32" s="29" t="s">
        <v>410</v>
      </c>
      <c r="AD32" s="29" t="s">
        <v>227</v>
      </c>
      <c r="AE32" s="191" t="s">
        <v>424</v>
      </c>
      <c r="AF32" s="192" t="s">
        <v>423</v>
      </c>
      <c r="AG32" s="30"/>
      <c r="AH32" s="135" t="str">
        <f>AI32</f>
        <v>GVV-Concord-WP</v>
      </c>
      <c r="AI32" s="272" t="s">
        <v>6</v>
      </c>
      <c r="AJ32" s="135" t="str">
        <f>AK32</f>
        <v>WP</v>
      </c>
      <c r="AK32" s="272" t="s">
        <v>9</v>
      </c>
      <c r="AL32" s="135" t="str">
        <f>AM32</f>
        <v>Operational</v>
      </c>
      <c r="AM32" s="276" t="s">
        <v>5</v>
      </c>
      <c r="AN32" s="135" t="str">
        <f>AO32</f>
        <v>Toronto</v>
      </c>
      <c r="AO32" s="136" t="s">
        <v>7</v>
      </c>
      <c r="AP32" s="272" t="s">
        <v>8</v>
      </c>
      <c r="AQ32" s="135" t="str">
        <f>AR32</f>
        <v>ECH-06</v>
      </c>
      <c r="AR32" s="305" t="s">
        <v>181</v>
      </c>
    </row>
    <row r="33" spans="1:44" s="2" customFormat="1" x14ac:dyDescent="0.3">
      <c r="A33" s="292"/>
      <c r="B33" s="28" t="str">
        <f>B32</f>
        <v>PeWP 09</v>
      </c>
      <c r="C33" t="s">
        <v>639</v>
      </c>
      <c r="D33" s="38" t="s">
        <v>22</v>
      </c>
      <c r="E33" s="39">
        <v>0</v>
      </c>
      <c r="F33" s="39" t="s">
        <v>14</v>
      </c>
      <c r="G33" s="39">
        <v>0</v>
      </c>
      <c r="H33" s="39">
        <v>1</v>
      </c>
      <c r="I33" s="43" t="s">
        <v>401</v>
      </c>
      <c r="J33" s="43" t="s">
        <v>162</v>
      </c>
      <c r="K33" s="70" t="str">
        <f t="shared" si="6"/>
        <v>TDK-Lambda GEN 60-40</v>
      </c>
      <c r="L33" s="71">
        <v>0</v>
      </c>
      <c r="M33" s="71" t="str">
        <f t="shared" si="1"/>
        <v>No</v>
      </c>
      <c r="N33" s="72">
        <v>0</v>
      </c>
      <c r="O33" s="72" t="str">
        <f t="shared" si="2"/>
        <v>No</v>
      </c>
      <c r="P33" s="73">
        <v>0</v>
      </c>
      <c r="Q33" s="73" t="str">
        <f t="shared" si="3"/>
        <v>No</v>
      </c>
      <c r="R33" s="71">
        <v>0</v>
      </c>
      <c r="S33" s="15" t="str">
        <f t="shared" si="4"/>
        <v>No</v>
      </c>
      <c r="T33" s="28" t="str">
        <f>T32</f>
        <v>120/208 AC</v>
      </c>
      <c r="U33" s="273"/>
      <c r="V33" s="140" t="str">
        <f>V32</f>
        <v>3+ Return and Earth</v>
      </c>
      <c r="W33" s="273"/>
      <c r="X33" s="39">
        <v>0</v>
      </c>
      <c r="Y33" s="39">
        <v>0</v>
      </c>
      <c r="Z33" s="39">
        <v>0</v>
      </c>
      <c r="AA33" s="149" t="s">
        <v>223</v>
      </c>
      <c r="AB33" s="142" t="s">
        <v>224</v>
      </c>
      <c r="AC33" s="38"/>
      <c r="AD33" s="39"/>
      <c r="AE33" s="39"/>
      <c r="AF33" s="39"/>
      <c r="AG33" s="39"/>
      <c r="AH33" s="140" t="str">
        <f>AH32</f>
        <v>GVV-Concord-WP</v>
      </c>
      <c r="AI33" s="273"/>
      <c r="AJ33" s="140" t="str">
        <f>AJ32</f>
        <v>WP</v>
      </c>
      <c r="AK33" s="273"/>
      <c r="AL33" s="140" t="str">
        <f>AL32</f>
        <v>Operational</v>
      </c>
      <c r="AM33" s="277"/>
      <c r="AN33" s="140" t="str">
        <f>AN32</f>
        <v>Toronto</v>
      </c>
      <c r="AO33" s="82" t="s">
        <v>7</v>
      </c>
      <c r="AP33" s="273"/>
      <c r="AQ33" s="140" t="str">
        <f>AQ32</f>
        <v>ECH-06</v>
      </c>
      <c r="AR33" s="306"/>
    </row>
    <row r="34" spans="1:44" s="2" customFormat="1" x14ac:dyDescent="0.3">
      <c r="A34" s="292"/>
      <c r="B34" s="28" t="str">
        <f t="shared" ref="B34:B35" si="63">B33</f>
        <v>PeWP 09</v>
      </c>
      <c r="C34" t="s">
        <v>639</v>
      </c>
      <c r="D34" s="38" t="s">
        <v>23</v>
      </c>
      <c r="E34" s="39">
        <v>1</v>
      </c>
      <c r="F34" s="39" t="s">
        <v>14</v>
      </c>
      <c r="G34" s="39">
        <v>1</v>
      </c>
      <c r="H34" s="39">
        <v>0</v>
      </c>
      <c r="I34" s="43" t="s">
        <v>401</v>
      </c>
      <c r="J34" s="43" t="s">
        <v>162</v>
      </c>
      <c r="K34" s="70" t="str">
        <f t="shared" si="6"/>
        <v>TDK-Lambda GEN 60-40</v>
      </c>
      <c r="L34" s="71">
        <v>1</v>
      </c>
      <c r="M34" s="71" t="str">
        <f t="shared" si="1"/>
        <v>Yes</v>
      </c>
      <c r="N34" s="72">
        <v>0</v>
      </c>
      <c r="O34" s="72" t="str">
        <f t="shared" si="2"/>
        <v>No</v>
      </c>
      <c r="P34" s="73">
        <v>0</v>
      </c>
      <c r="Q34" s="73" t="str">
        <f t="shared" si="3"/>
        <v>No</v>
      </c>
      <c r="R34" s="71">
        <v>0</v>
      </c>
      <c r="S34" s="15" t="str">
        <f t="shared" si="4"/>
        <v>No</v>
      </c>
      <c r="T34" s="28" t="str">
        <f t="shared" ref="T34:T35" si="64">T33</f>
        <v>120/208 AC</v>
      </c>
      <c r="U34" s="273"/>
      <c r="V34" s="140" t="str">
        <f t="shared" ref="V34:V35" si="65">V33</f>
        <v>3+ Return and Earth</v>
      </c>
      <c r="W34" s="273"/>
      <c r="X34" s="39">
        <v>1</v>
      </c>
      <c r="Y34" s="39">
        <v>0</v>
      </c>
      <c r="Z34" s="39">
        <v>0</v>
      </c>
      <c r="AA34" s="149" t="s">
        <v>225</v>
      </c>
      <c r="AB34" s="142" t="s">
        <v>226</v>
      </c>
      <c r="AC34" s="38" t="s">
        <v>410</v>
      </c>
      <c r="AD34" s="38" t="s">
        <v>228</v>
      </c>
      <c r="AE34" s="191" t="s">
        <v>425</v>
      </c>
      <c r="AF34" s="192" t="s">
        <v>426</v>
      </c>
      <c r="AG34" s="39"/>
      <c r="AH34" s="140" t="str">
        <f t="shared" ref="AH34:AH35" si="66">AH33</f>
        <v>GVV-Concord-WP</v>
      </c>
      <c r="AI34" s="273"/>
      <c r="AJ34" s="140" t="str">
        <f t="shared" ref="AJ34:AJ35" si="67">AJ33</f>
        <v>WP</v>
      </c>
      <c r="AK34" s="273"/>
      <c r="AL34" s="140" t="str">
        <f t="shared" ref="AL34:AL35" si="68">AL33</f>
        <v>Operational</v>
      </c>
      <c r="AM34" s="277"/>
      <c r="AN34" s="140" t="str">
        <f t="shared" ref="AN34:AN35" si="69">AN33</f>
        <v>Toronto</v>
      </c>
      <c r="AO34" s="82" t="s">
        <v>7</v>
      </c>
      <c r="AP34" s="273"/>
      <c r="AQ34" s="140" t="str">
        <f t="shared" ref="AQ34:AQ35" si="70">AQ33</f>
        <v>ECH-06</v>
      </c>
      <c r="AR34" s="306"/>
    </row>
    <row r="35" spans="1:44" s="3" customFormat="1" ht="15" thickBot="1" x14ac:dyDescent="0.35">
      <c r="A35" s="291"/>
      <c r="B35" s="28" t="str">
        <f t="shared" si="63"/>
        <v>PeWP 09</v>
      </c>
      <c r="C35" t="s">
        <v>639</v>
      </c>
      <c r="D35" s="33" t="s">
        <v>23</v>
      </c>
      <c r="E35" s="34">
        <v>0</v>
      </c>
      <c r="F35" s="34" t="s">
        <v>14</v>
      </c>
      <c r="G35" s="34">
        <v>0</v>
      </c>
      <c r="H35" s="34">
        <v>1</v>
      </c>
      <c r="I35" s="44" t="s">
        <v>401</v>
      </c>
      <c r="J35" s="44" t="s">
        <v>162</v>
      </c>
      <c r="K35" s="74" t="str">
        <f t="shared" si="6"/>
        <v>TDK-Lambda GEN 60-40</v>
      </c>
      <c r="L35" s="66">
        <v>0</v>
      </c>
      <c r="M35" s="66" t="str">
        <f t="shared" si="1"/>
        <v>No</v>
      </c>
      <c r="N35" s="67">
        <v>0</v>
      </c>
      <c r="O35" s="67" t="str">
        <f t="shared" si="2"/>
        <v>No</v>
      </c>
      <c r="P35" s="68">
        <v>0</v>
      </c>
      <c r="Q35" s="68" t="str">
        <f t="shared" si="3"/>
        <v>No</v>
      </c>
      <c r="R35" s="66">
        <v>0</v>
      </c>
      <c r="S35" s="14" t="str">
        <f t="shared" si="4"/>
        <v>No</v>
      </c>
      <c r="T35" s="28" t="str">
        <f t="shared" si="64"/>
        <v>120/208 AC</v>
      </c>
      <c r="U35" s="274"/>
      <c r="V35" s="140" t="str">
        <f t="shared" si="65"/>
        <v>3+ Return and Earth</v>
      </c>
      <c r="W35" s="274"/>
      <c r="X35" s="34">
        <v>0</v>
      </c>
      <c r="Y35" s="34">
        <v>0</v>
      </c>
      <c r="Z35" s="34">
        <v>0</v>
      </c>
      <c r="AA35" s="150" t="s">
        <v>225</v>
      </c>
      <c r="AB35" s="144" t="s">
        <v>226</v>
      </c>
      <c r="AC35" s="33"/>
      <c r="AD35" s="34"/>
      <c r="AE35" s="34"/>
      <c r="AF35" s="34"/>
      <c r="AG35" s="34"/>
      <c r="AH35" s="140" t="str">
        <f t="shared" si="66"/>
        <v>GVV-Concord-WP</v>
      </c>
      <c r="AI35" s="274"/>
      <c r="AJ35" s="140" t="str">
        <f t="shared" si="67"/>
        <v>WP</v>
      </c>
      <c r="AK35" s="274"/>
      <c r="AL35" s="140" t="str">
        <f t="shared" si="68"/>
        <v>Operational</v>
      </c>
      <c r="AM35" s="278"/>
      <c r="AN35" s="140" t="str">
        <f t="shared" si="69"/>
        <v>Toronto</v>
      </c>
      <c r="AO35" s="83" t="s">
        <v>7</v>
      </c>
      <c r="AP35" s="274"/>
      <c r="AQ35" s="140" t="str">
        <f t="shared" si="70"/>
        <v>ECH-06</v>
      </c>
      <c r="AR35" s="307"/>
    </row>
    <row r="36" spans="1:44" s="1" customFormat="1" ht="15" thickTop="1" x14ac:dyDescent="0.3">
      <c r="A36" s="290">
        <f t="shared" si="5"/>
        <v>1</v>
      </c>
      <c r="B36" s="26" t="str">
        <f>C36</f>
        <v>PeWP 10</v>
      </c>
      <c r="C36" t="s">
        <v>640</v>
      </c>
      <c r="D36" s="29" t="s">
        <v>22</v>
      </c>
      <c r="E36" s="30">
        <v>1</v>
      </c>
      <c r="F36" s="30" t="s">
        <v>14</v>
      </c>
      <c r="G36" s="30">
        <v>1</v>
      </c>
      <c r="H36" s="30">
        <v>0</v>
      </c>
      <c r="I36" s="42" t="s">
        <v>401</v>
      </c>
      <c r="J36" s="42" t="s">
        <v>162</v>
      </c>
      <c r="K36" s="69" t="str">
        <f t="shared" si="6"/>
        <v>TDK-Lambda GEN 60-40</v>
      </c>
      <c r="L36" s="62">
        <v>1</v>
      </c>
      <c r="M36" s="62" t="str">
        <f t="shared" si="1"/>
        <v>Yes</v>
      </c>
      <c r="N36" s="63">
        <v>0</v>
      </c>
      <c r="O36" s="63" t="str">
        <f t="shared" si="2"/>
        <v>No</v>
      </c>
      <c r="P36" s="64">
        <v>0</v>
      </c>
      <c r="Q36" s="64" t="str">
        <f t="shared" si="3"/>
        <v>No</v>
      </c>
      <c r="R36" s="62">
        <v>0</v>
      </c>
      <c r="S36" s="13" t="str">
        <f t="shared" si="4"/>
        <v>No</v>
      </c>
      <c r="T36" s="26" t="str">
        <f>U36</f>
        <v>120/208 AC</v>
      </c>
      <c r="U36" s="272" t="s">
        <v>548</v>
      </c>
      <c r="V36" s="135" t="str">
        <f>W36</f>
        <v>3+ Return and Earth</v>
      </c>
      <c r="W36" s="272" t="s">
        <v>547</v>
      </c>
      <c r="X36" s="30">
        <v>1</v>
      </c>
      <c r="Y36" s="30">
        <v>0</v>
      </c>
      <c r="Z36" s="30">
        <v>0</v>
      </c>
      <c r="AA36" s="138" t="s">
        <v>229</v>
      </c>
      <c r="AB36" s="139" t="s">
        <v>230</v>
      </c>
      <c r="AC36" s="29" t="s">
        <v>410</v>
      </c>
      <c r="AD36" s="139" t="s">
        <v>233</v>
      </c>
      <c r="AE36" s="191" t="s">
        <v>427</v>
      </c>
      <c r="AF36" s="192" t="s">
        <v>428</v>
      </c>
      <c r="AG36" s="30"/>
      <c r="AH36" s="135" t="str">
        <f>AI36</f>
        <v>GVV-Concord-WP</v>
      </c>
      <c r="AI36" s="272" t="s">
        <v>6</v>
      </c>
      <c r="AJ36" s="135" t="str">
        <f>AK36</f>
        <v>WP</v>
      </c>
      <c r="AK36" s="272" t="s">
        <v>9</v>
      </c>
      <c r="AL36" s="135" t="str">
        <f>AM36</f>
        <v>Operational</v>
      </c>
      <c r="AM36" s="276" t="s">
        <v>5</v>
      </c>
      <c r="AN36" s="135" t="str">
        <f>AO36</f>
        <v>Toronto</v>
      </c>
      <c r="AO36" s="136" t="s">
        <v>7</v>
      </c>
      <c r="AP36" s="272" t="s">
        <v>8</v>
      </c>
      <c r="AQ36" s="135" t="str">
        <f>AR36</f>
        <v>ECH-18</v>
      </c>
      <c r="AR36" s="305" t="s">
        <v>188</v>
      </c>
    </row>
    <row r="37" spans="1:44" s="2" customFormat="1" x14ac:dyDescent="0.3">
      <c r="A37" s="292"/>
      <c r="B37" s="28" t="str">
        <f>B36</f>
        <v>PeWP 10</v>
      </c>
      <c r="C37" t="s">
        <v>640</v>
      </c>
      <c r="D37" s="38" t="s">
        <v>22</v>
      </c>
      <c r="E37" s="39">
        <v>0</v>
      </c>
      <c r="F37" s="39" t="s">
        <v>14</v>
      </c>
      <c r="G37" s="39">
        <v>0</v>
      </c>
      <c r="H37" s="39">
        <v>1</v>
      </c>
      <c r="I37" s="43" t="s">
        <v>401</v>
      </c>
      <c r="J37" s="43" t="s">
        <v>162</v>
      </c>
      <c r="K37" s="70" t="str">
        <f t="shared" si="6"/>
        <v>TDK-Lambda GEN 60-40</v>
      </c>
      <c r="L37" s="71">
        <v>0</v>
      </c>
      <c r="M37" s="71" t="str">
        <f t="shared" si="1"/>
        <v>No</v>
      </c>
      <c r="N37" s="72">
        <v>0</v>
      </c>
      <c r="O37" s="72" t="str">
        <f t="shared" si="2"/>
        <v>No</v>
      </c>
      <c r="P37" s="73">
        <v>0</v>
      </c>
      <c r="Q37" s="73" t="str">
        <f t="shared" si="3"/>
        <v>No</v>
      </c>
      <c r="R37" s="71">
        <v>0</v>
      </c>
      <c r="S37" s="15" t="str">
        <f t="shared" si="4"/>
        <v>No</v>
      </c>
      <c r="T37" s="28" t="str">
        <f>T36</f>
        <v>120/208 AC</v>
      </c>
      <c r="U37" s="273"/>
      <c r="V37" s="140" t="str">
        <f>V36</f>
        <v>3+ Return and Earth</v>
      </c>
      <c r="W37" s="273"/>
      <c r="X37" s="39">
        <v>0</v>
      </c>
      <c r="Y37" s="39">
        <v>0</v>
      </c>
      <c r="Z37" s="39">
        <v>0</v>
      </c>
      <c r="AA37" s="141" t="s">
        <v>229</v>
      </c>
      <c r="AB37" s="142" t="s">
        <v>230</v>
      </c>
      <c r="AC37" s="38"/>
      <c r="AD37" s="39"/>
      <c r="AE37" s="39"/>
      <c r="AF37" s="39"/>
      <c r="AG37" s="39"/>
      <c r="AH37" s="140" t="str">
        <f>AH36</f>
        <v>GVV-Concord-WP</v>
      </c>
      <c r="AI37" s="273"/>
      <c r="AJ37" s="140" t="str">
        <f>AJ36</f>
        <v>WP</v>
      </c>
      <c r="AK37" s="273"/>
      <c r="AL37" s="140" t="str">
        <f>AL36</f>
        <v>Operational</v>
      </c>
      <c r="AM37" s="277"/>
      <c r="AN37" s="140" t="str">
        <f>AN36</f>
        <v>Toronto</v>
      </c>
      <c r="AO37" s="82" t="s">
        <v>7</v>
      </c>
      <c r="AP37" s="273"/>
      <c r="AQ37" s="140" t="str">
        <f>AQ36</f>
        <v>ECH-18</v>
      </c>
      <c r="AR37" s="306"/>
    </row>
    <row r="38" spans="1:44" s="2" customFormat="1" x14ac:dyDescent="0.3">
      <c r="A38" s="292"/>
      <c r="B38" s="28" t="str">
        <f t="shared" ref="B38:B39" si="71">B37</f>
        <v>PeWP 10</v>
      </c>
      <c r="C38" t="s">
        <v>640</v>
      </c>
      <c r="D38" s="38" t="s">
        <v>23</v>
      </c>
      <c r="E38" s="39">
        <v>1</v>
      </c>
      <c r="F38" s="39" t="s">
        <v>14</v>
      </c>
      <c r="G38" s="39">
        <v>1</v>
      </c>
      <c r="H38" s="39">
        <v>0</v>
      </c>
      <c r="I38" s="43" t="s">
        <v>401</v>
      </c>
      <c r="J38" s="43" t="s">
        <v>162</v>
      </c>
      <c r="K38" s="70" t="str">
        <f t="shared" si="6"/>
        <v>TDK-Lambda GEN 60-40</v>
      </c>
      <c r="L38" s="71">
        <v>1</v>
      </c>
      <c r="M38" s="71" t="str">
        <f t="shared" si="1"/>
        <v>Yes</v>
      </c>
      <c r="N38" s="72">
        <v>0</v>
      </c>
      <c r="O38" s="72" t="str">
        <f t="shared" si="2"/>
        <v>No</v>
      </c>
      <c r="P38" s="73">
        <v>0</v>
      </c>
      <c r="Q38" s="73" t="str">
        <f t="shared" si="3"/>
        <v>No</v>
      </c>
      <c r="R38" s="71">
        <v>0</v>
      </c>
      <c r="S38" s="15" t="str">
        <f t="shared" si="4"/>
        <v>No</v>
      </c>
      <c r="T38" s="28" t="str">
        <f t="shared" ref="T38:T39" si="72">T37</f>
        <v>120/208 AC</v>
      </c>
      <c r="U38" s="273"/>
      <c r="V38" s="140" t="str">
        <f t="shared" ref="V38:V39" si="73">V37</f>
        <v>3+ Return and Earth</v>
      </c>
      <c r="W38" s="273"/>
      <c r="X38" s="39">
        <v>1</v>
      </c>
      <c r="Y38" s="39">
        <v>0</v>
      </c>
      <c r="Z38" s="39">
        <v>0</v>
      </c>
      <c r="AA38" s="141" t="s">
        <v>231</v>
      </c>
      <c r="AB38" s="142" t="s">
        <v>232</v>
      </c>
      <c r="AC38" s="38" t="s">
        <v>410</v>
      </c>
      <c r="AD38" s="142" t="s">
        <v>234</v>
      </c>
      <c r="AE38" s="191" t="s">
        <v>427</v>
      </c>
      <c r="AF38" s="192" t="s">
        <v>429</v>
      </c>
      <c r="AG38" s="39"/>
      <c r="AH38" s="140" t="str">
        <f t="shared" ref="AH38:AH39" si="74">AH37</f>
        <v>GVV-Concord-WP</v>
      </c>
      <c r="AI38" s="273"/>
      <c r="AJ38" s="140" t="str">
        <f t="shared" ref="AJ38:AJ39" si="75">AJ37</f>
        <v>WP</v>
      </c>
      <c r="AK38" s="273"/>
      <c r="AL38" s="140" t="str">
        <f t="shared" ref="AL38:AL39" si="76">AL37</f>
        <v>Operational</v>
      </c>
      <c r="AM38" s="277"/>
      <c r="AN38" s="140" t="str">
        <f t="shared" ref="AN38:AN39" si="77">AN37</f>
        <v>Toronto</v>
      </c>
      <c r="AO38" s="82" t="s">
        <v>7</v>
      </c>
      <c r="AP38" s="273"/>
      <c r="AQ38" s="140" t="str">
        <f t="shared" ref="AQ38:AQ39" si="78">AQ37</f>
        <v>ECH-18</v>
      </c>
      <c r="AR38" s="306"/>
    </row>
    <row r="39" spans="1:44" s="3" customFormat="1" ht="15" thickBot="1" x14ac:dyDescent="0.35">
      <c r="A39" s="291"/>
      <c r="B39" s="28" t="str">
        <f t="shared" si="71"/>
        <v>PeWP 10</v>
      </c>
      <c r="C39" t="s">
        <v>640</v>
      </c>
      <c r="D39" s="33" t="s">
        <v>23</v>
      </c>
      <c r="E39" s="34">
        <v>0</v>
      </c>
      <c r="F39" s="34" t="s">
        <v>14</v>
      </c>
      <c r="G39" s="34">
        <v>0</v>
      </c>
      <c r="H39" s="34">
        <v>1</v>
      </c>
      <c r="I39" s="44" t="s">
        <v>401</v>
      </c>
      <c r="J39" s="44" t="s">
        <v>162</v>
      </c>
      <c r="K39" s="74" t="str">
        <f t="shared" si="6"/>
        <v>TDK-Lambda GEN 60-40</v>
      </c>
      <c r="L39" s="66">
        <v>0</v>
      </c>
      <c r="M39" s="66" t="str">
        <f t="shared" si="1"/>
        <v>No</v>
      </c>
      <c r="N39" s="67">
        <v>0</v>
      </c>
      <c r="O39" s="67" t="str">
        <f t="shared" si="2"/>
        <v>No</v>
      </c>
      <c r="P39" s="68">
        <v>0</v>
      </c>
      <c r="Q39" s="68" t="str">
        <f t="shared" si="3"/>
        <v>No</v>
      </c>
      <c r="R39" s="66">
        <v>0</v>
      </c>
      <c r="S39" s="14" t="str">
        <f t="shared" si="4"/>
        <v>No</v>
      </c>
      <c r="T39" s="28" t="str">
        <f t="shared" si="72"/>
        <v>120/208 AC</v>
      </c>
      <c r="U39" s="274"/>
      <c r="V39" s="140" t="str">
        <f t="shared" si="73"/>
        <v>3+ Return and Earth</v>
      </c>
      <c r="W39" s="274"/>
      <c r="X39" s="34">
        <v>0</v>
      </c>
      <c r="Y39" s="34">
        <v>0</v>
      </c>
      <c r="Z39" s="34">
        <v>0</v>
      </c>
      <c r="AA39" s="143" t="s">
        <v>231</v>
      </c>
      <c r="AB39" s="144" t="s">
        <v>232</v>
      </c>
      <c r="AC39" s="33"/>
      <c r="AD39" s="34"/>
      <c r="AE39" s="34"/>
      <c r="AF39" s="34"/>
      <c r="AG39" s="34"/>
      <c r="AH39" s="140" t="str">
        <f t="shared" si="74"/>
        <v>GVV-Concord-WP</v>
      </c>
      <c r="AI39" s="274"/>
      <c r="AJ39" s="140" t="str">
        <f t="shared" si="75"/>
        <v>WP</v>
      </c>
      <c r="AK39" s="274"/>
      <c r="AL39" s="140" t="str">
        <f t="shared" si="76"/>
        <v>Operational</v>
      </c>
      <c r="AM39" s="278"/>
      <c r="AN39" s="140" t="str">
        <f t="shared" si="77"/>
        <v>Toronto</v>
      </c>
      <c r="AO39" s="83" t="s">
        <v>7</v>
      </c>
      <c r="AP39" s="274"/>
      <c r="AQ39" s="140" t="str">
        <f t="shared" si="78"/>
        <v>ECH-18</v>
      </c>
      <c r="AR39" s="307"/>
    </row>
    <row r="40" spans="1:44" s="1" customFormat="1" ht="15" thickTop="1" x14ac:dyDescent="0.3">
      <c r="A40" s="290">
        <f t="shared" si="5"/>
        <v>1</v>
      </c>
      <c r="B40" s="26" t="str">
        <f>C40</f>
        <v>PeWP 11</v>
      </c>
      <c r="C40" t="s">
        <v>641</v>
      </c>
      <c r="D40" s="29" t="s">
        <v>22</v>
      </c>
      <c r="E40" s="30">
        <v>1</v>
      </c>
      <c r="F40" s="30" t="s">
        <v>14</v>
      </c>
      <c r="G40" s="30">
        <v>1</v>
      </c>
      <c r="H40" s="30">
        <v>0</v>
      </c>
      <c r="I40" s="42" t="s">
        <v>401</v>
      </c>
      <c r="J40" s="42" t="s">
        <v>162</v>
      </c>
      <c r="K40" s="69" t="str">
        <f t="shared" si="6"/>
        <v>TDK-Lambda GEN 60-40</v>
      </c>
      <c r="L40" s="62">
        <v>1</v>
      </c>
      <c r="M40" s="62" t="str">
        <f t="shared" si="1"/>
        <v>Yes</v>
      </c>
      <c r="N40" s="63">
        <v>0</v>
      </c>
      <c r="O40" s="63" t="str">
        <f t="shared" si="2"/>
        <v>No</v>
      </c>
      <c r="P40" s="64">
        <v>0</v>
      </c>
      <c r="Q40" s="64" t="str">
        <f t="shared" si="3"/>
        <v>No</v>
      </c>
      <c r="R40" s="62">
        <v>0</v>
      </c>
      <c r="S40" s="13" t="str">
        <f t="shared" si="4"/>
        <v>No</v>
      </c>
      <c r="T40" s="26" t="str">
        <f>U40</f>
        <v>120/208 AC</v>
      </c>
      <c r="U40" s="272" t="s">
        <v>548</v>
      </c>
      <c r="V40" s="135" t="str">
        <f>W40</f>
        <v>3+ Return and Earth</v>
      </c>
      <c r="W40" s="272" t="s">
        <v>547</v>
      </c>
      <c r="X40" s="30">
        <v>1</v>
      </c>
      <c r="Y40" s="30">
        <v>0</v>
      </c>
      <c r="Z40" s="30">
        <v>0</v>
      </c>
      <c r="AA40" s="138" t="s">
        <v>235</v>
      </c>
      <c r="AB40" s="151" t="s">
        <v>236</v>
      </c>
      <c r="AC40" s="29" t="s">
        <v>410</v>
      </c>
      <c r="AD40" s="139" t="s">
        <v>239</v>
      </c>
      <c r="AE40" s="191" t="s">
        <v>427</v>
      </c>
      <c r="AF40" s="192" t="s">
        <v>430</v>
      </c>
      <c r="AG40" s="30"/>
      <c r="AH40" s="135" t="str">
        <f>AI40</f>
        <v>GVV-Concord-WP</v>
      </c>
      <c r="AI40" s="272" t="s">
        <v>6</v>
      </c>
      <c r="AJ40" s="135" t="str">
        <f>AK40</f>
        <v>WP</v>
      </c>
      <c r="AK40" s="272" t="s">
        <v>9</v>
      </c>
      <c r="AL40" s="135" t="str">
        <f>AM40</f>
        <v>Operational</v>
      </c>
      <c r="AM40" s="276" t="s">
        <v>5</v>
      </c>
      <c r="AN40" s="135" t="str">
        <f>AO40</f>
        <v>Toronto</v>
      </c>
      <c r="AO40" s="136" t="s">
        <v>7</v>
      </c>
      <c r="AP40" s="272" t="s">
        <v>8</v>
      </c>
      <c r="AQ40" s="135" t="str">
        <f>AR40</f>
        <v>ECH-17</v>
      </c>
      <c r="AR40" s="305" t="s">
        <v>176</v>
      </c>
    </row>
    <row r="41" spans="1:44" s="2" customFormat="1" x14ac:dyDescent="0.3">
      <c r="A41" s="292"/>
      <c r="B41" s="28" t="str">
        <f>B40</f>
        <v>PeWP 11</v>
      </c>
      <c r="C41" t="s">
        <v>641</v>
      </c>
      <c r="D41" s="38" t="s">
        <v>22</v>
      </c>
      <c r="E41" s="39">
        <v>0</v>
      </c>
      <c r="F41" s="39" t="s">
        <v>14</v>
      </c>
      <c r="G41" s="39">
        <v>0</v>
      </c>
      <c r="H41" s="39">
        <v>1</v>
      </c>
      <c r="I41" s="43" t="s">
        <v>401</v>
      </c>
      <c r="J41" s="43" t="s">
        <v>162</v>
      </c>
      <c r="K41" s="70" t="str">
        <f t="shared" si="6"/>
        <v>TDK-Lambda GEN 60-40</v>
      </c>
      <c r="L41" s="71">
        <v>0</v>
      </c>
      <c r="M41" s="71" t="str">
        <f t="shared" si="1"/>
        <v>No</v>
      </c>
      <c r="N41" s="72">
        <v>0</v>
      </c>
      <c r="O41" s="72" t="str">
        <f t="shared" si="2"/>
        <v>No</v>
      </c>
      <c r="P41" s="73">
        <v>0</v>
      </c>
      <c r="Q41" s="73" t="str">
        <f t="shared" si="3"/>
        <v>No</v>
      </c>
      <c r="R41" s="71">
        <v>0</v>
      </c>
      <c r="S41" s="15" t="str">
        <f t="shared" si="4"/>
        <v>No</v>
      </c>
      <c r="T41" s="28" t="str">
        <f>T40</f>
        <v>120/208 AC</v>
      </c>
      <c r="U41" s="273"/>
      <c r="V41" s="140" t="str">
        <f>V40</f>
        <v>3+ Return and Earth</v>
      </c>
      <c r="W41" s="273"/>
      <c r="X41" s="39">
        <v>0</v>
      </c>
      <c r="Y41" s="39">
        <v>0</v>
      </c>
      <c r="Z41" s="39">
        <v>0</v>
      </c>
      <c r="AA41" s="141" t="s">
        <v>235</v>
      </c>
      <c r="AB41" s="152" t="s">
        <v>236</v>
      </c>
      <c r="AC41" s="38"/>
      <c r="AD41" s="39"/>
      <c r="AE41" s="39"/>
      <c r="AF41" s="39"/>
      <c r="AG41" s="39"/>
      <c r="AH41" s="140" t="str">
        <f>AH40</f>
        <v>GVV-Concord-WP</v>
      </c>
      <c r="AI41" s="273"/>
      <c r="AJ41" s="140" t="str">
        <f>AJ40</f>
        <v>WP</v>
      </c>
      <c r="AK41" s="273"/>
      <c r="AL41" s="140" t="str">
        <f>AL40</f>
        <v>Operational</v>
      </c>
      <c r="AM41" s="277"/>
      <c r="AN41" s="140" t="str">
        <f>AN40</f>
        <v>Toronto</v>
      </c>
      <c r="AO41" s="82" t="s">
        <v>7</v>
      </c>
      <c r="AP41" s="273"/>
      <c r="AQ41" s="140" t="str">
        <f>AQ40</f>
        <v>ECH-17</v>
      </c>
      <c r="AR41" s="306"/>
    </row>
    <row r="42" spans="1:44" s="2" customFormat="1" x14ac:dyDescent="0.3">
      <c r="A42" s="292"/>
      <c r="B42" s="28" t="str">
        <f t="shared" ref="B42:B43" si="79">B41</f>
        <v>PeWP 11</v>
      </c>
      <c r="C42" t="s">
        <v>641</v>
      </c>
      <c r="D42" s="38" t="s">
        <v>23</v>
      </c>
      <c r="E42" s="39">
        <v>1</v>
      </c>
      <c r="F42" s="39" t="s">
        <v>14</v>
      </c>
      <c r="G42" s="39">
        <v>1</v>
      </c>
      <c r="H42" s="39">
        <v>0</v>
      </c>
      <c r="I42" s="43" t="s">
        <v>401</v>
      </c>
      <c r="J42" s="43" t="s">
        <v>162</v>
      </c>
      <c r="K42" s="70" t="str">
        <f t="shared" si="6"/>
        <v>TDK-Lambda GEN 60-40</v>
      </c>
      <c r="L42" s="71">
        <v>1</v>
      </c>
      <c r="M42" s="71" t="str">
        <f t="shared" si="1"/>
        <v>Yes</v>
      </c>
      <c r="N42" s="72">
        <v>0</v>
      </c>
      <c r="O42" s="72" t="str">
        <f t="shared" si="2"/>
        <v>No</v>
      </c>
      <c r="P42" s="73">
        <v>0</v>
      </c>
      <c r="Q42" s="73" t="str">
        <f t="shared" si="3"/>
        <v>No</v>
      </c>
      <c r="R42" s="71">
        <v>0</v>
      </c>
      <c r="S42" s="15" t="str">
        <f t="shared" si="4"/>
        <v>No</v>
      </c>
      <c r="T42" s="28" t="str">
        <f t="shared" ref="T42:T43" si="80">T41</f>
        <v>120/208 AC</v>
      </c>
      <c r="U42" s="273"/>
      <c r="V42" s="140" t="str">
        <f t="shared" ref="V42:V43" si="81">V41</f>
        <v>3+ Return and Earth</v>
      </c>
      <c r="W42" s="273"/>
      <c r="X42" s="39">
        <v>1</v>
      </c>
      <c r="Y42" s="39">
        <v>0</v>
      </c>
      <c r="Z42" s="39">
        <v>0</v>
      </c>
      <c r="AA42" s="141" t="s">
        <v>237</v>
      </c>
      <c r="AB42" s="152" t="s">
        <v>238</v>
      </c>
      <c r="AC42" s="38" t="s">
        <v>410</v>
      </c>
      <c r="AD42" s="142" t="s">
        <v>240</v>
      </c>
      <c r="AE42" s="191" t="s">
        <v>427</v>
      </c>
      <c r="AF42" s="192" t="s">
        <v>431</v>
      </c>
      <c r="AG42" s="39"/>
      <c r="AH42" s="140" t="str">
        <f t="shared" ref="AH42:AH43" si="82">AH41</f>
        <v>GVV-Concord-WP</v>
      </c>
      <c r="AI42" s="273"/>
      <c r="AJ42" s="140" t="str">
        <f t="shared" ref="AJ42:AJ43" si="83">AJ41</f>
        <v>WP</v>
      </c>
      <c r="AK42" s="273"/>
      <c r="AL42" s="140" t="str">
        <f t="shared" ref="AL42:AL43" si="84">AL41</f>
        <v>Operational</v>
      </c>
      <c r="AM42" s="277"/>
      <c r="AN42" s="140" t="str">
        <f t="shared" ref="AN42:AN43" si="85">AN41</f>
        <v>Toronto</v>
      </c>
      <c r="AO42" s="82" t="s">
        <v>7</v>
      </c>
      <c r="AP42" s="273"/>
      <c r="AQ42" s="140" t="str">
        <f t="shared" ref="AQ42:AQ43" si="86">AQ41</f>
        <v>ECH-17</v>
      </c>
      <c r="AR42" s="306"/>
    </row>
    <row r="43" spans="1:44" s="3" customFormat="1" ht="14.25" customHeight="1" thickBot="1" x14ac:dyDescent="0.35">
      <c r="A43" s="291"/>
      <c r="B43" s="28" t="str">
        <f t="shared" si="79"/>
        <v>PeWP 11</v>
      </c>
      <c r="C43" t="s">
        <v>641</v>
      </c>
      <c r="D43" s="33" t="s">
        <v>23</v>
      </c>
      <c r="E43" s="34">
        <v>0</v>
      </c>
      <c r="F43" s="34" t="s">
        <v>14</v>
      </c>
      <c r="G43" s="34">
        <v>0</v>
      </c>
      <c r="H43" s="34">
        <v>1</v>
      </c>
      <c r="I43" s="44" t="s">
        <v>401</v>
      </c>
      <c r="J43" s="44" t="s">
        <v>162</v>
      </c>
      <c r="K43" s="74" t="str">
        <f t="shared" si="6"/>
        <v>TDK-Lambda GEN 60-40</v>
      </c>
      <c r="L43" s="66">
        <v>0</v>
      </c>
      <c r="M43" s="66" t="str">
        <f t="shared" si="1"/>
        <v>No</v>
      </c>
      <c r="N43" s="67">
        <v>0</v>
      </c>
      <c r="O43" s="67" t="str">
        <f t="shared" si="2"/>
        <v>No</v>
      </c>
      <c r="P43" s="68">
        <v>0</v>
      </c>
      <c r="Q43" s="68" t="str">
        <f t="shared" si="3"/>
        <v>No</v>
      </c>
      <c r="R43" s="66">
        <v>0</v>
      </c>
      <c r="S43" s="14" t="str">
        <f t="shared" si="4"/>
        <v>No</v>
      </c>
      <c r="T43" s="28" t="str">
        <f t="shared" si="80"/>
        <v>120/208 AC</v>
      </c>
      <c r="U43" s="274"/>
      <c r="V43" s="140" t="str">
        <f t="shared" si="81"/>
        <v>3+ Return and Earth</v>
      </c>
      <c r="W43" s="274"/>
      <c r="X43" s="34">
        <v>0</v>
      </c>
      <c r="Y43" s="34">
        <v>0</v>
      </c>
      <c r="Z43" s="34">
        <v>0</v>
      </c>
      <c r="AA43" s="143" t="s">
        <v>237</v>
      </c>
      <c r="AB43" s="153" t="s">
        <v>238</v>
      </c>
      <c r="AC43" s="33"/>
      <c r="AD43" s="34"/>
      <c r="AE43" s="34"/>
      <c r="AF43" s="34"/>
      <c r="AG43" s="34"/>
      <c r="AH43" s="140" t="str">
        <f t="shared" si="82"/>
        <v>GVV-Concord-WP</v>
      </c>
      <c r="AI43" s="274"/>
      <c r="AJ43" s="140" t="str">
        <f t="shared" si="83"/>
        <v>WP</v>
      </c>
      <c r="AK43" s="274"/>
      <c r="AL43" s="140" t="str">
        <f t="shared" si="84"/>
        <v>Operational</v>
      </c>
      <c r="AM43" s="278"/>
      <c r="AN43" s="140" t="str">
        <f t="shared" si="85"/>
        <v>Toronto</v>
      </c>
      <c r="AO43" s="83" t="s">
        <v>7</v>
      </c>
      <c r="AP43" s="274"/>
      <c r="AQ43" s="140" t="str">
        <f t="shared" si="86"/>
        <v>ECH-17</v>
      </c>
      <c r="AR43" s="307"/>
    </row>
    <row r="44" spans="1:44" s="21" customFormat="1" ht="14.25" customHeight="1" thickTop="1" x14ac:dyDescent="0.3">
      <c r="A44" s="290">
        <f t="shared" si="5"/>
        <v>1</v>
      </c>
      <c r="B44" s="26" t="str">
        <f>C44</f>
        <v>PeWP 12</v>
      </c>
      <c r="C44" t="s">
        <v>642</v>
      </c>
      <c r="D44" s="45" t="s">
        <v>22</v>
      </c>
      <c r="E44" s="46">
        <v>1</v>
      </c>
      <c r="F44" s="46" t="s">
        <v>14</v>
      </c>
      <c r="G44" s="46">
        <v>1</v>
      </c>
      <c r="H44" s="46">
        <v>0</v>
      </c>
      <c r="I44" s="42" t="s">
        <v>401</v>
      </c>
      <c r="J44" s="42" t="s">
        <v>162</v>
      </c>
      <c r="K44" s="77" t="str">
        <f t="shared" si="6"/>
        <v>TDK-Lambda GEN 60-40</v>
      </c>
      <c r="L44" s="78">
        <v>1</v>
      </c>
      <c r="M44" s="78" t="str">
        <f t="shared" si="1"/>
        <v>Yes</v>
      </c>
      <c r="N44" s="79">
        <v>0</v>
      </c>
      <c r="O44" s="79" t="str">
        <f t="shared" si="2"/>
        <v>No</v>
      </c>
      <c r="P44" s="80">
        <v>0</v>
      </c>
      <c r="Q44" s="80" t="str">
        <f t="shared" si="3"/>
        <v>No</v>
      </c>
      <c r="R44" s="78">
        <v>0</v>
      </c>
      <c r="S44" s="22" t="str">
        <f t="shared" si="4"/>
        <v>No</v>
      </c>
      <c r="T44" s="26" t="str">
        <f>U44</f>
        <v>120/208 AC</v>
      </c>
      <c r="U44" s="272" t="s">
        <v>548</v>
      </c>
      <c r="V44" s="135" t="str">
        <f>W44</f>
        <v>3+ Return and Earth</v>
      </c>
      <c r="W44" s="272" t="s">
        <v>547</v>
      </c>
      <c r="X44" s="46">
        <v>1</v>
      </c>
      <c r="Y44" s="46">
        <v>0</v>
      </c>
      <c r="Z44" s="46">
        <v>0</v>
      </c>
      <c r="AA44" s="154" t="s">
        <v>241</v>
      </c>
      <c r="AB44" s="155" t="s">
        <v>242</v>
      </c>
      <c r="AC44" s="45" t="s">
        <v>410</v>
      </c>
      <c r="AD44" s="45" t="s">
        <v>245</v>
      </c>
      <c r="AE44" s="191" t="s">
        <v>427</v>
      </c>
      <c r="AF44" s="192" t="s">
        <v>432</v>
      </c>
      <c r="AG44" s="46"/>
      <c r="AH44" s="135" t="str">
        <f>AI44</f>
        <v>GVV-Concord-WP</v>
      </c>
      <c r="AI44" s="272" t="s">
        <v>6</v>
      </c>
      <c r="AJ44" s="135" t="str">
        <f>AK44</f>
        <v>WP</v>
      </c>
      <c r="AK44" s="272" t="s">
        <v>9</v>
      </c>
      <c r="AL44" s="135" t="str">
        <f>AM44</f>
        <v>Operational</v>
      </c>
      <c r="AM44" s="276" t="s">
        <v>5</v>
      </c>
      <c r="AN44" s="135" t="str">
        <f>AO44</f>
        <v>Toronto</v>
      </c>
      <c r="AO44" s="136" t="s">
        <v>7</v>
      </c>
      <c r="AP44" s="272" t="s">
        <v>8</v>
      </c>
      <c r="AQ44" s="135" t="str">
        <f>AR44</f>
        <v>ECH-09</v>
      </c>
      <c r="AR44" s="308" t="s">
        <v>18</v>
      </c>
    </row>
    <row r="45" spans="1:44" s="2" customFormat="1" ht="14.25" customHeight="1" x14ac:dyDescent="0.3">
      <c r="A45" s="292"/>
      <c r="B45" s="28" t="str">
        <f>B44</f>
        <v>PeWP 12</v>
      </c>
      <c r="C45" t="s">
        <v>642</v>
      </c>
      <c r="D45" s="38" t="s">
        <v>22</v>
      </c>
      <c r="E45" s="39">
        <v>0</v>
      </c>
      <c r="F45" s="39" t="s">
        <v>14</v>
      </c>
      <c r="G45" s="39">
        <v>0</v>
      </c>
      <c r="H45" s="39">
        <v>1</v>
      </c>
      <c r="I45" s="43" t="s">
        <v>401</v>
      </c>
      <c r="J45" s="43" t="s">
        <v>162</v>
      </c>
      <c r="K45" s="70" t="str">
        <f t="shared" si="6"/>
        <v>TDK-Lambda GEN 60-40</v>
      </c>
      <c r="L45" s="71">
        <v>0</v>
      </c>
      <c r="M45" s="71" t="str">
        <f t="shared" si="1"/>
        <v>No</v>
      </c>
      <c r="N45" s="72">
        <v>0</v>
      </c>
      <c r="O45" s="72" t="str">
        <f t="shared" si="2"/>
        <v>No</v>
      </c>
      <c r="P45" s="73">
        <v>0</v>
      </c>
      <c r="Q45" s="73" t="str">
        <f t="shared" si="3"/>
        <v>No</v>
      </c>
      <c r="R45" s="71">
        <v>0</v>
      </c>
      <c r="S45" s="15" t="str">
        <f t="shared" si="4"/>
        <v>No</v>
      </c>
      <c r="T45" s="28" t="str">
        <f>T44</f>
        <v>120/208 AC</v>
      </c>
      <c r="U45" s="273"/>
      <c r="V45" s="140" t="str">
        <f>V44</f>
        <v>3+ Return and Earth</v>
      </c>
      <c r="W45" s="273"/>
      <c r="X45" s="39">
        <v>0</v>
      </c>
      <c r="Y45" s="39">
        <v>0</v>
      </c>
      <c r="Z45" s="39">
        <v>0</v>
      </c>
      <c r="AA45" s="141" t="s">
        <v>241</v>
      </c>
      <c r="AB45" s="142" t="s">
        <v>242</v>
      </c>
      <c r="AC45" s="38"/>
      <c r="AD45" s="39"/>
      <c r="AE45" s="39"/>
      <c r="AF45" s="39"/>
      <c r="AG45" s="39"/>
      <c r="AH45" s="140" t="str">
        <f>AH44</f>
        <v>GVV-Concord-WP</v>
      </c>
      <c r="AI45" s="273"/>
      <c r="AJ45" s="140" t="str">
        <f>AJ44</f>
        <v>WP</v>
      </c>
      <c r="AK45" s="273"/>
      <c r="AL45" s="140" t="str">
        <f>AL44</f>
        <v>Operational</v>
      </c>
      <c r="AM45" s="277"/>
      <c r="AN45" s="140" t="str">
        <f>AN44</f>
        <v>Toronto</v>
      </c>
      <c r="AO45" s="82" t="s">
        <v>7</v>
      </c>
      <c r="AP45" s="273"/>
      <c r="AQ45" s="140" t="str">
        <f>AQ44</f>
        <v>ECH-09</v>
      </c>
      <c r="AR45" s="309"/>
    </row>
    <row r="46" spans="1:44" s="2" customFormat="1" x14ac:dyDescent="0.3">
      <c r="A46" s="292"/>
      <c r="B46" s="28" t="str">
        <f t="shared" ref="B46:B47" si="87">B45</f>
        <v>PeWP 12</v>
      </c>
      <c r="C46" t="s">
        <v>642</v>
      </c>
      <c r="D46" s="38" t="s">
        <v>23</v>
      </c>
      <c r="E46" s="39">
        <v>1</v>
      </c>
      <c r="F46" s="39" t="s">
        <v>14</v>
      </c>
      <c r="G46" s="39">
        <v>1</v>
      </c>
      <c r="H46" s="39">
        <v>0</v>
      </c>
      <c r="I46" s="43" t="s">
        <v>401</v>
      </c>
      <c r="J46" s="43" t="s">
        <v>162</v>
      </c>
      <c r="K46" s="70" t="str">
        <f t="shared" si="6"/>
        <v>TDK-Lambda GEN 60-40</v>
      </c>
      <c r="L46" s="71">
        <v>1</v>
      </c>
      <c r="M46" s="71" t="str">
        <f t="shared" si="1"/>
        <v>Yes</v>
      </c>
      <c r="N46" s="72">
        <v>0</v>
      </c>
      <c r="O46" s="72" t="str">
        <f t="shared" si="2"/>
        <v>No</v>
      </c>
      <c r="P46" s="73">
        <v>0</v>
      </c>
      <c r="Q46" s="73" t="str">
        <f t="shared" si="3"/>
        <v>No</v>
      </c>
      <c r="R46" s="71">
        <v>0</v>
      </c>
      <c r="S46" s="15" t="str">
        <f t="shared" si="4"/>
        <v>No</v>
      </c>
      <c r="T46" s="28" t="str">
        <f t="shared" ref="T46:T47" si="88">T45</f>
        <v>120/208 AC</v>
      </c>
      <c r="U46" s="273"/>
      <c r="V46" s="140" t="str">
        <f t="shared" ref="V46:V47" si="89">V45</f>
        <v>3+ Return and Earth</v>
      </c>
      <c r="W46" s="273"/>
      <c r="X46" s="39">
        <v>1</v>
      </c>
      <c r="Y46" s="39">
        <v>0</v>
      </c>
      <c r="Z46" s="39">
        <v>0</v>
      </c>
      <c r="AA46" s="141" t="s">
        <v>243</v>
      </c>
      <c r="AB46" s="142" t="s">
        <v>244</v>
      </c>
      <c r="AC46" s="38" t="s">
        <v>410</v>
      </c>
      <c r="AD46" s="38" t="s">
        <v>246</v>
      </c>
      <c r="AE46" s="191" t="s">
        <v>427</v>
      </c>
      <c r="AF46" s="192" t="s">
        <v>433</v>
      </c>
      <c r="AG46" s="39"/>
      <c r="AH46" s="140" t="str">
        <f t="shared" ref="AH46:AH47" si="90">AH45</f>
        <v>GVV-Concord-WP</v>
      </c>
      <c r="AI46" s="273"/>
      <c r="AJ46" s="140" t="str">
        <f t="shared" ref="AJ46:AJ47" si="91">AJ45</f>
        <v>WP</v>
      </c>
      <c r="AK46" s="273"/>
      <c r="AL46" s="140" t="str">
        <f t="shared" ref="AL46:AL47" si="92">AL45</f>
        <v>Operational</v>
      </c>
      <c r="AM46" s="277"/>
      <c r="AN46" s="140" t="str">
        <f t="shared" ref="AN46:AN47" si="93">AN45</f>
        <v>Toronto</v>
      </c>
      <c r="AO46" s="82" t="s">
        <v>7</v>
      </c>
      <c r="AP46" s="273"/>
      <c r="AQ46" s="140" t="str">
        <f t="shared" ref="AQ46:AQ47" si="94">AQ45</f>
        <v>ECH-09</v>
      </c>
      <c r="AR46" s="309"/>
    </row>
    <row r="47" spans="1:44" s="3" customFormat="1" ht="15" thickBot="1" x14ac:dyDescent="0.35">
      <c r="A47" s="291"/>
      <c r="B47" s="28" t="str">
        <f t="shared" si="87"/>
        <v>PeWP 12</v>
      </c>
      <c r="C47" t="s">
        <v>642</v>
      </c>
      <c r="D47" s="33" t="s">
        <v>23</v>
      </c>
      <c r="E47" s="34">
        <v>0</v>
      </c>
      <c r="F47" s="34" t="s">
        <v>14</v>
      </c>
      <c r="G47" s="34">
        <v>0</v>
      </c>
      <c r="H47" s="34">
        <v>1</v>
      </c>
      <c r="I47" s="44" t="s">
        <v>401</v>
      </c>
      <c r="J47" s="44" t="s">
        <v>162</v>
      </c>
      <c r="K47" s="74" t="str">
        <f t="shared" si="6"/>
        <v>TDK-Lambda GEN 60-40</v>
      </c>
      <c r="L47" s="66">
        <v>0</v>
      </c>
      <c r="M47" s="66" t="str">
        <f t="shared" si="1"/>
        <v>No</v>
      </c>
      <c r="N47" s="67">
        <v>0</v>
      </c>
      <c r="O47" s="67" t="str">
        <f t="shared" si="2"/>
        <v>No</v>
      </c>
      <c r="P47" s="68">
        <v>0</v>
      </c>
      <c r="Q47" s="68" t="str">
        <f t="shared" si="3"/>
        <v>No</v>
      </c>
      <c r="R47" s="66">
        <v>0</v>
      </c>
      <c r="S47" s="14" t="str">
        <f t="shared" si="4"/>
        <v>No</v>
      </c>
      <c r="T47" s="28" t="str">
        <f t="shared" si="88"/>
        <v>120/208 AC</v>
      </c>
      <c r="U47" s="274"/>
      <c r="V47" s="140" t="str">
        <f t="shared" si="89"/>
        <v>3+ Return and Earth</v>
      </c>
      <c r="W47" s="274"/>
      <c r="X47" s="34">
        <v>0</v>
      </c>
      <c r="Y47" s="34">
        <v>0</v>
      </c>
      <c r="Z47" s="49">
        <v>0</v>
      </c>
      <c r="AA47" s="141" t="s">
        <v>243</v>
      </c>
      <c r="AB47" s="142" t="s">
        <v>244</v>
      </c>
      <c r="AC47" s="33"/>
      <c r="AD47" s="34"/>
      <c r="AE47" s="34"/>
      <c r="AF47" s="34"/>
      <c r="AG47" s="34"/>
      <c r="AH47" s="140" t="str">
        <f t="shared" si="90"/>
        <v>GVV-Concord-WP</v>
      </c>
      <c r="AI47" s="274"/>
      <c r="AJ47" s="140" t="str">
        <f t="shared" si="91"/>
        <v>WP</v>
      </c>
      <c r="AK47" s="274"/>
      <c r="AL47" s="140" t="str">
        <f t="shared" si="92"/>
        <v>Operational</v>
      </c>
      <c r="AM47" s="278"/>
      <c r="AN47" s="140" t="str">
        <f t="shared" si="93"/>
        <v>Toronto</v>
      </c>
      <c r="AO47" s="83" t="s">
        <v>7</v>
      </c>
      <c r="AP47" s="274"/>
      <c r="AQ47" s="140" t="str">
        <f t="shared" si="94"/>
        <v>ECH-09</v>
      </c>
      <c r="AR47" s="310"/>
    </row>
    <row r="48" spans="1:44" s="1" customFormat="1" ht="15" thickTop="1" x14ac:dyDescent="0.3">
      <c r="A48" s="282">
        <f t="shared" si="5"/>
        <v>1</v>
      </c>
      <c r="B48" s="26" t="str">
        <f>C48</f>
        <v>PeWP 13</v>
      </c>
      <c r="C48" t="s">
        <v>643</v>
      </c>
      <c r="D48" s="29" t="s">
        <v>22</v>
      </c>
      <c r="E48" s="30">
        <v>1</v>
      </c>
      <c r="F48" s="30" t="s">
        <v>14</v>
      </c>
      <c r="G48" s="30">
        <v>0</v>
      </c>
      <c r="H48" s="30">
        <v>1</v>
      </c>
      <c r="I48" s="42"/>
      <c r="J48" s="42" t="str">
        <f t="shared" ref="J48:J70" si="95">IF(H48=0,"0","84 A")</f>
        <v>84 A</v>
      </c>
      <c r="K48" s="69" t="str">
        <f t="shared" si="6"/>
        <v>AmeTek XG 20-84</v>
      </c>
      <c r="L48" s="62">
        <v>1</v>
      </c>
      <c r="M48" s="62" t="str">
        <f t="shared" si="1"/>
        <v>Yes</v>
      </c>
      <c r="N48" s="63">
        <v>0</v>
      </c>
      <c r="O48" s="63" t="str">
        <f t="shared" si="2"/>
        <v>No</v>
      </c>
      <c r="P48" s="64">
        <v>0</v>
      </c>
      <c r="Q48" s="64" t="str">
        <f t="shared" si="3"/>
        <v>No</v>
      </c>
      <c r="R48" s="62">
        <v>0</v>
      </c>
      <c r="S48" s="13" t="str">
        <f t="shared" si="4"/>
        <v>No</v>
      </c>
      <c r="T48" s="26" t="str">
        <f>U48</f>
        <v>120/208 AC</v>
      </c>
      <c r="U48" s="272" t="s">
        <v>548</v>
      </c>
      <c r="V48" s="135" t="str">
        <f>W48</f>
        <v>3+ Return and Earth</v>
      </c>
      <c r="W48" s="272" t="s">
        <v>547</v>
      </c>
      <c r="X48" s="30">
        <v>1</v>
      </c>
      <c r="Y48" s="30">
        <v>0</v>
      </c>
      <c r="Z48" s="46">
        <v>0</v>
      </c>
      <c r="AA48" s="141" t="s">
        <v>247</v>
      </c>
      <c r="AB48" s="142" t="s">
        <v>248</v>
      </c>
      <c r="AC48" s="29" t="s">
        <v>410</v>
      </c>
      <c r="AD48" s="142" t="s">
        <v>251</v>
      </c>
      <c r="AE48" s="191" t="s">
        <v>427</v>
      </c>
      <c r="AF48" s="192" t="s">
        <v>434</v>
      </c>
      <c r="AG48" s="30"/>
      <c r="AH48" s="135" t="str">
        <f>AI48</f>
        <v>GVV-Concord-WP</v>
      </c>
      <c r="AI48" s="272" t="s">
        <v>6</v>
      </c>
      <c r="AJ48" s="135" t="str">
        <f>AK48</f>
        <v>WP</v>
      </c>
      <c r="AK48" s="272" t="s">
        <v>9</v>
      </c>
      <c r="AL48" s="135" t="str">
        <f>AM48</f>
        <v>Operational</v>
      </c>
      <c r="AM48" s="276" t="s">
        <v>5</v>
      </c>
      <c r="AN48" s="135" t="str">
        <f>AO48</f>
        <v>Toronto</v>
      </c>
      <c r="AO48" s="136" t="s">
        <v>7</v>
      </c>
      <c r="AP48" s="272" t="s">
        <v>8</v>
      </c>
      <c r="AQ48" s="135" t="str">
        <f>AR48</f>
        <v>Storage</v>
      </c>
      <c r="AR48" s="305" t="s">
        <v>92</v>
      </c>
    </row>
    <row r="49" spans="1:44" s="3" customFormat="1" ht="15" thickBot="1" x14ac:dyDescent="0.35">
      <c r="A49" s="284"/>
      <c r="B49" s="27" t="str">
        <f>B48</f>
        <v>PeWP 13</v>
      </c>
      <c r="C49" t="s">
        <v>643</v>
      </c>
      <c r="D49" s="33" t="s">
        <v>23</v>
      </c>
      <c r="E49" s="34">
        <v>1</v>
      </c>
      <c r="F49" s="34" t="s">
        <v>14</v>
      </c>
      <c r="G49" s="34">
        <v>0</v>
      </c>
      <c r="H49" s="34">
        <v>1</v>
      </c>
      <c r="I49" s="44"/>
      <c r="J49" s="44" t="s">
        <v>162</v>
      </c>
      <c r="K49" s="74" t="str">
        <f t="shared" si="6"/>
        <v>AmeTek XG 20-84</v>
      </c>
      <c r="L49" s="66">
        <v>1</v>
      </c>
      <c r="M49" s="66" t="str">
        <f t="shared" si="1"/>
        <v>Yes</v>
      </c>
      <c r="N49" s="67">
        <v>0</v>
      </c>
      <c r="O49" s="67" t="str">
        <f t="shared" si="2"/>
        <v>No</v>
      </c>
      <c r="P49" s="68">
        <v>0</v>
      </c>
      <c r="Q49" s="68" t="str">
        <f t="shared" si="3"/>
        <v>No</v>
      </c>
      <c r="R49" s="66">
        <v>0</v>
      </c>
      <c r="S49" s="14" t="str">
        <f t="shared" si="4"/>
        <v>No</v>
      </c>
      <c r="T49" s="27" t="str">
        <f>T48</f>
        <v>120/208 AC</v>
      </c>
      <c r="U49" s="274"/>
      <c r="V49" s="137" t="str">
        <f>V48</f>
        <v>3+ Return and Earth</v>
      </c>
      <c r="W49" s="274"/>
      <c r="X49" s="34">
        <v>1</v>
      </c>
      <c r="Y49" s="34">
        <v>0</v>
      </c>
      <c r="Z49" s="49">
        <v>0</v>
      </c>
      <c r="AA49" s="141" t="s">
        <v>249</v>
      </c>
      <c r="AB49" s="142" t="s">
        <v>250</v>
      </c>
      <c r="AC49" s="33" t="s">
        <v>410</v>
      </c>
      <c r="AD49" s="142" t="s">
        <v>252</v>
      </c>
      <c r="AE49" s="191" t="s">
        <v>427</v>
      </c>
      <c r="AF49" s="192" t="s">
        <v>435</v>
      </c>
      <c r="AG49" s="34"/>
      <c r="AH49" s="137" t="str">
        <f>AH48</f>
        <v>GVV-Concord-WP</v>
      </c>
      <c r="AI49" s="274"/>
      <c r="AJ49" s="137" t="str">
        <f>AJ48</f>
        <v>WP</v>
      </c>
      <c r="AK49" s="274"/>
      <c r="AL49" s="137" t="str">
        <f>AL48</f>
        <v>Operational</v>
      </c>
      <c r="AM49" s="278"/>
      <c r="AN49" s="137" t="str">
        <f>AN48</f>
        <v>Toronto</v>
      </c>
      <c r="AO49" s="83" t="s">
        <v>7</v>
      </c>
      <c r="AP49" s="274"/>
      <c r="AQ49" s="137" t="str">
        <f>AQ48</f>
        <v>Storage</v>
      </c>
      <c r="AR49" s="307"/>
    </row>
    <row r="50" spans="1:44" s="1" customFormat="1" ht="15" thickTop="1" x14ac:dyDescent="0.3">
      <c r="A50" s="290">
        <f t="shared" si="5"/>
        <v>1</v>
      </c>
      <c r="B50" s="26" t="str">
        <f>C50</f>
        <v>PeWP 14</v>
      </c>
      <c r="C50" t="s">
        <v>644</v>
      </c>
      <c r="D50" s="29" t="s">
        <v>22</v>
      </c>
      <c r="E50" s="30">
        <v>1</v>
      </c>
      <c r="F50" s="30" t="s">
        <v>14</v>
      </c>
      <c r="G50" s="30">
        <v>0</v>
      </c>
      <c r="H50" s="30">
        <v>1</v>
      </c>
      <c r="I50" s="42"/>
      <c r="J50" s="42" t="str">
        <f t="shared" si="95"/>
        <v>84 A</v>
      </c>
      <c r="K50" s="69" t="str">
        <f t="shared" si="6"/>
        <v>AmeTek XG 20-84</v>
      </c>
      <c r="L50" s="62">
        <v>1</v>
      </c>
      <c r="M50" s="62" t="str">
        <f t="shared" si="1"/>
        <v>Yes</v>
      </c>
      <c r="N50" s="63">
        <v>1</v>
      </c>
      <c r="O50" s="63" t="str">
        <f t="shared" si="2"/>
        <v>Yes</v>
      </c>
      <c r="P50" s="64">
        <v>0</v>
      </c>
      <c r="Q50" s="64" t="str">
        <f t="shared" si="3"/>
        <v>No</v>
      </c>
      <c r="R50" s="62">
        <v>0</v>
      </c>
      <c r="S50" s="13" t="str">
        <f t="shared" si="4"/>
        <v>No</v>
      </c>
      <c r="T50" s="26" t="str">
        <f>U50</f>
        <v>120/208 AC</v>
      </c>
      <c r="U50" s="272" t="s">
        <v>548</v>
      </c>
      <c r="V50" s="135" t="str">
        <f>W50</f>
        <v>3+ Return and Earth</v>
      </c>
      <c r="W50" s="272" t="s">
        <v>547</v>
      </c>
      <c r="X50" s="30">
        <v>1</v>
      </c>
      <c r="Y50" s="30">
        <v>0</v>
      </c>
      <c r="Z50" s="46">
        <v>0</v>
      </c>
      <c r="AA50" s="141" t="s">
        <v>253</v>
      </c>
      <c r="AB50" s="142" t="s">
        <v>254</v>
      </c>
      <c r="AC50" s="29" t="s">
        <v>410</v>
      </c>
      <c r="AD50" s="38" t="s">
        <v>261</v>
      </c>
      <c r="AE50" s="191" t="s">
        <v>427</v>
      </c>
      <c r="AF50" s="192" t="s">
        <v>436</v>
      </c>
      <c r="AG50" s="30"/>
      <c r="AH50" s="135" t="str">
        <f>AI50</f>
        <v>GVV-Concord-WP</v>
      </c>
      <c r="AI50" s="272" t="s">
        <v>6</v>
      </c>
      <c r="AJ50" s="135" t="str">
        <f>AK50</f>
        <v>WP</v>
      </c>
      <c r="AK50" s="272" t="s">
        <v>9</v>
      </c>
      <c r="AL50" s="135" t="str">
        <f>AM50</f>
        <v>Operational</v>
      </c>
      <c r="AM50" s="276" t="s">
        <v>5</v>
      </c>
      <c r="AN50" s="135" t="str">
        <f>AO50</f>
        <v>Toronto</v>
      </c>
      <c r="AO50" s="136" t="s">
        <v>7</v>
      </c>
      <c r="AP50" s="272" t="s">
        <v>8</v>
      </c>
      <c r="AQ50" s="135" t="str">
        <f>AR50</f>
        <v>ECH-16</v>
      </c>
      <c r="AR50" s="305" t="s">
        <v>78</v>
      </c>
    </row>
    <row r="51" spans="1:44" s="2" customFormat="1" x14ac:dyDescent="0.3">
      <c r="A51" s="292"/>
      <c r="B51" s="28" t="str">
        <f>B50</f>
        <v>PeWP 14</v>
      </c>
      <c r="C51" t="s">
        <v>644</v>
      </c>
      <c r="D51" s="38" t="s">
        <v>23</v>
      </c>
      <c r="E51" s="39">
        <v>1</v>
      </c>
      <c r="F51" s="39" t="s">
        <v>14</v>
      </c>
      <c r="G51" s="39">
        <v>0</v>
      </c>
      <c r="H51" s="39">
        <v>0</v>
      </c>
      <c r="I51" s="43"/>
      <c r="J51" s="43" t="s">
        <v>162</v>
      </c>
      <c r="K51" s="70" t="str">
        <f t="shared" si="6"/>
        <v>AmeTek XG 20-84</v>
      </c>
      <c r="L51" s="71">
        <v>0</v>
      </c>
      <c r="M51" s="71" t="str">
        <f t="shared" si="1"/>
        <v>No</v>
      </c>
      <c r="N51" s="72">
        <v>1</v>
      </c>
      <c r="O51" s="72" t="str">
        <f t="shared" si="2"/>
        <v>Yes</v>
      </c>
      <c r="P51" s="73">
        <v>0</v>
      </c>
      <c r="Q51" s="73" t="str">
        <f t="shared" si="3"/>
        <v>No</v>
      </c>
      <c r="R51" s="71">
        <v>0</v>
      </c>
      <c r="S51" s="15" t="str">
        <f t="shared" si="4"/>
        <v>No</v>
      </c>
      <c r="T51" s="28" t="str">
        <f>T50</f>
        <v>120/208 AC</v>
      </c>
      <c r="U51" s="273"/>
      <c r="V51" s="140" t="str">
        <f>V50</f>
        <v>3+ Return and Earth</v>
      </c>
      <c r="W51" s="273"/>
      <c r="X51" s="39">
        <v>1</v>
      </c>
      <c r="Y51" s="39">
        <v>0</v>
      </c>
      <c r="Z51" s="39">
        <v>0</v>
      </c>
      <c r="AA51" s="141" t="s">
        <v>255</v>
      </c>
      <c r="AB51" s="142" t="s">
        <v>256</v>
      </c>
      <c r="AC51" s="38"/>
      <c r="AD51" s="38"/>
      <c r="AE51" s="39"/>
      <c r="AF51" s="39"/>
      <c r="AG51" s="39"/>
      <c r="AH51" s="140" t="str">
        <f>AH50</f>
        <v>GVV-Concord-WP</v>
      </c>
      <c r="AI51" s="273"/>
      <c r="AJ51" s="140" t="str">
        <f>AJ50</f>
        <v>WP</v>
      </c>
      <c r="AK51" s="273"/>
      <c r="AL51" s="140" t="str">
        <f>AL50</f>
        <v>Operational</v>
      </c>
      <c r="AM51" s="277"/>
      <c r="AN51" s="140" t="str">
        <f>AN50</f>
        <v>Toronto</v>
      </c>
      <c r="AO51" s="82" t="s">
        <v>7</v>
      </c>
      <c r="AP51" s="273"/>
      <c r="AQ51" s="140" t="str">
        <f>AQ50</f>
        <v>ECH-16</v>
      </c>
      <c r="AR51" s="306"/>
    </row>
    <row r="52" spans="1:44" s="2" customFormat="1" x14ac:dyDescent="0.3">
      <c r="A52" s="292"/>
      <c r="B52" s="28" t="str">
        <f t="shared" ref="B52:B53" si="96">B51</f>
        <v>PeWP 14</v>
      </c>
      <c r="C52" t="s">
        <v>644</v>
      </c>
      <c r="D52" s="38" t="s">
        <v>24</v>
      </c>
      <c r="E52" s="39">
        <v>1</v>
      </c>
      <c r="F52" s="39" t="s">
        <v>14</v>
      </c>
      <c r="G52" s="39">
        <v>0</v>
      </c>
      <c r="H52" s="39">
        <v>0</v>
      </c>
      <c r="I52" s="43"/>
      <c r="J52" s="43" t="s">
        <v>162</v>
      </c>
      <c r="K52" s="70" t="str">
        <f t="shared" si="6"/>
        <v>AmeTek XG 20-84</v>
      </c>
      <c r="L52" s="71">
        <v>1</v>
      </c>
      <c r="M52" s="71" t="str">
        <f t="shared" si="1"/>
        <v>Yes</v>
      </c>
      <c r="N52" s="72">
        <v>1</v>
      </c>
      <c r="O52" s="72" t="str">
        <f t="shared" si="2"/>
        <v>Yes</v>
      </c>
      <c r="P52" s="73">
        <v>0</v>
      </c>
      <c r="Q52" s="73" t="str">
        <f t="shared" si="3"/>
        <v>No</v>
      </c>
      <c r="R52" s="71">
        <v>0</v>
      </c>
      <c r="S52" s="15" t="str">
        <f t="shared" si="4"/>
        <v>No</v>
      </c>
      <c r="T52" s="28" t="str">
        <f t="shared" ref="T52:T53" si="97">T51</f>
        <v>120/208 AC</v>
      </c>
      <c r="U52" s="273"/>
      <c r="V52" s="140" t="str">
        <f t="shared" ref="V52:V53" si="98">V51</f>
        <v>3+ Return and Earth</v>
      </c>
      <c r="W52" s="273"/>
      <c r="X52" s="39">
        <v>1</v>
      </c>
      <c r="Y52" s="39">
        <v>0</v>
      </c>
      <c r="Z52" s="39">
        <v>0</v>
      </c>
      <c r="AA52" s="141" t="s">
        <v>257</v>
      </c>
      <c r="AB52" s="142" t="s">
        <v>258</v>
      </c>
      <c r="AC52" s="38" t="s">
        <v>410</v>
      </c>
      <c r="AD52" s="38" t="s">
        <v>262</v>
      </c>
      <c r="AE52" s="191" t="s">
        <v>437</v>
      </c>
      <c r="AF52" s="192" t="s">
        <v>438</v>
      </c>
      <c r="AG52" s="39"/>
      <c r="AH52" s="140" t="str">
        <f t="shared" ref="AH52:AH53" si="99">AH51</f>
        <v>GVV-Concord-WP</v>
      </c>
      <c r="AI52" s="273"/>
      <c r="AJ52" s="140" t="str">
        <f t="shared" ref="AJ52:AJ53" si="100">AJ51</f>
        <v>WP</v>
      </c>
      <c r="AK52" s="273"/>
      <c r="AL52" s="140" t="str">
        <f t="shared" ref="AL52:AL53" si="101">AL51</f>
        <v>Operational</v>
      </c>
      <c r="AM52" s="277"/>
      <c r="AN52" s="140" t="str">
        <f t="shared" ref="AN52:AN53" si="102">AN51</f>
        <v>Toronto</v>
      </c>
      <c r="AO52" s="82" t="s">
        <v>7</v>
      </c>
      <c r="AP52" s="273"/>
      <c r="AQ52" s="140" t="str">
        <f t="shared" ref="AQ52:AQ53" si="103">AQ51</f>
        <v>ECH-16</v>
      </c>
      <c r="AR52" s="306"/>
    </row>
    <row r="53" spans="1:44" s="3" customFormat="1" ht="15" thickBot="1" x14ac:dyDescent="0.35">
      <c r="A53" s="291"/>
      <c r="B53" s="28" t="str">
        <f t="shared" si="96"/>
        <v>PeWP 14</v>
      </c>
      <c r="C53" t="s">
        <v>644</v>
      </c>
      <c r="D53" s="33" t="s">
        <v>25</v>
      </c>
      <c r="E53" s="34">
        <v>1</v>
      </c>
      <c r="F53" s="34" t="s">
        <v>14</v>
      </c>
      <c r="G53" s="34">
        <v>0</v>
      </c>
      <c r="H53" s="34">
        <v>1</v>
      </c>
      <c r="I53" s="44"/>
      <c r="J53" s="44" t="s">
        <v>162</v>
      </c>
      <c r="K53" s="74" t="str">
        <f t="shared" si="6"/>
        <v>AmeTek XG 20-84</v>
      </c>
      <c r="L53" s="66">
        <v>0</v>
      </c>
      <c r="M53" s="66" t="str">
        <f t="shared" si="1"/>
        <v>No</v>
      </c>
      <c r="N53" s="67">
        <v>1</v>
      </c>
      <c r="O53" s="67" t="str">
        <f t="shared" si="2"/>
        <v>Yes</v>
      </c>
      <c r="P53" s="68">
        <v>0</v>
      </c>
      <c r="Q53" s="68" t="str">
        <f t="shared" si="3"/>
        <v>No</v>
      </c>
      <c r="R53" s="66">
        <v>0</v>
      </c>
      <c r="S53" s="14" t="str">
        <f t="shared" si="4"/>
        <v>No</v>
      </c>
      <c r="T53" s="28" t="str">
        <f t="shared" si="97"/>
        <v>120/208 AC</v>
      </c>
      <c r="U53" s="274"/>
      <c r="V53" s="140" t="str">
        <f t="shared" si="98"/>
        <v>3+ Return and Earth</v>
      </c>
      <c r="W53" s="274"/>
      <c r="X53" s="34">
        <v>1</v>
      </c>
      <c r="Y53" s="34">
        <v>0</v>
      </c>
      <c r="Z53" s="49">
        <v>0</v>
      </c>
      <c r="AA53" s="141" t="s">
        <v>259</v>
      </c>
      <c r="AB53" s="142" t="s">
        <v>260</v>
      </c>
      <c r="AC53" s="33"/>
      <c r="AD53" s="38"/>
      <c r="AE53" s="34"/>
      <c r="AF53" s="34"/>
      <c r="AG53" s="34"/>
      <c r="AH53" s="140" t="str">
        <f t="shared" si="99"/>
        <v>GVV-Concord-WP</v>
      </c>
      <c r="AI53" s="274"/>
      <c r="AJ53" s="140" t="str">
        <f t="shared" si="100"/>
        <v>WP</v>
      </c>
      <c r="AK53" s="274"/>
      <c r="AL53" s="140" t="str">
        <f t="shared" si="101"/>
        <v>Operational</v>
      </c>
      <c r="AM53" s="278"/>
      <c r="AN53" s="140" t="str">
        <f t="shared" si="102"/>
        <v>Toronto</v>
      </c>
      <c r="AO53" s="83" t="s">
        <v>7</v>
      </c>
      <c r="AP53" s="274"/>
      <c r="AQ53" s="140" t="str">
        <f t="shared" si="103"/>
        <v>ECH-16</v>
      </c>
      <c r="AR53" s="307"/>
    </row>
    <row r="54" spans="1:44" s="1" customFormat="1" ht="15" thickTop="1" x14ac:dyDescent="0.3">
      <c r="A54" s="282">
        <f t="shared" si="5"/>
        <v>1</v>
      </c>
      <c r="B54" s="26" t="str">
        <f>C54</f>
        <v>PeWP 15</v>
      </c>
      <c r="C54" t="s">
        <v>645</v>
      </c>
      <c r="D54" s="29" t="s">
        <v>22</v>
      </c>
      <c r="E54" s="30">
        <v>1</v>
      </c>
      <c r="F54" s="30" t="s">
        <v>14</v>
      </c>
      <c r="G54" s="30">
        <v>0</v>
      </c>
      <c r="H54" s="30">
        <v>1</v>
      </c>
      <c r="I54" s="42"/>
      <c r="J54" s="42" t="str">
        <f t="shared" si="95"/>
        <v>84 A</v>
      </c>
      <c r="K54" s="69" t="str">
        <f t="shared" si="6"/>
        <v>AmeTek XG 20-84</v>
      </c>
      <c r="L54" s="62">
        <v>1</v>
      </c>
      <c r="M54" s="62" t="str">
        <f t="shared" si="1"/>
        <v>Yes</v>
      </c>
      <c r="N54" s="63">
        <v>0</v>
      </c>
      <c r="O54" s="63" t="str">
        <f t="shared" si="2"/>
        <v>No</v>
      </c>
      <c r="P54" s="64">
        <v>0</v>
      </c>
      <c r="Q54" s="64" t="str">
        <f t="shared" si="3"/>
        <v>No</v>
      </c>
      <c r="R54" s="62">
        <v>0</v>
      </c>
      <c r="S54" s="13" t="str">
        <f t="shared" si="4"/>
        <v>No</v>
      </c>
      <c r="T54" s="26" t="str">
        <f>U54</f>
        <v>120/208 AC</v>
      </c>
      <c r="U54" s="272" t="s">
        <v>548</v>
      </c>
      <c r="V54" s="135" t="str">
        <f>W54</f>
        <v>3+ Return and Earth</v>
      </c>
      <c r="W54" s="272" t="s">
        <v>547</v>
      </c>
      <c r="X54" s="30">
        <v>1</v>
      </c>
      <c r="Y54" s="30">
        <v>0</v>
      </c>
      <c r="Z54" s="46">
        <v>0</v>
      </c>
      <c r="AA54" s="141" t="s">
        <v>263</v>
      </c>
      <c r="AB54" s="142" t="s">
        <v>264</v>
      </c>
      <c r="AC54" s="29"/>
      <c r="AD54" s="38" t="s">
        <v>267</v>
      </c>
      <c r="AE54" s="191" t="s">
        <v>427</v>
      </c>
      <c r="AF54" s="192" t="s">
        <v>439</v>
      </c>
      <c r="AG54" s="30"/>
      <c r="AH54" s="135" t="str">
        <f>AI54</f>
        <v>GVV-Concord-WP</v>
      </c>
      <c r="AI54" s="272" t="s">
        <v>6</v>
      </c>
      <c r="AJ54" s="135" t="str">
        <f>AK54</f>
        <v>WP</v>
      </c>
      <c r="AK54" s="272" t="s">
        <v>9</v>
      </c>
      <c r="AL54" s="135" t="str">
        <f>AM54</f>
        <v>Operational</v>
      </c>
      <c r="AM54" s="276" t="s">
        <v>5</v>
      </c>
      <c r="AN54" s="135" t="str">
        <f>AO54</f>
        <v>Toronto</v>
      </c>
      <c r="AO54" s="136" t="s">
        <v>7</v>
      </c>
      <c r="AP54" s="272" t="s">
        <v>8</v>
      </c>
      <c r="AQ54" s="135" t="str">
        <f>AR54</f>
        <v>ECH-11</v>
      </c>
      <c r="AR54" s="305" t="s">
        <v>184</v>
      </c>
    </row>
    <row r="55" spans="1:44" s="3" customFormat="1" ht="15" thickBot="1" x14ac:dyDescent="0.35">
      <c r="A55" s="284"/>
      <c r="B55" s="27" t="str">
        <f>B54</f>
        <v>PeWP 15</v>
      </c>
      <c r="C55" t="s">
        <v>645</v>
      </c>
      <c r="D55" s="33" t="s">
        <v>23</v>
      </c>
      <c r="E55" s="34">
        <v>1</v>
      </c>
      <c r="F55" s="34" t="s">
        <v>14</v>
      </c>
      <c r="G55" s="34">
        <v>0</v>
      </c>
      <c r="H55" s="34">
        <v>1</v>
      </c>
      <c r="I55" s="44"/>
      <c r="J55" s="44" t="s">
        <v>162</v>
      </c>
      <c r="K55" s="74" t="str">
        <f t="shared" si="6"/>
        <v>AmeTek XG 20-84</v>
      </c>
      <c r="L55" s="66">
        <v>1</v>
      </c>
      <c r="M55" s="66" t="str">
        <f t="shared" si="1"/>
        <v>Yes</v>
      </c>
      <c r="N55" s="67">
        <v>0</v>
      </c>
      <c r="O55" s="67" t="str">
        <f t="shared" si="2"/>
        <v>No</v>
      </c>
      <c r="P55" s="68">
        <v>0</v>
      </c>
      <c r="Q55" s="68" t="str">
        <f t="shared" si="3"/>
        <v>No</v>
      </c>
      <c r="R55" s="66">
        <v>0</v>
      </c>
      <c r="S55" s="14" t="str">
        <f t="shared" si="4"/>
        <v>No</v>
      </c>
      <c r="T55" s="27" t="str">
        <f>T54</f>
        <v>120/208 AC</v>
      </c>
      <c r="U55" s="274"/>
      <c r="V55" s="137" t="str">
        <f>V54</f>
        <v>3+ Return and Earth</v>
      </c>
      <c r="W55" s="274"/>
      <c r="X55" s="34">
        <v>1</v>
      </c>
      <c r="Y55" s="34">
        <v>0</v>
      </c>
      <c r="Z55" s="49">
        <v>0</v>
      </c>
      <c r="AA55" s="141" t="s">
        <v>265</v>
      </c>
      <c r="AB55" s="142" t="s">
        <v>266</v>
      </c>
      <c r="AC55" s="33"/>
      <c r="AD55" s="38" t="s">
        <v>268</v>
      </c>
      <c r="AE55" s="191" t="s">
        <v>427</v>
      </c>
      <c r="AF55" s="192" t="s">
        <v>440</v>
      </c>
      <c r="AG55" s="34"/>
      <c r="AH55" s="137" t="str">
        <f>AH54</f>
        <v>GVV-Concord-WP</v>
      </c>
      <c r="AI55" s="274"/>
      <c r="AJ55" s="137" t="str">
        <f>AJ54</f>
        <v>WP</v>
      </c>
      <c r="AK55" s="274"/>
      <c r="AL55" s="137" t="str">
        <f>AL54</f>
        <v>Operational</v>
      </c>
      <c r="AM55" s="278"/>
      <c r="AN55" s="137" t="str">
        <f>AN54</f>
        <v>Toronto</v>
      </c>
      <c r="AO55" s="83" t="s">
        <v>7</v>
      </c>
      <c r="AP55" s="274"/>
      <c r="AQ55" s="137" t="str">
        <f>AQ54</f>
        <v>ECH-11</v>
      </c>
      <c r="AR55" s="307"/>
    </row>
    <row r="56" spans="1:44" s="1" customFormat="1" ht="15" thickTop="1" x14ac:dyDescent="0.3">
      <c r="A56" s="290">
        <f t="shared" si="5"/>
        <v>1</v>
      </c>
      <c r="B56" s="26" t="str">
        <f>C56</f>
        <v>PeWP 16</v>
      </c>
      <c r="C56" t="s">
        <v>646</v>
      </c>
      <c r="D56" s="29" t="s">
        <v>22</v>
      </c>
      <c r="E56" s="30">
        <v>1</v>
      </c>
      <c r="F56" s="30" t="s">
        <v>14</v>
      </c>
      <c r="G56" s="30">
        <v>1</v>
      </c>
      <c r="H56" s="30">
        <v>0</v>
      </c>
      <c r="I56" s="42" t="s">
        <v>401</v>
      </c>
      <c r="J56" s="42" t="s">
        <v>162</v>
      </c>
      <c r="K56" s="69" t="str">
        <f t="shared" si="6"/>
        <v>TDK-Lambda GEN 60-40</v>
      </c>
      <c r="L56" s="62">
        <v>1</v>
      </c>
      <c r="M56" s="62" t="str">
        <f t="shared" si="1"/>
        <v>Yes</v>
      </c>
      <c r="N56" s="63">
        <v>0</v>
      </c>
      <c r="O56" s="63" t="str">
        <f t="shared" si="2"/>
        <v>No</v>
      </c>
      <c r="P56" s="64">
        <v>0</v>
      </c>
      <c r="Q56" s="64" t="str">
        <f t="shared" si="3"/>
        <v>No</v>
      </c>
      <c r="R56" s="62">
        <v>0</v>
      </c>
      <c r="S56" s="13" t="str">
        <f t="shared" si="4"/>
        <v>No</v>
      </c>
      <c r="T56" s="26" t="str">
        <f>U56</f>
        <v>120/208 AC</v>
      </c>
      <c r="U56" s="272" t="s">
        <v>548</v>
      </c>
      <c r="V56" s="135" t="str">
        <f>W56</f>
        <v>3+ Return and Earth</v>
      </c>
      <c r="W56" s="272" t="s">
        <v>547</v>
      </c>
      <c r="X56" s="30">
        <v>1</v>
      </c>
      <c r="Y56" s="30">
        <v>0</v>
      </c>
      <c r="Z56" s="46">
        <v>0</v>
      </c>
      <c r="AA56" s="141" t="s">
        <v>269</v>
      </c>
      <c r="AB56" s="142" t="s">
        <v>270</v>
      </c>
      <c r="AC56" s="29" t="s">
        <v>410</v>
      </c>
      <c r="AD56" s="142" t="s">
        <v>271</v>
      </c>
      <c r="AE56" s="191" t="s">
        <v>427</v>
      </c>
      <c r="AF56" s="192" t="s">
        <v>441</v>
      </c>
      <c r="AG56" s="30"/>
      <c r="AH56" s="135" t="str">
        <f>AI56</f>
        <v>GVV-Concord-WP</v>
      </c>
      <c r="AI56" s="272" t="s">
        <v>6</v>
      </c>
      <c r="AJ56" s="135" t="str">
        <f>AK56</f>
        <v>WP</v>
      </c>
      <c r="AK56" s="272" t="s">
        <v>9</v>
      </c>
      <c r="AL56" s="135" t="str">
        <f>AM56</f>
        <v>Operational</v>
      </c>
      <c r="AM56" s="276" t="s">
        <v>5</v>
      </c>
      <c r="AN56" s="135" t="str">
        <f>AO56</f>
        <v>Toronto</v>
      </c>
      <c r="AO56" s="136" t="s">
        <v>7</v>
      </c>
      <c r="AP56" s="272" t="s">
        <v>8</v>
      </c>
      <c r="AQ56" s="135" t="str">
        <f>AR56</f>
        <v>ECH-14</v>
      </c>
      <c r="AR56" s="305" t="s">
        <v>186</v>
      </c>
    </row>
    <row r="57" spans="1:44" s="2" customFormat="1" x14ac:dyDescent="0.3">
      <c r="A57" s="292"/>
      <c r="B57" s="28" t="str">
        <f>B56</f>
        <v>PeWP 16</v>
      </c>
      <c r="C57" t="s">
        <v>646</v>
      </c>
      <c r="D57" s="38" t="s">
        <v>22</v>
      </c>
      <c r="E57" s="39">
        <v>0</v>
      </c>
      <c r="F57" s="39" t="s">
        <v>14</v>
      </c>
      <c r="G57" s="39">
        <v>0</v>
      </c>
      <c r="H57" s="39">
        <v>1</v>
      </c>
      <c r="I57" s="43" t="s">
        <v>401</v>
      </c>
      <c r="J57" s="43" t="s">
        <v>162</v>
      </c>
      <c r="K57" s="70" t="str">
        <f t="shared" si="6"/>
        <v>TDK-Lambda GEN 60-40</v>
      </c>
      <c r="L57" s="71">
        <v>0</v>
      </c>
      <c r="M57" s="71" t="str">
        <f t="shared" si="1"/>
        <v>No</v>
      </c>
      <c r="N57" s="72">
        <v>0</v>
      </c>
      <c r="O57" s="72" t="str">
        <f t="shared" si="2"/>
        <v>No</v>
      </c>
      <c r="P57" s="73">
        <v>0</v>
      </c>
      <c r="Q57" s="73" t="str">
        <f t="shared" si="3"/>
        <v>No</v>
      </c>
      <c r="R57" s="71">
        <v>0</v>
      </c>
      <c r="S57" s="15" t="str">
        <f t="shared" si="4"/>
        <v>No</v>
      </c>
      <c r="T57" s="28" t="str">
        <f>T56</f>
        <v>120/208 AC</v>
      </c>
      <c r="U57" s="273"/>
      <c r="V57" s="140" t="str">
        <f>V56</f>
        <v>3+ Return and Earth</v>
      </c>
      <c r="W57" s="273"/>
      <c r="X57" s="39">
        <v>0</v>
      </c>
      <c r="Y57" s="39">
        <v>0</v>
      </c>
      <c r="Z57" s="39">
        <v>0</v>
      </c>
      <c r="AA57" s="141" t="s">
        <v>269</v>
      </c>
      <c r="AB57" s="142" t="s">
        <v>270</v>
      </c>
      <c r="AC57" s="38"/>
      <c r="AD57" s="39"/>
      <c r="AE57" s="39"/>
      <c r="AF57" s="39"/>
      <c r="AG57" s="39"/>
      <c r="AH57" s="140" t="str">
        <f>AH56</f>
        <v>GVV-Concord-WP</v>
      </c>
      <c r="AI57" s="273"/>
      <c r="AJ57" s="140" t="str">
        <f>AJ56</f>
        <v>WP</v>
      </c>
      <c r="AK57" s="273"/>
      <c r="AL57" s="140" t="str">
        <f>AL56</f>
        <v>Operational</v>
      </c>
      <c r="AM57" s="277"/>
      <c r="AN57" s="140" t="str">
        <f>AN56</f>
        <v>Toronto</v>
      </c>
      <c r="AO57" s="82" t="s">
        <v>7</v>
      </c>
      <c r="AP57" s="273"/>
      <c r="AQ57" s="140" t="str">
        <f>AQ56</f>
        <v>ECH-14</v>
      </c>
      <c r="AR57" s="306"/>
    </row>
    <row r="58" spans="1:44" s="2" customFormat="1" x14ac:dyDescent="0.3">
      <c r="A58" s="292"/>
      <c r="B58" s="28" t="str">
        <f t="shared" ref="B58:B59" si="104">B57</f>
        <v>PeWP 16</v>
      </c>
      <c r="C58" t="s">
        <v>646</v>
      </c>
      <c r="D58" s="38" t="s">
        <v>23</v>
      </c>
      <c r="E58" s="39">
        <v>1</v>
      </c>
      <c r="F58" s="39" t="s">
        <v>14</v>
      </c>
      <c r="G58" s="39">
        <v>1</v>
      </c>
      <c r="H58" s="39">
        <v>0</v>
      </c>
      <c r="I58" s="43" t="s">
        <v>401</v>
      </c>
      <c r="J58" s="43" t="s">
        <v>162</v>
      </c>
      <c r="K58" s="70" t="str">
        <f t="shared" si="6"/>
        <v>TDK-Lambda GEN 60-40</v>
      </c>
      <c r="L58" s="71">
        <v>1</v>
      </c>
      <c r="M58" s="71" t="str">
        <f t="shared" si="1"/>
        <v>Yes</v>
      </c>
      <c r="N58" s="72">
        <v>0</v>
      </c>
      <c r="O58" s="72" t="str">
        <f t="shared" si="2"/>
        <v>No</v>
      </c>
      <c r="P58" s="73">
        <v>0</v>
      </c>
      <c r="Q58" s="73" t="str">
        <f t="shared" si="3"/>
        <v>No</v>
      </c>
      <c r="R58" s="71">
        <v>0</v>
      </c>
      <c r="S58" s="15" t="str">
        <f t="shared" si="4"/>
        <v>No</v>
      </c>
      <c r="T58" s="28" t="str">
        <f t="shared" ref="T58:T59" si="105">T57</f>
        <v>120/208 AC</v>
      </c>
      <c r="U58" s="273"/>
      <c r="V58" s="140" t="str">
        <f t="shared" ref="V58:V59" si="106">V57</f>
        <v>3+ Return and Earth</v>
      </c>
      <c r="W58" s="273"/>
      <c r="X58" s="39">
        <v>1</v>
      </c>
      <c r="Y58" s="39">
        <v>0</v>
      </c>
      <c r="Z58" s="39">
        <v>0</v>
      </c>
      <c r="AA58" s="39"/>
      <c r="AB58" s="39"/>
      <c r="AC58" s="39" t="s">
        <v>410</v>
      </c>
      <c r="AD58" s="142" t="s">
        <v>272</v>
      </c>
      <c r="AE58" s="191" t="s">
        <v>427</v>
      </c>
      <c r="AF58" s="192" t="s">
        <v>442</v>
      </c>
      <c r="AG58" s="39"/>
      <c r="AH58" s="140" t="str">
        <f t="shared" ref="AH58:AH59" si="107">AH57</f>
        <v>GVV-Concord-WP</v>
      </c>
      <c r="AI58" s="273"/>
      <c r="AJ58" s="140" t="str">
        <f t="shared" ref="AJ58:AJ59" si="108">AJ57</f>
        <v>WP</v>
      </c>
      <c r="AK58" s="273"/>
      <c r="AL58" s="140" t="str">
        <f t="shared" ref="AL58:AL59" si="109">AL57</f>
        <v>Operational</v>
      </c>
      <c r="AM58" s="277"/>
      <c r="AN58" s="140" t="str">
        <f t="shared" ref="AN58:AN59" si="110">AN57</f>
        <v>Toronto</v>
      </c>
      <c r="AO58" s="82" t="s">
        <v>7</v>
      </c>
      <c r="AP58" s="273"/>
      <c r="AQ58" s="140" t="str">
        <f t="shared" ref="AQ58:AQ59" si="111">AQ57</f>
        <v>ECH-14</v>
      </c>
      <c r="AR58" s="306"/>
    </row>
    <row r="59" spans="1:44" s="3" customFormat="1" ht="15" thickBot="1" x14ac:dyDescent="0.35">
      <c r="A59" s="291"/>
      <c r="B59" s="28" t="str">
        <f t="shared" si="104"/>
        <v>PeWP 16</v>
      </c>
      <c r="C59" t="s">
        <v>646</v>
      </c>
      <c r="D59" s="33" t="s">
        <v>23</v>
      </c>
      <c r="E59" s="34">
        <v>0</v>
      </c>
      <c r="F59" s="34" t="s">
        <v>14</v>
      </c>
      <c r="G59" s="34">
        <v>0</v>
      </c>
      <c r="H59" s="34">
        <v>1</v>
      </c>
      <c r="I59" s="44" t="s">
        <v>401</v>
      </c>
      <c r="J59" s="44" t="s">
        <v>162</v>
      </c>
      <c r="K59" s="74" t="str">
        <f t="shared" si="6"/>
        <v>TDK-Lambda GEN 60-40</v>
      </c>
      <c r="L59" s="66">
        <v>0</v>
      </c>
      <c r="M59" s="66" t="str">
        <f t="shared" si="1"/>
        <v>No</v>
      </c>
      <c r="N59" s="67">
        <v>0</v>
      </c>
      <c r="O59" s="67" t="str">
        <f t="shared" si="2"/>
        <v>No</v>
      </c>
      <c r="P59" s="68">
        <v>0</v>
      </c>
      <c r="Q59" s="68" t="str">
        <f t="shared" si="3"/>
        <v>No</v>
      </c>
      <c r="R59" s="66">
        <v>0</v>
      </c>
      <c r="S59" s="14" t="str">
        <f t="shared" si="4"/>
        <v>No</v>
      </c>
      <c r="T59" s="28" t="str">
        <f t="shared" si="105"/>
        <v>120/208 AC</v>
      </c>
      <c r="U59" s="274"/>
      <c r="V59" s="140" t="str">
        <f t="shared" si="106"/>
        <v>3+ Return and Earth</v>
      </c>
      <c r="W59" s="274"/>
      <c r="X59" s="34">
        <v>0</v>
      </c>
      <c r="Y59" s="34">
        <v>0</v>
      </c>
      <c r="Z59" s="34">
        <v>0</v>
      </c>
      <c r="AA59" s="34"/>
      <c r="AB59" s="34"/>
      <c r="AC59" s="34"/>
      <c r="AD59" s="34"/>
      <c r="AE59" s="34"/>
      <c r="AF59" s="34"/>
      <c r="AG59" s="34"/>
      <c r="AH59" s="140" t="str">
        <f t="shared" si="107"/>
        <v>GVV-Concord-WP</v>
      </c>
      <c r="AI59" s="274"/>
      <c r="AJ59" s="140" t="str">
        <f t="shared" si="108"/>
        <v>WP</v>
      </c>
      <c r="AK59" s="274"/>
      <c r="AL59" s="140" t="str">
        <f t="shared" si="109"/>
        <v>Operational</v>
      </c>
      <c r="AM59" s="278"/>
      <c r="AN59" s="140" t="str">
        <f t="shared" si="110"/>
        <v>Toronto</v>
      </c>
      <c r="AO59" s="83" t="s">
        <v>7</v>
      </c>
      <c r="AP59" s="274"/>
      <c r="AQ59" s="140" t="str">
        <f t="shared" si="111"/>
        <v>ECH-14</v>
      </c>
      <c r="AR59" s="307"/>
    </row>
    <row r="60" spans="1:44" s="1" customFormat="1" ht="15" thickTop="1" x14ac:dyDescent="0.3">
      <c r="A60" s="290">
        <f t="shared" si="5"/>
        <v>1</v>
      </c>
      <c r="B60" s="26" t="str">
        <f>C60</f>
        <v>PeWP 17</v>
      </c>
      <c r="C60" t="s">
        <v>647</v>
      </c>
      <c r="D60" s="29" t="s">
        <v>22</v>
      </c>
      <c r="E60" s="30">
        <v>1</v>
      </c>
      <c r="F60" s="30" t="s">
        <v>14</v>
      </c>
      <c r="G60" s="30">
        <v>1</v>
      </c>
      <c r="H60" s="30">
        <v>0</v>
      </c>
      <c r="I60" s="42" t="s">
        <v>401</v>
      </c>
      <c r="J60" s="42" t="s">
        <v>162</v>
      </c>
      <c r="K60" s="69" t="str">
        <f t="shared" si="6"/>
        <v>TDK-Lambda GEN 60-40</v>
      </c>
      <c r="L60" s="62">
        <v>1</v>
      </c>
      <c r="M60" s="62" t="str">
        <f t="shared" si="1"/>
        <v>Yes</v>
      </c>
      <c r="N60" s="63">
        <v>0</v>
      </c>
      <c r="O60" s="63" t="str">
        <f t="shared" si="2"/>
        <v>No</v>
      </c>
      <c r="P60" s="64">
        <v>0</v>
      </c>
      <c r="Q60" s="64" t="str">
        <f t="shared" si="3"/>
        <v>No</v>
      </c>
      <c r="R60" s="62">
        <v>0</v>
      </c>
      <c r="S60" s="13" t="str">
        <f t="shared" si="4"/>
        <v>No</v>
      </c>
      <c r="T60" s="26" t="str">
        <f>U60</f>
        <v>120/208 AC</v>
      </c>
      <c r="U60" s="272" t="s">
        <v>548</v>
      </c>
      <c r="V60" s="135" t="str">
        <f>W60</f>
        <v>3+ Return and Earth</v>
      </c>
      <c r="W60" s="272" t="s">
        <v>547</v>
      </c>
      <c r="X60" s="30">
        <v>1</v>
      </c>
      <c r="Y60" s="30">
        <v>0</v>
      </c>
      <c r="Z60" s="30">
        <v>0</v>
      </c>
      <c r="AA60" s="138" t="s">
        <v>273</v>
      </c>
      <c r="AB60" s="139" t="s">
        <v>274</v>
      </c>
      <c r="AC60" s="30" t="s">
        <v>410</v>
      </c>
      <c r="AD60" s="139" t="s">
        <v>277</v>
      </c>
      <c r="AE60" s="191" t="s">
        <v>427</v>
      </c>
      <c r="AF60" s="192" t="s">
        <v>443</v>
      </c>
      <c r="AG60" s="30"/>
      <c r="AH60" s="135" t="str">
        <f>AI60</f>
        <v>GVV-Concord-WP</v>
      </c>
      <c r="AI60" s="272" t="s">
        <v>6</v>
      </c>
      <c r="AJ60" s="135" t="str">
        <f>AK60</f>
        <v>WP</v>
      </c>
      <c r="AK60" s="272" t="s">
        <v>9</v>
      </c>
      <c r="AL60" s="135" t="str">
        <f>AM60</f>
        <v>Operational</v>
      </c>
      <c r="AM60" s="276" t="s">
        <v>5</v>
      </c>
      <c r="AN60" s="135" t="str">
        <f>AO60</f>
        <v>Toronto</v>
      </c>
      <c r="AO60" s="136" t="s">
        <v>7</v>
      </c>
      <c r="AP60" s="272" t="s">
        <v>8</v>
      </c>
      <c r="AQ60" s="135" t="str">
        <f>AR60</f>
        <v>ECH-24</v>
      </c>
      <c r="AR60" s="305" t="s">
        <v>194</v>
      </c>
    </row>
    <row r="61" spans="1:44" s="2" customFormat="1" x14ac:dyDescent="0.3">
      <c r="A61" s="292"/>
      <c r="B61" s="28" t="str">
        <f>B60</f>
        <v>PeWP 17</v>
      </c>
      <c r="C61" t="s">
        <v>647</v>
      </c>
      <c r="D61" s="38" t="s">
        <v>22</v>
      </c>
      <c r="E61" s="39">
        <v>0</v>
      </c>
      <c r="F61" s="39" t="s">
        <v>14</v>
      </c>
      <c r="G61" s="39">
        <v>0</v>
      </c>
      <c r="H61" s="39">
        <v>1</v>
      </c>
      <c r="I61" s="43" t="s">
        <v>401</v>
      </c>
      <c r="J61" s="43" t="s">
        <v>162</v>
      </c>
      <c r="K61" s="70" t="str">
        <f t="shared" si="6"/>
        <v>TDK-Lambda GEN 60-40</v>
      </c>
      <c r="L61" s="71">
        <v>0</v>
      </c>
      <c r="M61" s="71" t="str">
        <f t="shared" si="1"/>
        <v>No</v>
      </c>
      <c r="N61" s="72">
        <v>0</v>
      </c>
      <c r="O61" s="72" t="str">
        <f t="shared" si="2"/>
        <v>No</v>
      </c>
      <c r="P61" s="73">
        <v>0</v>
      </c>
      <c r="Q61" s="73" t="str">
        <f t="shared" si="3"/>
        <v>No</v>
      </c>
      <c r="R61" s="71">
        <v>0</v>
      </c>
      <c r="S61" s="15" t="str">
        <f t="shared" si="4"/>
        <v>No</v>
      </c>
      <c r="T61" s="28" t="str">
        <f>T60</f>
        <v>120/208 AC</v>
      </c>
      <c r="U61" s="273"/>
      <c r="V61" s="140" t="str">
        <f>V60</f>
        <v>3+ Return and Earth</v>
      </c>
      <c r="W61" s="273"/>
      <c r="X61" s="39">
        <v>0</v>
      </c>
      <c r="Y61" s="39">
        <v>0</v>
      </c>
      <c r="Z61" s="39">
        <v>0</v>
      </c>
      <c r="AA61" s="141" t="s">
        <v>273</v>
      </c>
      <c r="AB61" s="142" t="s">
        <v>274</v>
      </c>
      <c r="AC61" s="39"/>
      <c r="AD61" s="39"/>
      <c r="AE61" s="39"/>
      <c r="AF61" s="39"/>
      <c r="AG61" s="39"/>
      <c r="AH61" s="140" t="str">
        <f>AH60</f>
        <v>GVV-Concord-WP</v>
      </c>
      <c r="AI61" s="273"/>
      <c r="AJ61" s="140" t="str">
        <f>AJ60</f>
        <v>WP</v>
      </c>
      <c r="AK61" s="273"/>
      <c r="AL61" s="140" t="str">
        <f>AL60</f>
        <v>Operational</v>
      </c>
      <c r="AM61" s="277"/>
      <c r="AN61" s="140" t="str">
        <f>AN60</f>
        <v>Toronto</v>
      </c>
      <c r="AO61" s="82" t="s">
        <v>7</v>
      </c>
      <c r="AP61" s="273"/>
      <c r="AQ61" s="140" t="str">
        <f>AQ60</f>
        <v>ECH-24</v>
      </c>
      <c r="AR61" s="306"/>
    </row>
    <row r="62" spans="1:44" s="2" customFormat="1" x14ac:dyDescent="0.3">
      <c r="A62" s="292"/>
      <c r="B62" s="28" t="str">
        <f t="shared" ref="B62:B63" si="112">B61</f>
        <v>PeWP 17</v>
      </c>
      <c r="C62" t="s">
        <v>647</v>
      </c>
      <c r="D62" s="38" t="s">
        <v>23</v>
      </c>
      <c r="E62" s="39">
        <v>1</v>
      </c>
      <c r="F62" s="39" t="s">
        <v>14</v>
      </c>
      <c r="G62" s="39">
        <v>1</v>
      </c>
      <c r="H62" s="39">
        <v>0</v>
      </c>
      <c r="I62" s="43" t="s">
        <v>401</v>
      </c>
      <c r="J62" s="43" t="s">
        <v>162</v>
      </c>
      <c r="K62" s="70" t="str">
        <f t="shared" si="6"/>
        <v>TDK-Lambda GEN 60-40</v>
      </c>
      <c r="L62" s="71">
        <v>1</v>
      </c>
      <c r="M62" s="71" t="str">
        <f t="shared" si="1"/>
        <v>Yes</v>
      </c>
      <c r="N62" s="72">
        <v>0</v>
      </c>
      <c r="O62" s="72" t="str">
        <f t="shared" si="2"/>
        <v>No</v>
      </c>
      <c r="P62" s="73">
        <v>0</v>
      </c>
      <c r="Q62" s="73" t="str">
        <f t="shared" si="3"/>
        <v>No</v>
      </c>
      <c r="R62" s="71">
        <v>0</v>
      </c>
      <c r="S62" s="15" t="str">
        <f t="shared" si="4"/>
        <v>No</v>
      </c>
      <c r="T62" s="28" t="str">
        <f t="shared" ref="T62:T63" si="113">T61</f>
        <v>120/208 AC</v>
      </c>
      <c r="U62" s="273"/>
      <c r="V62" s="140" t="str">
        <f t="shared" ref="V62:V63" si="114">V61</f>
        <v>3+ Return and Earth</v>
      </c>
      <c r="W62" s="273"/>
      <c r="X62" s="39">
        <v>1</v>
      </c>
      <c r="Y62" s="39">
        <v>0</v>
      </c>
      <c r="Z62" s="39">
        <v>0</v>
      </c>
      <c r="AA62" s="141" t="s">
        <v>275</v>
      </c>
      <c r="AB62" s="142" t="s">
        <v>276</v>
      </c>
      <c r="AC62" s="39" t="s">
        <v>410</v>
      </c>
      <c r="AD62" s="142" t="s">
        <v>278</v>
      </c>
      <c r="AE62" s="191" t="s">
        <v>427</v>
      </c>
      <c r="AF62" s="192" t="s">
        <v>444</v>
      </c>
      <c r="AG62" s="39"/>
      <c r="AH62" s="140" t="str">
        <f t="shared" ref="AH62:AH63" si="115">AH61</f>
        <v>GVV-Concord-WP</v>
      </c>
      <c r="AI62" s="273"/>
      <c r="AJ62" s="140" t="str">
        <f t="shared" ref="AJ62:AJ63" si="116">AJ61</f>
        <v>WP</v>
      </c>
      <c r="AK62" s="273"/>
      <c r="AL62" s="140" t="str">
        <f t="shared" ref="AL62:AL63" si="117">AL61</f>
        <v>Operational</v>
      </c>
      <c r="AM62" s="277"/>
      <c r="AN62" s="140" t="str">
        <f t="shared" ref="AN62:AN63" si="118">AN61</f>
        <v>Toronto</v>
      </c>
      <c r="AO62" s="82" t="s">
        <v>7</v>
      </c>
      <c r="AP62" s="273"/>
      <c r="AQ62" s="140" t="str">
        <f t="shared" ref="AQ62:AQ63" si="119">AQ61</f>
        <v>ECH-24</v>
      </c>
      <c r="AR62" s="306"/>
    </row>
    <row r="63" spans="1:44" s="3" customFormat="1" ht="15" thickBot="1" x14ac:dyDescent="0.35">
      <c r="A63" s="291"/>
      <c r="B63" s="28" t="str">
        <f t="shared" si="112"/>
        <v>PeWP 17</v>
      </c>
      <c r="C63" t="s">
        <v>647</v>
      </c>
      <c r="D63" s="33" t="s">
        <v>23</v>
      </c>
      <c r="E63" s="34">
        <v>0</v>
      </c>
      <c r="F63" s="34" t="s">
        <v>14</v>
      </c>
      <c r="G63" s="34">
        <v>0</v>
      </c>
      <c r="H63" s="34">
        <v>1</v>
      </c>
      <c r="I63" s="44" t="s">
        <v>401</v>
      </c>
      <c r="J63" s="44" t="s">
        <v>162</v>
      </c>
      <c r="K63" s="74" t="str">
        <f t="shared" si="6"/>
        <v>TDK-Lambda GEN 60-40</v>
      </c>
      <c r="L63" s="66">
        <v>0</v>
      </c>
      <c r="M63" s="66" t="str">
        <f t="shared" si="1"/>
        <v>No</v>
      </c>
      <c r="N63" s="67">
        <v>0</v>
      </c>
      <c r="O63" s="67" t="str">
        <f t="shared" si="2"/>
        <v>No</v>
      </c>
      <c r="P63" s="68">
        <v>0</v>
      </c>
      <c r="Q63" s="68" t="str">
        <f t="shared" si="3"/>
        <v>No</v>
      </c>
      <c r="R63" s="66">
        <v>0</v>
      </c>
      <c r="S63" s="14" t="str">
        <f t="shared" si="4"/>
        <v>No</v>
      </c>
      <c r="T63" s="28" t="str">
        <f t="shared" si="113"/>
        <v>120/208 AC</v>
      </c>
      <c r="U63" s="274"/>
      <c r="V63" s="140" t="str">
        <f t="shared" si="114"/>
        <v>3+ Return and Earth</v>
      </c>
      <c r="W63" s="274"/>
      <c r="X63" s="34">
        <v>0</v>
      </c>
      <c r="Y63" s="34">
        <v>0</v>
      </c>
      <c r="Z63" s="49">
        <v>0</v>
      </c>
      <c r="AA63" s="141" t="s">
        <v>275</v>
      </c>
      <c r="AB63" s="142" t="s">
        <v>276</v>
      </c>
      <c r="AC63" s="34"/>
      <c r="AD63" s="34"/>
      <c r="AE63" s="34"/>
      <c r="AF63" s="34"/>
      <c r="AG63" s="34"/>
      <c r="AH63" s="140" t="str">
        <f t="shared" si="115"/>
        <v>GVV-Concord-WP</v>
      </c>
      <c r="AI63" s="274"/>
      <c r="AJ63" s="140" t="str">
        <f t="shared" si="116"/>
        <v>WP</v>
      </c>
      <c r="AK63" s="274"/>
      <c r="AL63" s="140" t="str">
        <f t="shared" si="117"/>
        <v>Operational</v>
      </c>
      <c r="AM63" s="278"/>
      <c r="AN63" s="140" t="str">
        <f t="shared" si="118"/>
        <v>Toronto</v>
      </c>
      <c r="AO63" s="83" t="s">
        <v>7</v>
      </c>
      <c r="AP63" s="274"/>
      <c r="AQ63" s="140" t="str">
        <f t="shared" si="119"/>
        <v>ECH-24</v>
      </c>
      <c r="AR63" s="307"/>
    </row>
    <row r="64" spans="1:44" s="1" customFormat="1" ht="15" thickTop="1" x14ac:dyDescent="0.3">
      <c r="A64" s="290">
        <f t="shared" si="5"/>
        <v>1</v>
      </c>
      <c r="B64" s="26" t="str">
        <f>C64</f>
        <v>PeWP 18</v>
      </c>
      <c r="C64" t="s">
        <v>648</v>
      </c>
      <c r="D64" s="29" t="s">
        <v>22</v>
      </c>
      <c r="E64" s="30">
        <v>1</v>
      </c>
      <c r="F64" s="30" t="s">
        <v>14</v>
      </c>
      <c r="G64" s="30">
        <v>0</v>
      </c>
      <c r="H64" s="30">
        <v>0</v>
      </c>
      <c r="I64" s="42"/>
      <c r="J64" s="42" t="str">
        <f t="shared" si="95"/>
        <v>0</v>
      </c>
      <c r="K64" s="69" t="str">
        <f t="shared" si="6"/>
        <v>AmeTek XG 20-84</v>
      </c>
      <c r="L64" s="62">
        <v>1</v>
      </c>
      <c r="M64" s="62" t="str">
        <f t="shared" si="1"/>
        <v>Yes</v>
      </c>
      <c r="N64" s="63">
        <v>1</v>
      </c>
      <c r="O64" s="63" t="str">
        <f t="shared" si="2"/>
        <v>Yes</v>
      </c>
      <c r="P64" s="64">
        <v>0</v>
      </c>
      <c r="Q64" s="64" t="str">
        <f t="shared" si="3"/>
        <v>No</v>
      </c>
      <c r="R64" s="62">
        <v>0</v>
      </c>
      <c r="S64" s="13" t="str">
        <f t="shared" si="4"/>
        <v>No</v>
      </c>
      <c r="T64" s="26" t="str">
        <f>U64</f>
        <v>120/208 AC</v>
      </c>
      <c r="U64" s="272" t="s">
        <v>548</v>
      </c>
      <c r="V64" s="135" t="str">
        <f>W64</f>
        <v>3+ Return and Earth</v>
      </c>
      <c r="W64" s="272" t="s">
        <v>547</v>
      </c>
      <c r="X64" s="30">
        <v>1</v>
      </c>
      <c r="Y64" s="30">
        <v>0</v>
      </c>
      <c r="Z64" s="46">
        <v>0</v>
      </c>
      <c r="AA64" s="141" t="s">
        <v>279</v>
      </c>
      <c r="AB64" s="142" t="s">
        <v>280</v>
      </c>
      <c r="AC64" s="30" t="s">
        <v>410</v>
      </c>
      <c r="AD64" s="38" t="s">
        <v>287</v>
      </c>
      <c r="AE64" s="191" t="s">
        <v>421</v>
      </c>
      <c r="AF64" s="192" t="s">
        <v>445</v>
      </c>
      <c r="AG64" s="30"/>
      <c r="AH64" s="135" t="str">
        <f>AI64</f>
        <v>GVV-Concord-WP</v>
      </c>
      <c r="AI64" s="272" t="s">
        <v>6</v>
      </c>
      <c r="AJ64" s="135" t="str">
        <f>AK64</f>
        <v>WP</v>
      </c>
      <c r="AK64" s="272" t="s">
        <v>9</v>
      </c>
      <c r="AL64" s="135" t="str">
        <f>AM64</f>
        <v>Operational</v>
      </c>
      <c r="AM64" s="276" t="s">
        <v>5</v>
      </c>
      <c r="AN64" s="135" t="str">
        <f>AO64</f>
        <v>Toronto</v>
      </c>
      <c r="AO64" s="136" t="s">
        <v>7</v>
      </c>
      <c r="AP64" s="272" t="s">
        <v>8</v>
      </c>
      <c r="AQ64" s="135" t="str">
        <f>AR64</f>
        <v>Storage</v>
      </c>
      <c r="AR64" s="305" t="s">
        <v>92</v>
      </c>
    </row>
    <row r="65" spans="1:44" s="2" customFormat="1" x14ac:dyDescent="0.3">
      <c r="A65" s="292"/>
      <c r="B65" s="28" t="str">
        <f>B64</f>
        <v>PeWP 18</v>
      </c>
      <c r="C65" t="s">
        <v>648</v>
      </c>
      <c r="D65" s="38" t="s">
        <v>23</v>
      </c>
      <c r="E65" s="39">
        <v>1</v>
      </c>
      <c r="F65" s="39" t="s">
        <v>14</v>
      </c>
      <c r="G65" s="39">
        <v>0</v>
      </c>
      <c r="H65" s="39">
        <v>1</v>
      </c>
      <c r="I65" s="43"/>
      <c r="J65" s="43" t="s">
        <v>162</v>
      </c>
      <c r="K65" s="70" t="str">
        <f t="shared" si="6"/>
        <v>AmeTek XG 20-84</v>
      </c>
      <c r="L65" s="71">
        <v>0</v>
      </c>
      <c r="M65" s="71" t="str">
        <f t="shared" si="1"/>
        <v>No</v>
      </c>
      <c r="N65" s="72">
        <v>1</v>
      </c>
      <c r="O65" s="72" t="str">
        <f t="shared" si="2"/>
        <v>Yes</v>
      </c>
      <c r="P65" s="73">
        <v>0</v>
      </c>
      <c r="Q65" s="73" t="str">
        <f t="shared" si="3"/>
        <v>No</v>
      </c>
      <c r="R65" s="71">
        <v>0</v>
      </c>
      <c r="S65" s="15" t="str">
        <f t="shared" si="4"/>
        <v>No</v>
      </c>
      <c r="T65" s="28" t="str">
        <f>T64</f>
        <v>120/208 AC</v>
      </c>
      <c r="U65" s="273"/>
      <c r="V65" s="140" t="str">
        <f>V64</f>
        <v>3+ Return and Earth</v>
      </c>
      <c r="W65" s="273"/>
      <c r="X65" s="39">
        <v>1</v>
      </c>
      <c r="Y65" s="39">
        <v>0</v>
      </c>
      <c r="Z65" s="39">
        <v>0</v>
      </c>
      <c r="AA65" s="141" t="s">
        <v>281</v>
      </c>
      <c r="AB65" s="142" t="s">
        <v>282</v>
      </c>
      <c r="AC65" s="39"/>
      <c r="AD65" s="38"/>
      <c r="AE65" s="39"/>
      <c r="AF65" s="39"/>
      <c r="AG65" s="39"/>
      <c r="AH65" s="140" t="str">
        <f>AH64</f>
        <v>GVV-Concord-WP</v>
      </c>
      <c r="AI65" s="273"/>
      <c r="AJ65" s="140" t="str">
        <f>AJ64</f>
        <v>WP</v>
      </c>
      <c r="AK65" s="273"/>
      <c r="AL65" s="140" t="str">
        <f>AL64</f>
        <v>Operational</v>
      </c>
      <c r="AM65" s="277"/>
      <c r="AN65" s="140" t="str">
        <f>AN64</f>
        <v>Toronto</v>
      </c>
      <c r="AO65" s="82" t="s">
        <v>7</v>
      </c>
      <c r="AP65" s="273"/>
      <c r="AQ65" s="140" t="str">
        <f>AQ64</f>
        <v>Storage</v>
      </c>
      <c r="AR65" s="306"/>
    </row>
    <row r="66" spans="1:44" s="2" customFormat="1" x14ac:dyDescent="0.3">
      <c r="A66" s="292"/>
      <c r="B66" s="28" t="str">
        <f t="shared" ref="B66:B67" si="120">B65</f>
        <v>PeWP 18</v>
      </c>
      <c r="C66" t="s">
        <v>648</v>
      </c>
      <c r="D66" s="38" t="s">
        <v>24</v>
      </c>
      <c r="E66" s="39">
        <v>1</v>
      </c>
      <c r="F66" s="39" t="s">
        <v>14</v>
      </c>
      <c r="G66" s="39">
        <v>0</v>
      </c>
      <c r="H66" s="39">
        <v>0</v>
      </c>
      <c r="I66" s="43"/>
      <c r="J66" s="43" t="s">
        <v>162</v>
      </c>
      <c r="K66" s="70" t="str">
        <f t="shared" si="6"/>
        <v>AmeTek XG 20-84</v>
      </c>
      <c r="L66" s="71">
        <v>1</v>
      </c>
      <c r="M66" s="71" t="str">
        <f t="shared" si="1"/>
        <v>Yes</v>
      </c>
      <c r="N66" s="72">
        <v>1</v>
      </c>
      <c r="O66" s="72" t="str">
        <f t="shared" si="2"/>
        <v>Yes</v>
      </c>
      <c r="P66" s="73">
        <v>0</v>
      </c>
      <c r="Q66" s="73" t="str">
        <f t="shared" si="3"/>
        <v>No</v>
      </c>
      <c r="R66" s="71">
        <v>0</v>
      </c>
      <c r="S66" s="15" t="str">
        <f t="shared" si="4"/>
        <v>No</v>
      </c>
      <c r="T66" s="28" t="str">
        <f t="shared" ref="T66:T67" si="121">T65</f>
        <v>120/208 AC</v>
      </c>
      <c r="U66" s="273"/>
      <c r="V66" s="140" t="str">
        <f t="shared" ref="V66:V67" si="122">V65</f>
        <v>3+ Return and Earth</v>
      </c>
      <c r="W66" s="273"/>
      <c r="X66" s="39">
        <v>1</v>
      </c>
      <c r="Y66" s="39">
        <v>0</v>
      </c>
      <c r="Z66" s="39">
        <v>0</v>
      </c>
      <c r="AA66" s="141" t="s">
        <v>283</v>
      </c>
      <c r="AB66" s="142" t="s">
        <v>284</v>
      </c>
      <c r="AC66" s="39" t="s">
        <v>410</v>
      </c>
      <c r="AD66" s="38" t="s">
        <v>288</v>
      </c>
      <c r="AE66" s="191" t="s">
        <v>421</v>
      </c>
      <c r="AF66" s="192" t="s">
        <v>446</v>
      </c>
      <c r="AG66" s="39"/>
      <c r="AH66" s="140" t="str">
        <f t="shared" ref="AH66:AH67" si="123">AH65</f>
        <v>GVV-Concord-WP</v>
      </c>
      <c r="AI66" s="273"/>
      <c r="AJ66" s="140" t="str">
        <f t="shared" ref="AJ66:AJ67" si="124">AJ65</f>
        <v>WP</v>
      </c>
      <c r="AK66" s="273"/>
      <c r="AL66" s="140" t="str">
        <f t="shared" ref="AL66:AL67" si="125">AL65</f>
        <v>Operational</v>
      </c>
      <c r="AM66" s="277"/>
      <c r="AN66" s="140" t="str">
        <f t="shared" ref="AN66:AN67" si="126">AN65</f>
        <v>Toronto</v>
      </c>
      <c r="AO66" s="82" t="s">
        <v>7</v>
      </c>
      <c r="AP66" s="273"/>
      <c r="AQ66" s="140" t="str">
        <f t="shared" ref="AQ66:AQ67" si="127">AQ65</f>
        <v>Storage</v>
      </c>
      <c r="AR66" s="306"/>
    </row>
    <row r="67" spans="1:44" s="3" customFormat="1" ht="15" thickBot="1" x14ac:dyDescent="0.35">
      <c r="A67" s="291"/>
      <c r="B67" s="28" t="str">
        <f t="shared" si="120"/>
        <v>PeWP 18</v>
      </c>
      <c r="C67" t="s">
        <v>648</v>
      </c>
      <c r="D67" s="33" t="s">
        <v>25</v>
      </c>
      <c r="E67" s="34">
        <v>1</v>
      </c>
      <c r="F67" s="34" t="s">
        <v>14</v>
      </c>
      <c r="G67" s="34">
        <v>0</v>
      </c>
      <c r="H67" s="34">
        <v>1</v>
      </c>
      <c r="I67" s="44"/>
      <c r="J67" s="44" t="s">
        <v>162</v>
      </c>
      <c r="K67" s="74" t="str">
        <f t="shared" si="6"/>
        <v>AmeTek XG 20-84</v>
      </c>
      <c r="L67" s="66">
        <v>0</v>
      </c>
      <c r="M67" s="66" t="str">
        <f t="shared" si="1"/>
        <v>No</v>
      </c>
      <c r="N67" s="67">
        <v>1</v>
      </c>
      <c r="O67" s="67" t="str">
        <f t="shared" si="2"/>
        <v>Yes</v>
      </c>
      <c r="P67" s="68">
        <v>0</v>
      </c>
      <c r="Q67" s="68" t="str">
        <f t="shared" si="3"/>
        <v>No</v>
      </c>
      <c r="R67" s="66">
        <v>0</v>
      </c>
      <c r="S67" s="14" t="str">
        <f t="shared" si="4"/>
        <v>No</v>
      </c>
      <c r="T67" s="28" t="str">
        <f t="shared" si="121"/>
        <v>120/208 AC</v>
      </c>
      <c r="U67" s="274"/>
      <c r="V67" s="140" t="str">
        <f t="shared" si="122"/>
        <v>3+ Return and Earth</v>
      </c>
      <c r="W67" s="274"/>
      <c r="X67" s="34">
        <v>1</v>
      </c>
      <c r="Y67" s="34">
        <v>0</v>
      </c>
      <c r="Z67" s="49">
        <v>0</v>
      </c>
      <c r="AA67" s="141" t="s">
        <v>285</v>
      </c>
      <c r="AB67" s="142" t="s">
        <v>286</v>
      </c>
      <c r="AC67" s="34"/>
      <c r="AD67" s="38"/>
      <c r="AE67" s="34"/>
      <c r="AF67" s="34"/>
      <c r="AG67" s="34"/>
      <c r="AH67" s="140" t="str">
        <f t="shared" si="123"/>
        <v>GVV-Concord-WP</v>
      </c>
      <c r="AI67" s="274"/>
      <c r="AJ67" s="140" t="str">
        <f t="shared" si="124"/>
        <v>WP</v>
      </c>
      <c r="AK67" s="274"/>
      <c r="AL67" s="140" t="str">
        <f t="shared" si="125"/>
        <v>Operational</v>
      </c>
      <c r="AM67" s="278"/>
      <c r="AN67" s="140" t="str">
        <f t="shared" si="126"/>
        <v>Toronto</v>
      </c>
      <c r="AO67" s="83" t="s">
        <v>7</v>
      </c>
      <c r="AP67" s="274"/>
      <c r="AQ67" s="140" t="str">
        <f t="shared" si="127"/>
        <v>Storage</v>
      </c>
      <c r="AR67" s="307"/>
    </row>
    <row r="68" spans="1:44" s="1" customFormat="1" ht="15" thickTop="1" x14ac:dyDescent="0.3">
      <c r="A68" s="290">
        <f t="shared" ref="A68:A140" si="128">IF(AM68="Operational",1,0)</f>
        <v>1</v>
      </c>
      <c r="B68" s="26" t="str">
        <f>C68</f>
        <v>PeWP 19</v>
      </c>
      <c r="C68" t="s">
        <v>649</v>
      </c>
      <c r="D68" s="29" t="s">
        <v>22</v>
      </c>
      <c r="E68" s="30">
        <v>1</v>
      </c>
      <c r="F68" s="30" t="s">
        <v>14</v>
      </c>
      <c r="G68" s="30">
        <v>0</v>
      </c>
      <c r="H68" s="30">
        <v>1</v>
      </c>
      <c r="I68" s="42"/>
      <c r="J68" s="42" t="str">
        <f t="shared" si="95"/>
        <v>84 A</v>
      </c>
      <c r="K68" s="69" t="str">
        <f t="shared" si="6"/>
        <v>AmeTek XG 20-84</v>
      </c>
      <c r="L68" s="62">
        <v>1</v>
      </c>
      <c r="M68" s="62" t="str">
        <f t="shared" si="1"/>
        <v>Yes</v>
      </c>
      <c r="N68" s="63">
        <v>0</v>
      </c>
      <c r="O68" s="63" t="str">
        <f t="shared" si="2"/>
        <v>No</v>
      </c>
      <c r="P68" s="64">
        <v>0</v>
      </c>
      <c r="Q68" s="64" t="str">
        <f t="shared" si="3"/>
        <v>No</v>
      </c>
      <c r="R68" s="62">
        <v>0</v>
      </c>
      <c r="S68" s="13" t="str">
        <f t="shared" si="4"/>
        <v>No</v>
      </c>
      <c r="T68" s="26" t="str">
        <f>U68</f>
        <v>120/208 AC</v>
      </c>
      <c r="U68" s="272" t="s">
        <v>548</v>
      </c>
      <c r="V68" s="135" t="str">
        <f>W68</f>
        <v>3+ Return and Earth</v>
      </c>
      <c r="W68" s="272" t="s">
        <v>547</v>
      </c>
      <c r="X68" s="30">
        <v>1</v>
      </c>
      <c r="Y68" s="30">
        <v>0</v>
      </c>
      <c r="Z68" s="46">
        <v>0</v>
      </c>
      <c r="AA68" s="147" t="s">
        <v>289</v>
      </c>
      <c r="AB68" s="142" t="s">
        <v>290</v>
      </c>
      <c r="AC68" s="30" t="s">
        <v>410</v>
      </c>
      <c r="AD68" s="38" t="s">
        <v>293</v>
      </c>
      <c r="AE68" s="191" t="s">
        <v>421</v>
      </c>
      <c r="AF68" s="192" t="s">
        <v>447</v>
      </c>
      <c r="AG68" s="30"/>
      <c r="AH68" s="135" t="str">
        <f>AI68</f>
        <v>GVV-Concord-WP</v>
      </c>
      <c r="AI68" s="272" t="s">
        <v>6</v>
      </c>
      <c r="AJ68" s="135" t="str">
        <f>AK68</f>
        <v>WP</v>
      </c>
      <c r="AK68" s="272" t="s">
        <v>9</v>
      </c>
      <c r="AL68" s="135" t="str">
        <f>AM68</f>
        <v>Operational</v>
      </c>
      <c r="AM68" s="276" t="s">
        <v>5</v>
      </c>
      <c r="AN68" s="135" t="str">
        <f>AO68</f>
        <v>Toronto</v>
      </c>
      <c r="AO68" s="136" t="s">
        <v>7</v>
      </c>
      <c r="AP68" s="272" t="s">
        <v>8</v>
      </c>
      <c r="AQ68" s="135" t="str">
        <f>AR68</f>
        <v>ECH-15</v>
      </c>
      <c r="AR68" s="305" t="s">
        <v>187</v>
      </c>
    </row>
    <row r="69" spans="1:44" s="3" customFormat="1" ht="15" thickBot="1" x14ac:dyDescent="0.35">
      <c r="A69" s="291"/>
      <c r="B69" s="27" t="str">
        <f>B68</f>
        <v>PeWP 19</v>
      </c>
      <c r="C69" t="s">
        <v>649</v>
      </c>
      <c r="D69" s="33" t="s">
        <v>23</v>
      </c>
      <c r="E69" s="34">
        <v>1</v>
      </c>
      <c r="F69" s="34" t="s">
        <v>14</v>
      </c>
      <c r="G69" s="34">
        <v>0</v>
      </c>
      <c r="H69" s="34">
        <v>1</v>
      </c>
      <c r="I69" s="44"/>
      <c r="J69" s="44" t="s">
        <v>162</v>
      </c>
      <c r="K69" s="74" t="str">
        <f t="shared" si="6"/>
        <v>AmeTek XG 20-84</v>
      </c>
      <c r="L69" s="66">
        <v>1</v>
      </c>
      <c r="M69" s="66" t="str">
        <f t="shared" si="1"/>
        <v>Yes</v>
      </c>
      <c r="N69" s="67">
        <v>0</v>
      </c>
      <c r="O69" s="67" t="str">
        <f t="shared" si="2"/>
        <v>No</v>
      </c>
      <c r="P69" s="68">
        <v>0</v>
      </c>
      <c r="Q69" s="68" t="str">
        <f t="shared" si="3"/>
        <v>No</v>
      </c>
      <c r="R69" s="66">
        <v>0</v>
      </c>
      <c r="S69" s="14" t="str">
        <f t="shared" si="4"/>
        <v>No</v>
      </c>
      <c r="T69" s="27" t="str">
        <f>T68</f>
        <v>120/208 AC</v>
      </c>
      <c r="U69" s="274"/>
      <c r="V69" s="137" t="str">
        <f>V68</f>
        <v>3+ Return and Earth</v>
      </c>
      <c r="W69" s="274"/>
      <c r="X69" s="34">
        <v>1</v>
      </c>
      <c r="Y69" s="34">
        <v>0</v>
      </c>
      <c r="Z69" s="49">
        <v>0</v>
      </c>
      <c r="AA69" s="147" t="s">
        <v>291</v>
      </c>
      <c r="AB69" s="142" t="s">
        <v>292</v>
      </c>
      <c r="AC69" s="34" t="s">
        <v>410</v>
      </c>
      <c r="AD69" s="38" t="s">
        <v>294</v>
      </c>
      <c r="AE69" s="191" t="s">
        <v>421</v>
      </c>
      <c r="AF69" s="192" t="s">
        <v>448</v>
      </c>
      <c r="AG69" s="34"/>
      <c r="AH69" s="137" t="str">
        <f>AH68</f>
        <v>GVV-Concord-WP</v>
      </c>
      <c r="AI69" s="274"/>
      <c r="AJ69" s="137" t="str">
        <f>AJ68</f>
        <v>WP</v>
      </c>
      <c r="AK69" s="274"/>
      <c r="AL69" s="137" t="str">
        <f>AL68</f>
        <v>Operational</v>
      </c>
      <c r="AM69" s="278"/>
      <c r="AN69" s="137" t="str">
        <f>AN68</f>
        <v>Toronto</v>
      </c>
      <c r="AO69" s="83" t="s">
        <v>7</v>
      </c>
      <c r="AP69" s="274"/>
      <c r="AQ69" s="137" t="str">
        <f>AQ68</f>
        <v>ECH-15</v>
      </c>
      <c r="AR69" s="307"/>
    </row>
    <row r="70" spans="1:44" s="1" customFormat="1" ht="15" thickTop="1" x14ac:dyDescent="0.3">
      <c r="A70" s="290">
        <f t="shared" si="128"/>
        <v>1</v>
      </c>
      <c r="B70" s="26" t="str">
        <f>C70</f>
        <v>PeWP 20</v>
      </c>
      <c r="C70" t="s">
        <v>650</v>
      </c>
      <c r="D70" s="29" t="s">
        <v>22</v>
      </c>
      <c r="E70" s="30">
        <v>1</v>
      </c>
      <c r="F70" s="30" t="s">
        <v>14</v>
      </c>
      <c r="G70" s="30">
        <v>0</v>
      </c>
      <c r="H70" s="30">
        <v>1</v>
      </c>
      <c r="I70" s="42"/>
      <c r="J70" s="42" t="str">
        <f t="shared" si="95"/>
        <v>84 A</v>
      </c>
      <c r="K70" s="69" t="str">
        <f t="shared" si="6"/>
        <v>AmeTek XG 20-84</v>
      </c>
      <c r="L70" s="62">
        <v>1</v>
      </c>
      <c r="M70" s="62" t="str">
        <f t="shared" si="1"/>
        <v>Yes</v>
      </c>
      <c r="N70" s="63">
        <v>0</v>
      </c>
      <c r="O70" s="63" t="str">
        <f t="shared" si="2"/>
        <v>No</v>
      </c>
      <c r="P70" s="64">
        <v>0</v>
      </c>
      <c r="Q70" s="64" t="str">
        <f t="shared" si="3"/>
        <v>No</v>
      </c>
      <c r="R70" s="62">
        <v>0</v>
      </c>
      <c r="S70" s="13" t="str">
        <f t="shared" si="4"/>
        <v>No</v>
      </c>
      <c r="T70" s="26" t="str">
        <f>U70</f>
        <v>120/208 AC</v>
      </c>
      <c r="U70" s="272" t="s">
        <v>548</v>
      </c>
      <c r="V70" s="135" t="str">
        <f>W70</f>
        <v>3+ Return and Earth</v>
      </c>
      <c r="W70" s="272" t="s">
        <v>547</v>
      </c>
      <c r="X70" s="30">
        <v>1</v>
      </c>
      <c r="Y70" s="30">
        <v>0</v>
      </c>
      <c r="Z70" s="46">
        <v>0</v>
      </c>
      <c r="AA70" s="205" t="s">
        <v>295</v>
      </c>
      <c r="AB70" s="142" t="s">
        <v>296</v>
      </c>
      <c r="AC70" s="30" t="s">
        <v>410</v>
      </c>
      <c r="AD70" s="38" t="s">
        <v>299</v>
      </c>
      <c r="AE70" s="191" t="s">
        <v>421</v>
      </c>
      <c r="AF70" s="192" t="s">
        <v>449</v>
      </c>
      <c r="AG70" s="30"/>
      <c r="AH70" s="135" t="str">
        <f>AI70</f>
        <v>GVV-Concord-WP</v>
      </c>
      <c r="AI70" s="272" t="s">
        <v>6</v>
      </c>
      <c r="AJ70" s="135" t="str">
        <f>AK70</f>
        <v>WP</v>
      </c>
      <c r="AK70" s="272" t="s">
        <v>9</v>
      </c>
      <c r="AL70" s="135" t="str">
        <f>AM70</f>
        <v>Operational</v>
      </c>
      <c r="AM70" s="276" t="s">
        <v>5</v>
      </c>
      <c r="AN70" s="135" t="str">
        <f>AO70</f>
        <v>Toronto</v>
      </c>
      <c r="AO70" s="136" t="s">
        <v>7</v>
      </c>
      <c r="AP70" s="272" t="s">
        <v>8</v>
      </c>
      <c r="AQ70" s="135" t="str">
        <f>AR70</f>
        <v>Storage</v>
      </c>
      <c r="AR70" s="305" t="s">
        <v>92</v>
      </c>
    </row>
    <row r="71" spans="1:44" s="3" customFormat="1" ht="15" thickBot="1" x14ac:dyDescent="0.35">
      <c r="A71" s="291"/>
      <c r="B71" s="27" t="str">
        <f>B70</f>
        <v>PeWP 20</v>
      </c>
      <c r="C71" t="s">
        <v>650</v>
      </c>
      <c r="D71" s="33" t="s">
        <v>23</v>
      </c>
      <c r="E71" s="34">
        <v>1</v>
      </c>
      <c r="F71" s="34" t="s">
        <v>14</v>
      </c>
      <c r="G71" s="34">
        <v>0</v>
      </c>
      <c r="H71" s="34">
        <v>1</v>
      </c>
      <c r="I71" s="44"/>
      <c r="J71" s="44" t="s">
        <v>162</v>
      </c>
      <c r="K71" s="74" t="str">
        <f t="shared" ref="K71:K85" si="129">IF(I71&gt;=40,"TDK-Lambda GEN 60-40",IF(I71=0,"AmeTek XG 20-84","AmeTek XG 60-40"))</f>
        <v>AmeTek XG 20-84</v>
      </c>
      <c r="L71" s="66">
        <v>1</v>
      </c>
      <c r="M71" s="66" t="str">
        <f t="shared" si="1"/>
        <v>Yes</v>
      </c>
      <c r="N71" s="67">
        <v>0</v>
      </c>
      <c r="O71" s="67" t="str">
        <f t="shared" si="2"/>
        <v>No</v>
      </c>
      <c r="P71" s="68">
        <v>0</v>
      </c>
      <c r="Q71" s="68" t="str">
        <f t="shared" si="3"/>
        <v>No</v>
      </c>
      <c r="R71" s="66">
        <v>0</v>
      </c>
      <c r="S71" s="14" t="str">
        <f t="shared" si="4"/>
        <v>No</v>
      </c>
      <c r="T71" s="27" t="str">
        <f>T70</f>
        <v>120/208 AC</v>
      </c>
      <c r="U71" s="274"/>
      <c r="V71" s="137" t="str">
        <f>V70</f>
        <v>3+ Return and Earth</v>
      </c>
      <c r="W71" s="274"/>
      <c r="X71" s="34">
        <v>1</v>
      </c>
      <c r="Y71" s="34">
        <v>0</v>
      </c>
      <c r="Z71" s="49">
        <v>0</v>
      </c>
      <c r="AA71" s="205" t="s">
        <v>297</v>
      </c>
      <c r="AB71" s="142" t="s">
        <v>298</v>
      </c>
      <c r="AC71" s="34" t="s">
        <v>410</v>
      </c>
      <c r="AD71" s="38" t="s">
        <v>300</v>
      </c>
      <c r="AE71" s="191" t="s">
        <v>421</v>
      </c>
      <c r="AF71" s="192" t="s">
        <v>450</v>
      </c>
      <c r="AG71" s="34"/>
      <c r="AH71" s="137" t="str">
        <f>AH70</f>
        <v>GVV-Concord-WP</v>
      </c>
      <c r="AI71" s="274"/>
      <c r="AJ71" s="137" t="str">
        <f>AJ70</f>
        <v>WP</v>
      </c>
      <c r="AK71" s="274"/>
      <c r="AL71" s="137" t="str">
        <f>AL70</f>
        <v>Operational</v>
      </c>
      <c r="AM71" s="278"/>
      <c r="AN71" s="137" t="str">
        <f>AN70</f>
        <v>Toronto</v>
      </c>
      <c r="AO71" s="83" t="s">
        <v>7</v>
      </c>
      <c r="AP71" s="274"/>
      <c r="AQ71" s="137" t="str">
        <f>AQ70</f>
        <v>Storage</v>
      </c>
      <c r="AR71" s="307"/>
    </row>
    <row r="72" spans="1:44" s="1" customFormat="1" ht="15" thickTop="1" x14ac:dyDescent="0.3">
      <c r="A72" s="282">
        <f t="shared" si="128"/>
        <v>1</v>
      </c>
      <c r="B72" s="26" t="str">
        <f>C72</f>
        <v>PeWP 21</v>
      </c>
      <c r="C72" t="s">
        <v>651</v>
      </c>
      <c r="D72" s="29" t="s">
        <v>22</v>
      </c>
      <c r="E72" s="30">
        <v>1</v>
      </c>
      <c r="F72" s="30" t="s">
        <v>14</v>
      </c>
      <c r="G72" s="30">
        <v>0</v>
      </c>
      <c r="H72" s="30">
        <v>1</v>
      </c>
      <c r="I72" s="42"/>
      <c r="J72" s="42" t="str">
        <f t="shared" ref="J72:J82" si="130">IF(H72=0,"0","84 A")</f>
        <v>84 A</v>
      </c>
      <c r="K72" s="69" t="str">
        <f t="shared" si="129"/>
        <v>AmeTek XG 20-84</v>
      </c>
      <c r="L72" s="62">
        <v>1</v>
      </c>
      <c r="M72" s="62" t="str">
        <f t="shared" si="1"/>
        <v>Yes</v>
      </c>
      <c r="N72" s="63">
        <v>0</v>
      </c>
      <c r="O72" s="63" t="str">
        <f t="shared" si="2"/>
        <v>No</v>
      </c>
      <c r="P72" s="64">
        <v>0</v>
      </c>
      <c r="Q72" s="64" t="str">
        <f t="shared" si="3"/>
        <v>No</v>
      </c>
      <c r="R72" s="62">
        <v>0</v>
      </c>
      <c r="S72" s="13" t="str">
        <f t="shared" si="4"/>
        <v>No</v>
      </c>
      <c r="T72" s="26" t="str">
        <f>U72</f>
        <v>120/208 AC</v>
      </c>
      <c r="U72" s="272" t="s">
        <v>548</v>
      </c>
      <c r="V72" s="135" t="str">
        <f>W72</f>
        <v>3+ Return and Earth</v>
      </c>
      <c r="W72" s="272" t="s">
        <v>547</v>
      </c>
      <c r="X72" s="30">
        <v>1</v>
      </c>
      <c r="Y72" s="30">
        <v>0</v>
      </c>
      <c r="Z72" s="46">
        <v>0</v>
      </c>
      <c r="AA72" s="205" t="s">
        <v>301</v>
      </c>
      <c r="AB72" s="142" t="s">
        <v>302</v>
      </c>
      <c r="AC72" s="30" t="s">
        <v>410</v>
      </c>
      <c r="AD72" s="142" t="s">
        <v>305</v>
      </c>
      <c r="AE72" s="191" t="s">
        <v>451</v>
      </c>
      <c r="AF72" s="192" t="s">
        <v>452</v>
      </c>
      <c r="AG72" s="30"/>
      <c r="AH72" s="135" t="str">
        <f>AI72</f>
        <v>GVV-Concord-WP</v>
      </c>
      <c r="AI72" s="272" t="s">
        <v>6</v>
      </c>
      <c r="AJ72" s="135" t="str">
        <f>AK72</f>
        <v>WP</v>
      </c>
      <c r="AK72" s="272" t="s">
        <v>9</v>
      </c>
      <c r="AL72" s="135" t="str">
        <f>AM72</f>
        <v>Operational</v>
      </c>
      <c r="AM72" s="276" t="s">
        <v>5</v>
      </c>
      <c r="AN72" s="135" t="str">
        <f>AO72</f>
        <v>Toronto</v>
      </c>
      <c r="AO72" s="136" t="s">
        <v>7</v>
      </c>
      <c r="AP72" s="272" t="s">
        <v>8</v>
      </c>
      <c r="AQ72" s="135" t="str">
        <f>AR72</f>
        <v>Shaker 1 (Concord)</v>
      </c>
      <c r="AR72" s="305" t="s">
        <v>557</v>
      </c>
    </row>
    <row r="73" spans="1:44" s="3" customFormat="1" ht="15" thickBot="1" x14ac:dyDescent="0.35">
      <c r="A73" s="284"/>
      <c r="B73" s="27" t="str">
        <f>B72</f>
        <v>PeWP 21</v>
      </c>
      <c r="C73" t="s">
        <v>651</v>
      </c>
      <c r="D73" s="33" t="s">
        <v>23</v>
      </c>
      <c r="E73" s="34">
        <v>1</v>
      </c>
      <c r="F73" s="34" t="s">
        <v>14</v>
      </c>
      <c r="G73" s="34">
        <v>0</v>
      </c>
      <c r="H73" s="34">
        <v>1</v>
      </c>
      <c r="I73" s="44"/>
      <c r="J73" s="44" t="s">
        <v>162</v>
      </c>
      <c r="K73" s="74" t="str">
        <f t="shared" si="129"/>
        <v>AmeTek XG 20-84</v>
      </c>
      <c r="L73" s="66">
        <v>1</v>
      </c>
      <c r="M73" s="66" t="str">
        <f t="shared" si="1"/>
        <v>Yes</v>
      </c>
      <c r="N73" s="67">
        <v>0</v>
      </c>
      <c r="O73" s="67" t="str">
        <f t="shared" si="2"/>
        <v>No</v>
      </c>
      <c r="P73" s="68">
        <v>0</v>
      </c>
      <c r="Q73" s="68" t="str">
        <f t="shared" si="3"/>
        <v>No</v>
      </c>
      <c r="R73" s="66">
        <v>0</v>
      </c>
      <c r="S73" s="14" t="str">
        <f t="shared" si="4"/>
        <v>No</v>
      </c>
      <c r="T73" s="27" t="str">
        <f>T72</f>
        <v>120/208 AC</v>
      </c>
      <c r="U73" s="274"/>
      <c r="V73" s="137" t="str">
        <f>V72</f>
        <v>3+ Return and Earth</v>
      </c>
      <c r="W73" s="274"/>
      <c r="X73" s="34">
        <v>1</v>
      </c>
      <c r="Y73" s="34">
        <v>0</v>
      </c>
      <c r="Z73" s="49">
        <v>0</v>
      </c>
      <c r="AA73" s="205" t="s">
        <v>303</v>
      </c>
      <c r="AB73" s="142" t="s">
        <v>304</v>
      </c>
      <c r="AC73" s="34" t="s">
        <v>410</v>
      </c>
      <c r="AD73" s="142" t="s">
        <v>306</v>
      </c>
      <c r="AE73" s="191" t="s">
        <v>421</v>
      </c>
      <c r="AF73" s="192" t="s">
        <v>453</v>
      </c>
      <c r="AG73" s="34"/>
      <c r="AH73" s="137" t="str">
        <f>AH72</f>
        <v>GVV-Concord-WP</v>
      </c>
      <c r="AI73" s="274"/>
      <c r="AJ73" s="137" t="str">
        <f>AJ72</f>
        <v>WP</v>
      </c>
      <c r="AK73" s="274"/>
      <c r="AL73" s="137" t="str">
        <f>AL72</f>
        <v>Operational</v>
      </c>
      <c r="AM73" s="278"/>
      <c r="AN73" s="137" t="str">
        <f>AN72</f>
        <v>Toronto</v>
      </c>
      <c r="AO73" s="83" t="s">
        <v>7</v>
      </c>
      <c r="AP73" s="274"/>
      <c r="AQ73" s="137" t="str">
        <f>AQ72</f>
        <v>Shaker 1 (Concord)</v>
      </c>
      <c r="AR73" s="307"/>
    </row>
    <row r="74" spans="1:44" s="1" customFormat="1" ht="15" thickTop="1" x14ac:dyDescent="0.3">
      <c r="A74" s="282">
        <f t="shared" si="128"/>
        <v>1</v>
      </c>
      <c r="B74" s="26" t="str">
        <f>C74</f>
        <v>PeWP 22</v>
      </c>
      <c r="C74" t="s">
        <v>652</v>
      </c>
      <c r="D74" s="29" t="s">
        <v>22</v>
      </c>
      <c r="E74" s="30">
        <v>1</v>
      </c>
      <c r="F74" s="30" t="s">
        <v>14</v>
      </c>
      <c r="G74" s="30">
        <v>0</v>
      </c>
      <c r="H74" s="30">
        <v>1</v>
      </c>
      <c r="I74" s="42"/>
      <c r="J74" s="42" t="str">
        <f t="shared" si="130"/>
        <v>84 A</v>
      </c>
      <c r="K74" s="69" t="str">
        <f t="shared" si="129"/>
        <v>AmeTek XG 20-84</v>
      </c>
      <c r="L74" s="62">
        <v>1</v>
      </c>
      <c r="M74" s="62" t="str">
        <f t="shared" si="1"/>
        <v>Yes</v>
      </c>
      <c r="N74" s="63">
        <v>0</v>
      </c>
      <c r="O74" s="63" t="str">
        <f t="shared" si="2"/>
        <v>No</v>
      </c>
      <c r="P74" s="64">
        <v>0</v>
      </c>
      <c r="Q74" s="64" t="str">
        <f t="shared" si="3"/>
        <v>No</v>
      </c>
      <c r="R74" s="62">
        <v>0</v>
      </c>
      <c r="S74" s="13" t="str">
        <f t="shared" si="4"/>
        <v>No</v>
      </c>
      <c r="T74" s="26" t="str">
        <f>U74</f>
        <v>120/208 AC</v>
      </c>
      <c r="U74" s="272" t="s">
        <v>548</v>
      </c>
      <c r="V74" s="135" t="str">
        <f>W74</f>
        <v>3+ Return and Earth</v>
      </c>
      <c r="W74" s="272" t="s">
        <v>547</v>
      </c>
      <c r="X74" s="30">
        <v>1</v>
      </c>
      <c r="Y74" s="30">
        <v>0</v>
      </c>
      <c r="Z74" s="46">
        <v>0</v>
      </c>
      <c r="AA74" s="205" t="s">
        <v>307</v>
      </c>
      <c r="AB74" s="142" t="s">
        <v>308</v>
      </c>
      <c r="AC74" s="30" t="s">
        <v>410</v>
      </c>
      <c r="AD74" s="38" t="s">
        <v>311</v>
      </c>
      <c r="AE74" s="191" t="s">
        <v>454</v>
      </c>
      <c r="AF74" s="192" t="s">
        <v>455</v>
      </c>
      <c r="AG74" s="30"/>
      <c r="AH74" s="135" t="str">
        <f>AI74</f>
        <v>GVV-Concord-WP</v>
      </c>
      <c r="AI74" s="272" t="s">
        <v>6</v>
      </c>
      <c r="AJ74" s="135" t="str">
        <f>AK74</f>
        <v>WP</v>
      </c>
      <c r="AK74" s="272" t="s">
        <v>9</v>
      </c>
      <c r="AL74" s="135" t="str">
        <f>AM74</f>
        <v>Operational</v>
      </c>
      <c r="AM74" s="276" t="s">
        <v>5</v>
      </c>
      <c r="AN74" s="135" t="str">
        <f>AO74</f>
        <v>Toronto</v>
      </c>
      <c r="AO74" s="136" t="s">
        <v>7</v>
      </c>
      <c r="AP74" s="272" t="s">
        <v>8</v>
      </c>
      <c r="AQ74" s="135" t="str">
        <f>AR74</f>
        <v>Storage</v>
      </c>
      <c r="AR74" s="305" t="s">
        <v>92</v>
      </c>
    </row>
    <row r="75" spans="1:44" s="3" customFormat="1" ht="15" thickBot="1" x14ac:dyDescent="0.35">
      <c r="A75" s="284"/>
      <c r="B75" s="27" t="str">
        <f>B74</f>
        <v>PeWP 22</v>
      </c>
      <c r="C75" t="s">
        <v>652</v>
      </c>
      <c r="D75" s="33" t="s">
        <v>23</v>
      </c>
      <c r="E75" s="34">
        <v>1</v>
      </c>
      <c r="F75" s="34" t="s">
        <v>14</v>
      </c>
      <c r="G75" s="34">
        <v>0</v>
      </c>
      <c r="H75" s="34">
        <v>1</v>
      </c>
      <c r="I75" s="44"/>
      <c r="J75" s="44" t="s">
        <v>162</v>
      </c>
      <c r="K75" s="74" t="str">
        <f t="shared" si="129"/>
        <v>AmeTek XG 20-84</v>
      </c>
      <c r="L75" s="66">
        <v>1</v>
      </c>
      <c r="M75" s="66" t="str">
        <f t="shared" si="1"/>
        <v>Yes</v>
      </c>
      <c r="N75" s="67">
        <v>0</v>
      </c>
      <c r="O75" s="67" t="str">
        <f t="shared" si="2"/>
        <v>No</v>
      </c>
      <c r="P75" s="68">
        <v>0</v>
      </c>
      <c r="Q75" s="68" t="str">
        <f t="shared" si="3"/>
        <v>No</v>
      </c>
      <c r="R75" s="66">
        <v>0</v>
      </c>
      <c r="S75" s="14" t="str">
        <f t="shared" si="4"/>
        <v>No</v>
      </c>
      <c r="T75" s="27" t="str">
        <f>T74</f>
        <v>120/208 AC</v>
      </c>
      <c r="U75" s="274"/>
      <c r="V75" s="137" t="str">
        <f>V74</f>
        <v>3+ Return and Earth</v>
      </c>
      <c r="W75" s="274"/>
      <c r="X75" s="34">
        <v>1</v>
      </c>
      <c r="Y75" s="34">
        <v>0</v>
      </c>
      <c r="Z75" s="49">
        <v>0</v>
      </c>
      <c r="AA75" s="205" t="s">
        <v>309</v>
      </c>
      <c r="AB75" s="142" t="s">
        <v>310</v>
      </c>
      <c r="AC75" s="34" t="s">
        <v>410</v>
      </c>
      <c r="AD75" s="38" t="s">
        <v>312</v>
      </c>
      <c r="AE75" s="191" t="s">
        <v>456</v>
      </c>
      <c r="AF75" s="192" t="s">
        <v>457</v>
      </c>
      <c r="AG75" s="34"/>
      <c r="AH75" s="137" t="str">
        <f>AH74</f>
        <v>GVV-Concord-WP</v>
      </c>
      <c r="AI75" s="274"/>
      <c r="AJ75" s="137" t="str">
        <f>AJ74</f>
        <v>WP</v>
      </c>
      <c r="AK75" s="274"/>
      <c r="AL75" s="137" t="str">
        <f>AL74</f>
        <v>Operational</v>
      </c>
      <c r="AM75" s="278"/>
      <c r="AN75" s="137" t="str">
        <f>AN74</f>
        <v>Toronto</v>
      </c>
      <c r="AO75" s="83" t="s">
        <v>7</v>
      </c>
      <c r="AP75" s="274"/>
      <c r="AQ75" s="137" t="str">
        <f>AQ74</f>
        <v>Storage</v>
      </c>
      <c r="AR75" s="307"/>
    </row>
    <row r="76" spans="1:44" s="1" customFormat="1" ht="15" thickTop="1" x14ac:dyDescent="0.3">
      <c r="A76" s="282">
        <f t="shared" si="128"/>
        <v>1</v>
      </c>
      <c r="B76" s="26" t="str">
        <f>C76</f>
        <v>PeWP 23</v>
      </c>
      <c r="C76" t="s">
        <v>653</v>
      </c>
      <c r="D76" s="29" t="s">
        <v>22</v>
      </c>
      <c r="E76" s="30">
        <v>1</v>
      </c>
      <c r="F76" s="30" t="s">
        <v>14</v>
      </c>
      <c r="G76" s="30">
        <v>1</v>
      </c>
      <c r="H76" s="30">
        <v>0</v>
      </c>
      <c r="I76" s="37" t="s">
        <v>139</v>
      </c>
      <c r="J76" s="42" t="s">
        <v>162</v>
      </c>
      <c r="K76" s="69" t="str">
        <f t="shared" si="129"/>
        <v>TDK-Lambda GEN 60-40</v>
      </c>
      <c r="L76" s="62">
        <v>1</v>
      </c>
      <c r="M76" s="62" t="str">
        <f t="shared" si="1"/>
        <v>Yes</v>
      </c>
      <c r="N76" s="63">
        <v>0</v>
      </c>
      <c r="O76" s="63" t="str">
        <f t="shared" si="2"/>
        <v>No</v>
      </c>
      <c r="P76" s="64">
        <v>0</v>
      </c>
      <c r="Q76" s="64" t="str">
        <f t="shared" si="3"/>
        <v>No</v>
      </c>
      <c r="R76" s="62">
        <v>0</v>
      </c>
      <c r="S76" s="13" t="str">
        <f t="shared" si="4"/>
        <v>No</v>
      </c>
      <c r="T76" s="26" t="str">
        <f>U76</f>
        <v>120 AC</v>
      </c>
      <c r="U76" s="156" t="s">
        <v>28</v>
      </c>
      <c r="V76" s="135" t="str">
        <f>W76</f>
        <v>3+ Return and Earth/
 60A</v>
      </c>
      <c r="W76" s="276" t="s">
        <v>550</v>
      </c>
      <c r="X76" s="30">
        <v>1</v>
      </c>
      <c r="Y76" s="30">
        <v>0</v>
      </c>
      <c r="Z76" s="46">
        <v>0</v>
      </c>
      <c r="AA76" s="205" t="s">
        <v>313</v>
      </c>
      <c r="AB76" s="142" t="s">
        <v>555</v>
      </c>
      <c r="AC76" s="30" t="s">
        <v>410</v>
      </c>
      <c r="AD76" s="157" t="s">
        <v>316</v>
      </c>
      <c r="AE76" s="165" t="s">
        <v>458</v>
      </c>
      <c r="AF76" s="194" t="s">
        <v>459</v>
      </c>
      <c r="AG76" s="30"/>
      <c r="AH76" s="135" t="str">
        <f>AI76</f>
        <v>GVV-Concord-WP</v>
      </c>
      <c r="AI76" s="272" t="s">
        <v>6</v>
      </c>
      <c r="AJ76" s="135" t="str">
        <f>AK76</f>
        <v>WP</v>
      </c>
      <c r="AK76" s="272" t="s">
        <v>9</v>
      </c>
      <c r="AL76" s="135" t="str">
        <f>AM76</f>
        <v>Operational</v>
      </c>
      <c r="AM76" s="276" t="s">
        <v>5</v>
      </c>
      <c r="AN76" s="135" t="str">
        <f>AO76</f>
        <v>Toronto</v>
      </c>
      <c r="AO76" s="136" t="s">
        <v>7</v>
      </c>
      <c r="AP76" s="272" t="s">
        <v>8</v>
      </c>
      <c r="AQ76" s="135" t="str">
        <f>AR76</f>
        <v>ECH-04</v>
      </c>
      <c r="AR76" s="305" t="s">
        <v>179</v>
      </c>
    </row>
    <row r="77" spans="1:44" s="2" customFormat="1" x14ac:dyDescent="0.3">
      <c r="A77" s="283"/>
      <c r="B77" s="28" t="str">
        <f>B76</f>
        <v>PeWP 23</v>
      </c>
      <c r="C77" t="s">
        <v>653</v>
      </c>
      <c r="D77" s="38" t="s">
        <v>22</v>
      </c>
      <c r="E77" s="39">
        <v>0</v>
      </c>
      <c r="F77" s="39" t="s">
        <v>14</v>
      </c>
      <c r="G77" s="39">
        <v>0</v>
      </c>
      <c r="H77" s="39">
        <v>1</v>
      </c>
      <c r="I77" s="40" t="s">
        <v>139</v>
      </c>
      <c r="J77" s="43" t="s">
        <v>162</v>
      </c>
      <c r="K77" s="70" t="str">
        <f t="shared" si="129"/>
        <v>TDK-Lambda GEN 60-40</v>
      </c>
      <c r="L77" s="71">
        <v>0</v>
      </c>
      <c r="M77" s="71" t="str">
        <f t="shared" si="1"/>
        <v>No</v>
      </c>
      <c r="N77" s="72">
        <v>0</v>
      </c>
      <c r="O77" s="72" t="str">
        <f t="shared" si="2"/>
        <v>No</v>
      </c>
      <c r="P77" s="73">
        <v>0</v>
      </c>
      <c r="Q77" s="73" t="str">
        <f t="shared" si="3"/>
        <v>No</v>
      </c>
      <c r="R77" s="71">
        <v>0</v>
      </c>
      <c r="S77" s="15" t="str">
        <f t="shared" si="4"/>
        <v>No</v>
      </c>
      <c r="T77" s="28" t="str">
        <f>T76</f>
        <v>120 AC</v>
      </c>
      <c r="U77" s="43" t="s">
        <v>28</v>
      </c>
      <c r="V77" s="140" t="str">
        <f>V76</f>
        <v>3+ Return and Earth/
 60A</v>
      </c>
      <c r="W77" s="273"/>
      <c r="X77" s="39">
        <v>0</v>
      </c>
      <c r="Y77" s="39">
        <v>0</v>
      </c>
      <c r="Z77" s="39">
        <v>0</v>
      </c>
      <c r="AA77" s="205" t="s">
        <v>313</v>
      </c>
      <c r="AB77" s="142" t="s">
        <v>555</v>
      </c>
      <c r="AC77" s="39"/>
      <c r="AD77" s="39"/>
      <c r="AE77" s="39"/>
      <c r="AF77" s="39"/>
      <c r="AG77" s="39"/>
      <c r="AH77" s="140" t="str">
        <f>AH76</f>
        <v>GVV-Concord-WP</v>
      </c>
      <c r="AI77" s="273"/>
      <c r="AJ77" s="140" t="str">
        <f>AJ76</f>
        <v>WP</v>
      </c>
      <c r="AK77" s="273"/>
      <c r="AL77" s="140" t="str">
        <f>AL76</f>
        <v>Operational</v>
      </c>
      <c r="AM77" s="277"/>
      <c r="AN77" s="140" t="str">
        <f>AN76</f>
        <v>Toronto</v>
      </c>
      <c r="AO77" s="82" t="s">
        <v>7</v>
      </c>
      <c r="AP77" s="273"/>
      <c r="AQ77" s="140" t="str">
        <f>AQ76</f>
        <v>ECH-04</v>
      </c>
      <c r="AR77" s="306"/>
    </row>
    <row r="78" spans="1:44" s="2" customFormat="1" x14ac:dyDescent="0.3">
      <c r="A78" s="283"/>
      <c r="B78" s="28" t="str">
        <f t="shared" ref="B78:B79" si="131">B77</f>
        <v>PeWP 23</v>
      </c>
      <c r="C78" t="s">
        <v>653</v>
      </c>
      <c r="D78" s="38" t="s">
        <v>23</v>
      </c>
      <c r="E78" s="39">
        <v>1</v>
      </c>
      <c r="F78" s="39" t="s">
        <v>14</v>
      </c>
      <c r="G78" s="39">
        <v>1</v>
      </c>
      <c r="H78" s="39">
        <v>0</v>
      </c>
      <c r="I78" s="40" t="s">
        <v>139</v>
      </c>
      <c r="J78" s="43" t="s">
        <v>162</v>
      </c>
      <c r="K78" s="70" t="str">
        <f t="shared" si="129"/>
        <v>TDK-Lambda GEN 60-40</v>
      </c>
      <c r="L78" s="71">
        <v>1</v>
      </c>
      <c r="M78" s="71" t="str">
        <f t="shared" si="1"/>
        <v>Yes</v>
      </c>
      <c r="N78" s="72">
        <v>0</v>
      </c>
      <c r="O78" s="72" t="str">
        <f t="shared" si="2"/>
        <v>No</v>
      </c>
      <c r="P78" s="73">
        <v>0</v>
      </c>
      <c r="Q78" s="73" t="str">
        <f t="shared" si="3"/>
        <v>No</v>
      </c>
      <c r="R78" s="71">
        <v>0</v>
      </c>
      <c r="S78" s="15" t="str">
        <f t="shared" si="4"/>
        <v>No</v>
      </c>
      <c r="T78" s="28" t="str">
        <f t="shared" ref="T78:T79" si="132">T77</f>
        <v>120 AC</v>
      </c>
      <c r="U78" s="43" t="s">
        <v>28</v>
      </c>
      <c r="V78" s="140" t="str">
        <f t="shared" ref="V78:V79" si="133">V77</f>
        <v>3+ Return and Earth/
 60A</v>
      </c>
      <c r="W78" s="273"/>
      <c r="X78" s="39">
        <v>1</v>
      </c>
      <c r="Y78" s="39">
        <v>0</v>
      </c>
      <c r="Z78" s="39">
        <v>0</v>
      </c>
      <c r="AA78" s="205" t="s">
        <v>314</v>
      </c>
      <c r="AB78" s="142" t="s">
        <v>315</v>
      </c>
      <c r="AC78" s="39" t="s">
        <v>410</v>
      </c>
      <c r="AD78" s="157" t="s">
        <v>317</v>
      </c>
      <c r="AE78" s="165" t="s">
        <v>458</v>
      </c>
      <c r="AF78" s="194" t="s">
        <v>460</v>
      </c>
      <c r="AG78" s="39"/>
      <c r="AH78" s="140" t="str">
        <f t="shared" ref="AH78:AH79" si="134">AH77</f>
        <v>GVV-Concord-WP</v>
      </c>
      <c r="AI78" s="273"/>
      <c r="AJ78" s="140" t="str">
        <f t="shared" ref="AJ78:AJ79" si="135">AJ77</f>
        <v>WP</v>
      </c>
      <c r="AK78" s="273"/>
      <c r="AL78" s="140" t="str">
        <f t="shared" ref="AL78:AL79" si="136">AL77</f>
        <v>Operational</v>
      </c>
      <c r="AM78" s="277"/>
      <c r="AN78" s="140" t="str">
        <f t="shared" ref="AN78:AN79" si="137">AN77</f>
        <v>Toronto</v>
      </c>
      <c r="AO78" s="82" t="s">
        <v>7</v>
      </c>
      <c r="AP78" s="273"/>
      <c r="AQ78" s="140" t="str">
        <f t="shared" ref="AQ78:AQ79" si="138">AQ77</f>
        <v>ECH-04</v>
      </c>
      <c r="AR78" s="306"/>
    </row>
    <row r="79" spans="1:44" s="3" customFormat="1" ht="15" thickBot="1" x14ac:dyDescent="0.35">
      <c r="A79" s="284"/>
      <c r="B79" s="28" t="str">
        <f t="shared" si="131"/>
        <v>PeWP 23</v>
      </c>
      <c r="C79" t="s">
        <v>653</v>
      </c>
      <c r="D79" s="33" t="s">
        <v>23</v>
      </c>
      <c r="E79" s="34">
        <v>0</v>
      </c>
      <c r="F79" s="34" t="s">
        <v>14</v>
      </c>
      <c r="G79" s="34">
        <v>0</v>
      </c>
      <c r="H79" s="34">
        <v>1</v>
      </c>
      <c r="I79" s="41" t="s">
        <v>139</v>
      </c>
      <c r="J79" s="44" t="s">
        <v>162</v>
      </c>
      <c r="K79" s="74" t="str">
        <f t="shared" si="129"/>
        <v>TDK-Lambda GEN 60-40</v>
      </c>
      <c r="L79" s="66">
        <v>0</v>
      </c>
      <c r="M79" s="66" t="str">
        <f t="shared" si="1"/>
        <v>No</v>
      </c>
      <c r="N79" s="67">
        <v>0</v>
      </c>
      <c r="O79" s="67" t="str">
        <f t="shared" si="2"/>
        <v>No</v>
      </c>
      <c r="P79" s="68">
        <v>0</v>
      </c>
      <c r="Q79" s="68" t="str">
        <f t="shared" si="3"/>
        <v>No</v>
      </c>
      <c r="R79" s="66">
        <v>0</v>
      </c>
      <c r="S79" s="14" t="str">
        <f t="shared" si="4"/>
        <v>No</v>
      </c>
      <c r="T79" s="28" t="str">
        <f t="shared" si="132"/>
        <v>120 AC</v>
      </c>
      <c r="U79" s="44" t="s">
        <v>28</v>
      </c>
      <c r="V79" s="140" t="str">
        <f t="shared" si="133"/>
        <v>3+ Return and Earth/
 60A</v>
      </c>
      <c r="W79" s="274"/>
      <c r="X79" s="34">
        <v>0</v>
      </c>
      <c r="Y79" s="34">
        <v>0</v>
      </c>
      <c r="Z79" s="49">
        <v>0</v>
      </c>
      <c r="AA79" s="205" t="s">
        <v>314</v>
      </c>
      <c r="AB79" s="142" t="s">
        <v>315</v>
      </c>
      <c r="AC79" s="34"/>
      <c r="AD79" s="34"/>
      <c r="AE79" s="34"/>
      <c r="AF79" s="34"/>
      <c r="AG79" s="34"/>
      <c r="AH79" s="140" t="str">
        <f t="shared" si="134"/>
        <v>GVV-Concord-WP</v>
      </c>
      <c r="AI79" s="274"/>
      <c r="AJ79" s="140" t="str">
        <f t="shared" si="135"/>
        <v>WP</v>
      </c>
      <c r="AK79" s="274"/>
      <c r="AL79" s="140" t="str">
        <f t="shared" si="136"/>
        <v>Operational</v>
      </c>
      <c r="AM79" s="278"/>
      <c r="AN79" s="140" t="str">
        <f t="shared" si="137"/>
        <v>Toronto</v>
      </c>
      <c r="AO79" s="83" t="s">
        <v>7</v>
      </c>
      <c r="AP79" s="274"/>
      <c r="AQ79" s="140" t="str">
        <f t="shared" si="138"/>
        <v>ECH-04</v>
      </c>
      <c r="AR79" s="307"/>
    </row>
    <row r="80" spans="1:44" s="1" customFormat="1" ht="15" thickTop="1" x14ac:dyDescent="0.3">
      <c r="A80" s="282">
        <f t="shared" si="128"/>
        <v>1</v>
      </c>
      <c r="B80" s="26" t="str">
        <f>C80</f>
        <v>PeWP 24</v>
      </c>
      <c r="C80" t="s">
        <v>654</v>
      </c>
      <c r="D80" s="29" t="s">
        <v>22</v>
      </c>
      <c r="E80" s="30">
        <v>1</v>
      </c>
      <c r="F80" s="30" t="s">
        <v>14</v>
      </c>
      <c r="G80" s="30">
        <v>0</v>
      </c>
      <c r="H80" s="30">
        <v>1</v>
      </c>
      <c r="I80" s="42"/>
      <c r="J80" s="42" t="str">
        <f t="shared" si="130"/>
        <v>84 A</v>
      </c>
      <c r="K80" s="69" t="str">
        <f t="shared" si="129"/>
        <v>AmeTek XG 20-84</v>
      </c>
      <c r="L80" s="62">
        <v>1</v>
      </c>
      <c r="M80" s="62" t="str">
        <f t="shared" si="1"/>
        <v>Yes</v>
      </c>
      <c r="N80" s="63">
        <v>0</v>
      </c>
      <c r="O80" s="63" t="str">
        <f t="shared" si="2"/>
        <v>No</v>
      </c>
      <c r="P80" s="64">
        <v>0</v>
      </c>
      <c r="Q80" s="64" t="str">
        <f t="shared" si="3"/>
        <v>No</v>
      </c>
      <c r="R80" s="62">
        <v>0</v>
      </c>
      <c r="S80" s="13" t="str">
        <f t="shared" si="4"/>
        <v>No</v>
      </c>
      <c r="T80" s="26" t="str">
        <f>U80</f>
        <v>120 AC</v>
      </c>
      <c r="U80" s="61" t="s">
        <v>28</v>
      </c>
      <c r="V80" s="135">
        <f>W80</f>
        <v>0</v>
      </c>
      <c r="W80" s="272"/>
      <c r="X80" s="30">
        <v>1</v>
      </c>
      <c r="Y80" s="30">
        <v>0</v>
      </c>
      <c r="Z80" s="46">
        <v>0</v>
      </c>
      <c r="AA80" s="205" t="s">
        <v>235</v>
      </c>
      <c r="AB80" s="142" t="s">
        <v>318</v>
      </c>
      <c r="AC80" s="30"/>
      <c r="AD80" s="30" t="s">
        <v>561</v>
      </c>
      <c r="AE80" s="191" t="s">
        <v>454</v>
      </c>
      <c r="AF80" s="192" t="s">
        <v>462</v>
      </c>
      <c r="AG80" s="30"/>
      <c r="AH80" s="135" t="str">
        <f>AI80</f>
        <v>GVV-Concord-WP</v>
      </c>
      <c r="AI80" s="272" t="s">
        <v>6</v>
      </c>
      <c r="AJ80" s="135" t="str">
        <f>AK80</f>
        <v>WP</v>
      </c>
      <c r="AK80" s="272" t="s">
        <v>9</v>
      </c>
      <c r="AL80" s="135" t="str">
        <f>AM80</f>
        <v>Operational</v>
      </c>
      <c r="AM80" s="276" t="s">
        <v>5</v>
      </c>
      <c r="AN80" s="135" t="str">
        <f>AO80</f>
        <v>Toronto</v>
      </c>
      <c r="AO80" s="136" t="s">
        <v>7</v>
      </c>
      <c r="AP80" s="272" t="s">
        <v>8</v>
      </c>
      <c r="AQ80" s="135" t="str">
        <f>AR80</f>
        <v>ECH-28</v>
      </c>
      <c r="AR80" s="305" t="s">
        <v>546</v>
      </c>
    </row>
    <row r="81" spans="1:44" s="3" customFormat="1" ht="15" thickBot="1" x14ac:dyDescent="0.35">
      <c r="A81" s="284"/>
      <c r="B81" s="27" t="str">
        <f>B80</f>
        <v>PeWP 24</v>
      </c>
      <c r="C81" t="s">
        <v>654</v>
      </c>
      <c r="D81" s="33" t="s">
        <v>23</v>
      </c>
      <c r="E81" s="34">
        <v>1</v>
      </c>
      <c r="F81" s="34" t="s">
        <v>14</v>
      </c>
      <c r="G81" s="34">
        <v>0</v>
      </c>
      <c r="H81" s="34">
        <v>1</v>
      </c>
      <c r="I81" s="44"/>
      <c r="J81" s="44" t="s">
        <v>162</v>
      </c>
      <c r="K81" s="74" t="str">
        <f t="shared" si="129"/>
        <v>AmeTek XG 20-84</v>
      </c>
      <c r="L81" s="66">
        <v>1</v>
      </c>
      <c r="M81" s="66" t="str">
        <f t="shared" si="1"/>
        <v>Yes</v>
      </c>
      <c r="N81" s="67">
        <v>0</v>
      </c>
      <c r="O81" s="67" t="str">
        <f t="shared" si="2"/>
        <v>No</v>
      </c>
      <c r="P81" s="68">
        <v>0</v>
      </c>
      <c r="Q81" s="68" t="str">
        <f t="shared" si="3"/>
        <v>No</v>
      </c>
      <c r="R81" s="66">
        <v>0</v>
      </c>
      <c r="S81" s="14" t="str">
        <f t="shared" si="4"/>
        <v>No</v>
      </c>
      <c r="T81" s="27" t="str">
        <f>T80</f>
        <v>120 AC</v>
      </c>
      <c r="U81" s="65" t="s">
        <v>28</v>
      </c>
      <c r="V81" s="137">
        <f>V80</f>
        <v>0</v>
      </c>
      <c r="W81" s="274"/>
      <c r="X81" s="34">
        <v>1</v>
      </c>
      <c r="Y81" s="34">
        <v>0</v>
      </c>
      <c r="Z81" s="49">
        <v>0</v>
      </c>
      <c r="AA81" s="205" t="s">
        <v>319</v>
      </c>
      <c r="AB81" s="142" t="s">
        <v>320</v>
      </c>
      <c r="AC81" s="34"/>
      <c r="AD81" s="34" t="s">
        <v>562</v>
      </c>
      <c r="AE81" s="191" t="s">
        <v>454</v>
      </c>
      <c r="AF81" s="192" t="s">
        <v>463</v>
      </c>
      <c r="AG81" s="34"/>
      <c r="AH81" s="137" t="str">
        <f>AH80</f>
        <v>GVV-Concord-WP</v>
      </c>
      <c r="AI81" s="274"/>
      <c r="AJ81" s="137" t="str">
        <f>AJ80</f>
        <v>WP</v>
      </c>
      <c r="AK81" s="274"/>
      <c r="AL81" s="137" t="str">
        <f>AL80</f>
        <v>Operational</v>
      </c>
      <c r="AM81" s="278"/>
      <c r="AN81" s="137" t="str">
        <f>AN80</f>
        <v>Toronto</v>
      </c>
      <c r="AO81" s="83" t="s">
        <v>7</v>
      </c>
      <c r="AP81" s="274"/>
      <c r="AQ81" s="137" t="str">
        <f>AQ80</f>
        <v>ECH-28</v>
      </c>
      <c r="AR81" s="307"/>
    </row>
    <row r="82" spans="1:44" s="1" customFormat="1" ht="15" thickTop="1" x14ac:dyDescent="0.3">
      <c r="A82" s="282">
        <f t="shared" si="128"/>
        <v>1</v>
      </c>
      <c r="B82" s="26" t="str">
        <f>C82</f>
        <v>PeWP 25</v>
      </c>
      <c r="C82" t="s">
        <v>655</v>
      </c>
      <c r="D82" s="29" t="s">
        <v>22</v>
      </c>
      <c r="E82" s="30">
        <v>1</v>
      </c>
      <c r="F82" s="30" t="s">
        <v>14</v>
      </c>
      <c r="G82" s="30">
        <v>0</v>
      </c>
      <c r="H82" s="30">
        <v>0</v>
      </c>
      <c r="I82" s="42"/>
      <c r="J82" s="42" t="str">
        <f t="shared" si="130"/>
        <v>0</v>
      </c>
      <c r="K82" s="69" t="str">
        <f t="shared" si="129"/>
        <v>AmeTek XG 20-84</v>
      </c>
      <c r="L82" s="62">
        <v>1</v>
      </c>
      <c r="M82" s="62" t="str">
        <f t="shared" si="1"/>
        <v>Yes</v>
      </c>
      <c r="N82" s="63">
        <v>1</v>
      </c>
      <c r="O82" s="63" t="str">
        <f t="shared" si="2"/>
        <v>Yes</v>
      </c>
      <c r="P82" s="64">
        <v>0</v>
      </c>
      <c r="Q82" s="64" t="str">
        <f t="shared" si="3"/>
        <v>No</v>
      </c>
      <c r="R82" s="62">
        <v>0</v>
      </c>
      <c r="S82" s="13" t="str">
        <f t="shared" si="4"/>
        <v>No</v>
      </c>
      <c r="T82" s="26" t="str">
        <f>U82</f>
        <v>120/208 AC</v>
      </c>
      <c r="U82" s="272" t="s">
        <v>548</v>
      </c>
      <c r="V82" s="135" t="str">
        <f>W82</f>
        <v>3+ Return and Earth</v>
      </c>
      <c r="W82" s="272" t="s">
        <v>547</v>
      </c>
      <c r="X82" s="30">
        <v>1</v>
      </c>
      <c r="Y82" s="30">
        <v>0</v>
      </c>
      <c r="Z82" s="46">
        <v>0</v>
      </c>
      <c r="AA82" s="205" t="s">
        <v>321</v>
      </c>
      <c r="AB82" s="142" t="s">
        <v>322</v>
      </c>
      <c r="AC82" s="30" t="s">
        <v>410</v>
      </c>
      <c r="AD82" s="142" t="s">
        <v>519</v>
      </c>
      <c r="AE82" s="191" t="s">
        <v>421</v>
      </c>
      <c r="AF82" s="203" t="s">
        <v>520</v>
      </c>
      <c r="AG82" s="30"/>
      <c r="AH82" s="135" t="str">
        <f>AI82</f>
        <v>GVV-Concord-WP</v>
      </c>
      <c r="AI82" s="272" t="s">
        <v>6</v>
      </c>
      <c r="AJ82" s="135" t="str">
        <f>AK82</f>
        <v>WP</v>
      </c>
      <c r="AK82" s="272" t="s">
        <v>9</v>
      </c>
      <c r="AL82" s="135" t="str">
        <f>AM82</f>
        <v>Operational</v>
      </c>
      <c r="AM82" s="276" t="s">
        <v>5</v>
      </c>
      <c r="AN82" s="135" t="str">
        <f>AO82</f>
        <v>Toronto</v>
      </c>
      <c r="AO82" s="136" t="s">
        <v>7</v>
      </c>
      <c r="AP82" s="272" t="s">
        <v>8</v>
      </c>
      <c r="AQ82" s="135" t="str">
        <f>AR82</f>
        <v>Storage</v>
      </c>
      <c r="AR82" s="305" t="s">
        <v>92</v>
      </c>
    </row>
    <row r="83" spans="1:44" s="2" customFormat="1" x14ac:dyDescent="0.3">
      <c r="A83" s="283"/>
      <c r="B83" s="28" t="str">
        <f>B82</f>
        <v>PeWP 25</v>
      </c>
      <c r="C83" t="s">
        <v>655</v>
      </c>
      <c r="D83" s="38" t="s">
        <v>23</v>
      </c>
      <c r="E83" s="39">
        <v>1</v>
      </c>
      <c r="F83" s="39" t="s">
        <v>14</v>
      </c>
      <c r="G83" s="39">
        <v>0</v>
      </c>
      <c r="H83" s="39">
        <v>1</v>
      </c>
      <c r="I83" s="43"/>
      <c r="J83" s="43" t="s">
        <v>162</v>
      </c>
      <c r="K83" s="70" t="str">
        <f t="shared" si="129"/>
        <v>AmeTek XG 20-84</v>
      </c>
      <c r="L83" s="71">
        <v>0</v>
      </c>
      <c r="M83" s="71" t="str">
        <f t="shared" si="1"/>
        <v>No</v>
      </c>
      <c r="N83" s="72">
        <v>1</v>
      </c>
      <c r="O83" s="72" t="str">
        <f t="shared" si="2"/>
        <v>Yes</v>
      </c>
      <c r="P83" s="73">
        <v>0</v>
      </c>
      <c r="Q83" s="73" t="str">
        <f t="shared" si="3"/>
        <v>No</v>
      </c>
      <c r="R83" s="71">
        <v>0</v>
      </c>
      <c r="S83" s="15" t="str">
        <f t="shared" si="4"/>
        <v>No</v>
      </c>
      <c r="T83" s="28" t="str">
        <f>T82</f>
        <v>120/208 AC</v>
      </c>
      <c r="U83" s="273"/>
      <c r="V83" s="140" t="str">
        <f>V82</f>
        <v>3+ Return and Earth</v>
      </c>
      <c r="W83" s="273"/>
      <c r="X83" s="39">
        <v>1</v>
      </c>
      <c r="Y83" s="39">
        <v>0</v>
      </c>
      <c r="Z83" s="39">
        <v>0</v>
      </c>
      <c r="AA83" s="205" t="s">
        <v>323</v>
      </c>
      <c r="AB83" s="142" t="s">
        <v>324</v>
      </c>
      <c r="AC83" s="39"/>
      <c r="AD83" s="142"/>
      <c r="AE83" s="39"/>
      <c r="AF83" s="39"/>
      <c r="AG83" s="39"/>
      <c r="AH83" s="140" t="str">
        <f>AH82</f>
        <v>GVV-Concord-WP</v>
      </c>
      <c r="AI83" s="273"/>
      <c r="AJ83" s="140" t="str">
        <f>AJ82</f>
        <v>WP</v>
      </c>
      <c r="AK83" s="273"/>
      <c r="AL83" s="140" t="str">
        <f>AL82</f>
        <v>Operational</v>
      </c>
      <c r="AM83" s="277"/>
      <c r="AN83" s="140" t="str">
        <f>AN82</f>
        <v>Toronto</v>
      </c>
      <c r="AO83" s="82" t="s">
        <v>7</v>
      </c>
      <c r="AP83" s="273"/>
      <c r="AQ83" s="140" t="str">
        <f>AQ82</f>
        <v>Storage</v>
      </c>
      <c r="AR83" s="306"/>
    </row>
    <row r="84" spans="1:44" s="2" customFormat="1" x14ac:dyDescent="0.3">
      <c r="A84" s="283"/>
      <c r="B84" s="28" t="str">
        <f t="shared" ref="B84:B85" si="139">B83</f>
        <v>PeWP 25</v>
      </c>
      <c r="C84" t="s">
        <v>655</v>
      </c>
      <c r="D84" s="38" t="s">
        <v>24</v>
      </c>
      <c r="E84" s="39">
        <v>1</v>
      </c>
      <c r="F84" s="39" t="s">
        <v>14</v>
      </c>
      <c r="G84" s="39">
        <v>0</v>
      </c>
      <c r="H84" s="39">
        <v>0</v>
      </c>
      <c r="I84" s="43"/>
      <c r="J84" s="43" t="s">
        <v>162</v>
      </c>
      <c r="K84" s="70" t="str">
        <f t="shared" si="129"/>
        <v>AmeTek XG 20-84</v>
      </c>
      <c r="L84" s="71">
        <v>1</v>
      </c>
      <c r="M84" s="71" t="str">
        <f t="shared" si="1"/>
        <v>Yes</v>
      </c>
      <c r="N84" s="72">
        <v>1</v>
      </c>
      <c r="O84" s="72" t="str">
        <f t="shared" si="2"/>
        <v>Yes</v>
      </c>
      <c r="P84" s="73">
        <v>0</v>
      </c>
      <c r="Q84" s="73" t="str">
        <f t="shared" si="3"/>
        <v>No</v>
      </c>
      <c r="R84" s="71">
        <v>0</v>
      </c>
      <c r="S84" s="15" t="str">
        <f t="shared" si="4"/>
        <v>No</v>
      </c>
      <c r="T84" s="28" t="str">
        <f t="shared" ref="T84:T85" si="140">T83</f>
        <v>120/208 AC</v>
      </c>
      <c r="U84" s="273"/>
      <c r="V84" s="140" t="str">
        <f t="shared" ref="V84:V85" si="141">V83</f>
        <v>3+ Return and Earth</v>
      </c>
      <c r="W84" s="273"/>
      <c r="X84" s="39">
        <v>1</v>
      </c>
      <c r="Y84" s="39">
        <v>0</v>
      </c>
      <c r="Z84" s="39">
        <v>0</v>
      </c>
      <c r="AA84" s="205" t="s">
        <v>325</v>
      </c>
      <c r="AB84" s="142" t="s">
        <v>326</v>
      </c>
      <c r="AC84" s="39" t="s">
        <v>410</v>
      </c>
      <c r="AD84" s="142" t="s">
        <v>330</v>
      </c>
      <c r="AE84" s="191" t="s">
        <v>421</v>
      </c>
      <c r="AF84" s="192" t="s">
        <v>461</v>
      </c>
      <c r="AG84" s="39"/>
      <c r="AH84" s="140" t="str">
        <f t="shared" ref="AH84:AH85" si="142">AH83</f>
        <v>GVV-Concord-WP</v>
      </c>
      <c r="AI84" s="273"/>
      <c r="AJ84" s="140" t="str">
        <f t="shared" ref="AJ84:AJ85" si="143">AJ83</f>
        <v>WP</v>
      </c>
      <c r="AK84" s="273"/>
      <c r="AL84" s="140" t="str">
        <f t="shared" ref="AL84:AL85" si="144">AL83</f>
        <v>Operational</v>
      </c>
      <c r="AM84" s="277"/>
      <c r="AN84" s="140" t="str">
        <f t="shared" ref="AN84:AN85" si="145">AN83</f>
        <v>Toronto</v>
      </c>
      <c r="AO84" s="82" t="s">
        <v>7</v>
      </c>
      <c r="AP84" s="273"/>
      <c r="AQ84" s="140" t="str">
        <f t="shared" ref="AQ84:AQ85" si="146">AQ83</f>
        <v>Storage</v>
      </c>
      <c r="AR84" s="306"/>
    </row>
    <row r="85" spans="1:44" s="3" customFormat="1" ht="15" thickBot="1" x14ac:dyDescent="0.35">
      <c r="A85" s="284"/>
      <c r="B85" s="28" t="str">
        <f t="shared" si="139"/>
        <v>PeWP 25</v>
      </c>
      <c r="C85" t="s">
        <v>655</v>
      </c>
      <c r="D85" s="33" t="s">
        <v>25</v>
      </c>
      <c r="E85" s="34">
        <v>1</v>
      </c>
      <c r="F85" s="34" t="s">
        <v>14</v>
      </c>
      <c r="G85" s="34">
        <v>0</v>
      </c>
      <c r="H85" s="34">
        <v>1</v>
      </c>
      <c r="I85" s="44"/>
      <c r="J85" s="44" t="s">
        <v>162</v>
      </c>
      <c r="K85" s="74" t="str">
        <f t="shared" si="129"/>
        <v>AmeTek XG 20-84</v>
      </c>
      <c r="L85" s="66">
        <v>0</v>
      </c>
      <c r="M85" s="66" t="str">
        <f t="shared" si="1"/>
        <v>No</v>
      </c>
      <c r="N85" s="67">
        <v>1</v>
      </c>
      <c r="O85" s="67" t="str">
        <f t="shared" si="2"/>
        <v>Yes</v>
      </c>
      <c r="P85" s="68">
        <v>0</v>
      </c>
      <c r="Q85" s="68" t="str">
        <f t="shared" si="3"/>
        <v>No</v>
      </c>
      <c r="R85" s="66">
        <v>0</v>
      </c>
      <c r="S85" s="14" t="str">
        <f t="shared" si="4"/>
        <v>No</v>
      </c>
      <c r="T85" s="28" t="str">
        <f t="shared" si="140"/>
        <v>120/208 AC</v>
      </c>
      <c r="U85" s="274"/>
      <c r="V85" s="140" t="str">
        <f t="shared" si="141"/>
        <v>3+ Return and Earth</v>
      </c>
      <c r="W85" s="274"/>
      <c r="X85" s="34">
        <v>1</v>
      </c>
      <c r="Y85" s="34">
        <v>0</v>
      </c>
      <c r="Z85" s="34">
        <v>0</v>
      </c>
      <c r="AA85" s="210" t="s">
        <v>327</v>
      </c>
      <c r="AB85" s="144" t="s">
        <v>328</v>
      </c>
      <c r="AC85" s="34"/>
      <c r="AD85" s="144"/>
      <c r="AE85" s="34"/>
      <c r="AF85" s="34"/>
      <c r="AG85" s="34"/>
      <c r="AH85" s="140" t="str">
        <f t="shared" si="142"/>
        <v>GVV-Concord-WP</v>
      </c>
      <c r="AI85" s="274"/>
      <c r="AJ85" s="140" t="str">
        <f t="shared" si="143"/>
        <v>WP</v>
      </c>
      <c r="AK85" s="274"/>
      <c r="AL85" s="140" t="str">
        <f t="shared" si="144"/>
        <v>Operational</v>
      </c>
      <c r="AM85" s="278"/>
      <c r="AN85" s="140" t="str">
        <f t="shared" si="145"/>
        <v>Toronto</v>
      </c>
      <c r="AO85" s="83" t="s">
        <v>7</v>
      </c>
      <c r="AP85" s="274"/>
      <c r="AQ85" s="140" t="str">
        <f t="shared" si="146"/>
        <v>Storage</v>
      </c>
      <c r="AR85" s="307"/>
    </row>
    <row r="86" spans="1:44" s="1" customFormat="1" ht="15.6" thickTop="1" thickBot="1" x14ac:dyDescent="0.35">
      <c r="A86" s="282">
        <f t="shared" si="128"/>
        <v>1</v>
      </c>
      <c r="B86" s="26" t="str">
        <f>C86</f>
        <v>PeWP 26</v>
      </c>
      <c r="C86" t="s">
        <v>656</v>
      </c>
      <c r="D86" s="29" t="s">
        <v>22</v>
      </c>
      <c r="E86" s="30">
        <v>1</v>
      </c>
      <c r="F86" s="30" t="s">
        <v>14</v>
      </c>
      <c r="G86" s="30">
        <v>1</v>
      </c>
      <c r="H86" s="30">
        <v>1</v>
      </c>
      <c r="I86" s="42" t="s">
        <v>560</v>
      </c>
      <c r="J86" s="39" t="s">
        <v>559</v>
      </c>
      <c r="K86" s="69" t="s">
        <v>558</v>
      </c>
      <c r="L86" s="62">
        <v>1</v>
      </c>
      <c r="M86" s="62" t="str">
        <f t="shared" si="1"/>
        <v>Yes</v>
      </c>
      <c r="N86" s="63">
        <v>0</v>
      </c>
      <c r="O86" s="63" t="str">
        <f t="shared" si="2"/>
        <v>No</v>
      </c>
      <c r="P86" s="64">
        <v>0</v>
      </c>
      <c r="Q86" s="64" t="str">
        <f t="shared" si="3"/>
        <v>No</v>
      </c>
      <c r="R86" s="62">
        <v>0</v>
      </c>
      <c r="S86" s="13" t="str">
        <f t="shared" si="4"/>
        <v>No</v>
      </c>
      <c r="T86" s="26" t="str">
        <f>U86</f>
        <v>120/208 AC</v>
      </c>
      <c r="U86" s="272" t="s">
        <v>548</v>
      </c>
      <c r="V86" s="135" t="str">
        <f>W86</f>
        <v>3+ Return and Earth/
 60A</v>
      </c>
      <c r="W86" s="276" t="s">
        <v>550</v>
      </c>
      <c r="X86" s="30">
        <v>1</v>
      </c>
      <c r="Y86" s="30">
        <v>1</v>
      </c>
      <c r="Z86" s="30">
        <v>0</v>
      </c>
      <c r="AA86" s="141" t="s">
        <v>566</v>
      </c>
      <c r="AB86" s="152" t="s">
        <v>570</v>
      </c>
      <c r="AC86" s="39" t="s">
        <v>410</v>
      </c>
      <c r="AD86" s="142" t="s">
        <v>582</v>
      </c>
      <c r="AE86" s="30" t="s">
        <v>563</v>
      </c>
      <c r="AF86" s="30" t="s">
        <v>583</v>
      </c>
      <c r="AG86" s="30" t="s">
        <v>584</v>
      </c>
      <c r="AH86" s="135" t="str">
        <f>AI86</f>
        <v>GVV-Concord-WP</v>
      </c>
      <c r="AI86" s="272" t="s">
        <v>6</v>
      </c>
      <c r="AJ86" s="135" t="str">
        <f>AK86</f>
        <v>WP</v>
      </c>
      <c r="AK86" s="272" t="s">
        <v>9</v>
      </c>
      <c r="AL86" s="135" t="str">
        <f>AM86</f>
        <v>Operational</v>
      </c>
      <c r="AM86" s="276" t="s">
        <v>5</v>
      </c>
      <c r="AN86" s="135" t="str">
        <f>AO86</f>
        <v>Toronto</v>
      </c>
      <c r="AO86" s="136" t="s">
        <v>7</v>
      </c>
      <c r="AP86" s="272" t="s">
        <v>8</v>
      </c>
      <c r="AQ86" s="135" t="str">
        <f>AR86</f>
        <v>ECH-23</v>
      </c>
      <c r="AR86" s="305" t="s">
        <v>193</v>
      </c>
    </row>
    <row r="87" spans="1:44" s="2" customFormat="1" ht="15.6" thickTop="1" thickBot="1" x14ac:dyDescent="0.35">
      <c r="A87" s="283"/>
      <c r="B87" s="28" t="str">
        <f>B86</f>
        <v>PeWP 26</v>
      </c>
      <c r="C87" t="s">
        <v>656</v>
      </c>
      <c r="D87" s="38" t="s">
        <v>23</v>
      </c>
      <c r="E87" s="39">
        <v>1</v>
      </c>
      <c r="F87" s="39" t="s">
        <v>14</v>
      </c>
      <c r="G87" s="39">
        <v>1</v>
      </c>
      <c r="H87" s="39">
        <v>1</v>
      </c>
      <c r="I87" s="39" t="s">
        <v>560</v>
      </c>
      <c r="J87" s="39" t="s">
        <v>559</v>
      </c>
      <c r="K87" s="69" t="s">
        <v>558</v>
      </c>
      <c r="L87" s="71">
        <v>1</v>
      </c>
      <c r="M87" s="71" t="str">
        <f t="shared" si="1"/>
        <v>Yes</v>
      </c>
      <c r="N87" s="72">
        <v>0</v>
      </c>
      <c r="O87" s="72" t="str">
        <f t="shared" si="2"/>
        <v>No</v>
      </c>
      <c r="P87" s="73">
        <v>0</v>
      </c>
      <c r="Q87" s="73" t="str">
        <f t="shared" si="3"/>
        <v>No</v>
      </c>
      <c r="R87" s="71">
        <v>0</v>
      </c>
      <c r="S87" s="15" t="str">
        <f t="shared" si="4"/>
        <v>No</v>
      </c>
      <c r="T87" s="28" t="str">
        <f>T86</f>
        <v>120/208 AC</v>
      </c>
      <c r="U87" s="273"/>
      <c r="V87" s="140" t="str">
        <f>V86</f>
        <v>3+ Return and Earth/
 60A</v>
      </c>
      <c r="W87" s="273"/>
      <c r="X87" s="39">
        <v>1</v>
      </c>
      <c r="Y87" s="39">
        <v>1</v>
      </c>
      <c r="Z87" s="39">
        <v>0</v>
      </c>
      <c r="AA87" s="141" t="s">
        <v>567</v>
      </c>
      <c r="AB87" s="152" t="s">
        <v>571</v>
      </c>
      <c r="AC87" s="39"/>
      <c r="AD87" s="39"/>
      <c r="AE87" s="39"/>
      <c r="AF87" s="39"/>
      <c r="AG87" s="39"/>
      <c r="AH87" s="140" t="str">
        <f>AH86</f>
        <v>GVV-Concord-WP</v>
      </c>
      <c r="AI87" s="273"/>
      <c r="AJ87" s="140" t="str">
        <f>AJ86</f>
        <v>WP</v>
      </c>
      <c r="AK87" s="273"/>
      <c r="AL87" s="140" t="str">
        <f>AL86</f>
        <v>Operational</v>
      </c>
      <c r="AM87" s="277"/>
      <c r="AN87" s="140" t="str">
        <f>AN86</f>
        <v>Toronto</v>
      </c>
      <c r="AO87" s="82" t="s">
        <v>7</v>
      </c>
      <c r="AP87" s="273"/>
      <c r="AQ87" s="140" t="str">
        <f>AQ86</f>
        <v>ECH-23</v>
      </c>
      <c r="AR87" s="306"/>
    </row>
    <row r="88" spans="1:44" s="2" customFormat="1" ht="15.6" thickTop="1" thickBot="1" x14ac:dyDescent="0.35">
      <c r="A88" s="283"/>
      <c r="B88" s="28" t="str">
        <f t="shared" ref="B88:B89" si="147">B87</f>
        <v>PeWP 26</v>
      </c>
      <c r="C88" t="s">
        <v>656</v>
      </c>
      <c r="D88" s="38" t="s">
        <v>24</v>
      </c>
      <c r="E88" s="39">
        <v>1</v>
      </c>
      <c r="F88" s="39" t="s">
        <v>14</v>
      </c>
      <c r="G88" s="39">
        <v>1</v>
      </c>
      <c r="H88" s="39">
        <v>1</v>
      </c>
      <c r="I88" s="39" t="s">
        <v>560</v>
      </c>
      <c r="J88" s="39" t="s">
        <v>559</v>
      </c>
      <c r="K88" s="69" t="s">
        <v>558</v>
      </c>
      <c r="L88" s="71">
        <v>1</v>
      </c>
      <c r="M88" s="71" t="str">
        <f t="shared" si="1"/>
        <v>Yes</v>
      </c>
      <c r="N88" s="72">
        <v>0</v>
      </c>
      <c r="O88" s="72" t="str">
        <f t="shared" si="2"/>
        <v>No</v>
      </c>
      <c r="P88" s="73">
        <v>0</v>
      </c>
      <c r="Q88" s="73" t="str">
        <f t="shared" si="3"/>
        <v>No</v>
      </c>
      <c r="R88" s="71">
        <v>0</v>
      </c>
      <c r="S88" s="15" t="str">
        <f t="shared" si="4"/>
        <v>No</v>
      </c>
      <c r="T88" s="28" t="str">
        <f t="shared" ref="T88:T89" si="148">T87</f>
        <v>120/208 AC</v>
      </c>
      <c r="U88" s="273"/>
      <c r="V88" s="140" t="str">
        <f t="shared" ref="V88:V89" si="149">V87</f>
        <v>3+ Return and Earth/
 60A</v>
      </c>
      <c r="W88" s="273"/>
      <c r="X88" s="39">
        <v>1</v>
      </c>
      <c r="Y88" s="39">
        <v>1</v>
      </c>
      <c r="Z88" s="39">
        <v>0</v>
      </c>
      <c r="AA88" s="141" t="s">
        <v>568</v>
      </c>
      <c r="AB88" s="152" t="s">
        <v>572</v>
      </c>
      <c r="AC88" s="39"/>
      <c r="AD88" s="39"/>
      <c r="AE88" s="39"/>
      <c r="AF88" s="39"/>
      <c r="AG88" s="39"/>
      <c r="AH88" s="140" t="str">
        <f t="shared" ref="AH88:AH89" si="150">AH87</f>
        <v>GVV-Concord-WP</v>
      </c>
      <c r="AI88" s="273"/>
      <c r="AJ88" s="140" t="str">
        <f t="shared" ref="AJ88:AJ89" si="151">AJ87</f>
        <v>WP</v>
      </c>
      <c r="AK88" s="273"/>
      <c r="AL88" s="140" t="str">
        <f t="shared" ref="AL88:AL89" si="152">AL87</f>
        <v>Operational</v>
      </c>
      <c r="AM88" s="277"/>
      <c r="AN88" s="140" t="str">
        <f t="shared" ref="AN88:AN89" si="153">AN87</f>
        <v>Toronto</v>
      </c>
      <c r="AO88" s="82" t="s">
        <v>7</v>
      </c>
      <c r="AP88" s="273"/>
      <c r="AQ88" s="140" t="str">
        <f t="shared" ref="AQ88:AQ89" si="154">AQ87</f>
        <v>ECH-23</v>
      </c>
      <c r="AR88" s="306"/>
    </row>
    <row r="89" spans="1:44" s="3" customFormat="1" ht="15.6" thickTop="1" thickBot="1" x14ac:dyDescent="0.35">
      <c r="A89" s="284"/>
      <c r="B89" s="28" t="str">
        <f t="shared" si="147"/>
        <v>PeWP 26</v>
      </c>
      <c r="C89" t="s">
        <v>656</v>
      </c>
      <c r="D89" s="33" t="s">
        <v>25</v>
      </c>
      <c r="E89" s="34">
        <v>1</v>
      </c>
      <c r="F89" s="34" t="s">
        <v>14</v>
      </c>
      <c r="G89" s="34">
        <v>1</v>
      </c>
      <c r="H89" s="34">
        <v>1</v>
      </c>
      <c r="I89" s="39" t="s">
        <v>560</v>
      </c>
      <c r="J89" s="39" t="s">
        <v>559</v>
      </c>
      <c r="K89" s="69" t="s">
        <v>558</v>
      </c>
      <c r="L89" s="66">
        <v>1</v>
      </c>
      <c r="M89" s="66" t="str">
        <f t="shared" si="1"/>
        <v>Yes</v>
      </c>
      <c r="N89" s="67">
        <v>0</v>
      </c>
      <c r="O89" s="67" t="str">
        <f t="shared" si="2"/>
        <v>No</v>
      </c>
      <c r="P89" s="68">
        <v>0</v>
      </c>
      <c r="Q89" s="68" t="str">
        <f t="shared" si="3"/>
        <v>No</v>
      </c>
      <c r="R89" s="66">
        <v>0</v>
      </c>
      <c r="S89" s="14" t="str">
        <f t="shared" si="4"/>
        <v>No</v>
      </c>
      <c r="T89" s="28" t="str">
        <f t="shared" si="148"/>
        <v>120/208 AC</v>
      </c>
      <c r="U89" s="274"/>
      <c r="V89" s="140" t="str">
        <f t="shared" si="149"/>
        <v>3+ Return and Earth/
 60A</v>
      </c>
      <c r="W89" s="274"/>
      <c r="X89" s="34">
        <v>1</v>
      </c>
      <c r="Y89" s="34">
        <v>1</v>
      </c>
      <c r="Z89" s="34">
        <v>0</v>
      </c>
      <c r="AA89" s="141" t="s">
        <v>569</v>
      </c>
      <c r="AB89" s="152" t="s">
        <v>573</v>
      </c>
      <c r="AC89" s="34"/>
      <c r="AD89" s="34"/>
      <c r="AE89" s="34"/>
      <c r="AF89" s="34"/>
      <c r="AG89" s="34"/>
      <c r="AH89" s="140" t="str">
        <f t="shared" si="150"/>
        <v>GVV-Concord-WP</v>
      </c>
      <c r="AI89" s="274"/>
      <c r="AJ89" s="140" t="str">
        <f t="shared" si="151"/>
        <v>WP</v>
      </c>
      <c r="AK89" s="274"/>
      <c r="AL89" s="140" t="str">
        <f t="shared" si="152"/>
        <v>Operational</v>
      </c>
      <c r="AM89" s="278"/>
      <c r="AN89" s="140" t="str">
        <f t="shared" si="153"/>
        <v>Toronto</v>
      </c>
      <c r="AO89" s="83" t="s">
        <v>7</v>
      </c>
      <c r="AP89" s="274"/>
      <c r="AQ89" s="140" t="str">
        <f t="shared" si="154"/>
        <v>ECH-23</v>
      </c>
      <c r="AR89" s="307"/>
    </row>
    <row r="90" spans="1:44" s="1" customFormat="1" ht="15.6" thickTop="1" thickBot="1" x14ac:dyDescent="0.35">
      <c r="A90" s="282">
        <f t="shared" ref="A90" si="155">IF(AM90="Operational",1,0)</f>
        <v>1</v>
      </c>
      <c r="B90" s="26" t="str">
        <f>C90</f>
        <v>PeWP 30</v>
      </c>
      <c r="C90" t="s">
        <v>657</v>
      </c>
      <c r="D90" s="29" t="s">
        <v>22</v>
      </c>
      <c r="E90" s="30">
        <v>1</v>
      </c>
      <c r="F90" s="30" t="s">
        <v>14</v>
      </c>
      <c r="G90" s="30">
        <v>1</v>
      </c>
      <c r="H90" s="30">
        <v>1</v>
      </c>
      <c r="I90" s="42" t="s">
        <v>560</v>
      </c>
      <c r="J90" s="81" t="s">
        <v>559</v>
      </c>
      <c r="K90" s="69" t="s">
        <v>558</v>
      </c>
      <c r="L90" s="62">
        <v>1</v>
      </c>
      <c r="M90" s="62" t="str">
        <f t="shared" ref="M90:M93" si="156">IF(L90&gt;=1,"Yes","No")</f>
        <v>Yes</v>
      </c>
      <c r="N90" s="63">
        <v>0</v>
      </c>
      <c r="O90" s="63" t="str">
        <f t="shared" ref="O90:O93" si="157">IF(N90&gt;=1,"Yes","No")</f>
        <v>No</v>
      </c>
      <c r="P90" s="64">
        <v>0</v>
      </c>
      <c r="Q90" s="64" t="str">
        <f t="shared" ref="Q90:Q93" si="158">IF(P90&gt;=1,"Yes","No")</f>
        <v>No</v>
      </c>
      <c r="R90" s="62">
        <v>0</v>
      </c>
      <c r="S90" s="13" t="str">
        <f t="shared" ref="S90:S93" si="159">IF(R90&gt;=1,"Yes","No")</f>
        <v>No</v>
      </c>
      <c r="T90" s="26" t="str">
        <f>U90</f>
        <v>120/208 AC</v>
      </c>
      <c r="U90" s="272" t="s">
        <v>548</v>
      </c>
      <c r="V90" s="135" t="str">
        <f>W90</f>
        <v>3+ Return and Earth/
 60A</v>
      </c>
      <c r="W90" s="276" t="s">
        <v>550</v>
      </c>
      <c r="X90" s="30">
        <v>1</v>
      </c>
      <c r="Y90" s="30">
        <v>1</v>
      </c>
      <c r="Z90" s="30">
        <v>0</v>
      </c>
      <c r="AA90" s="141" t="s">
        <v>574</v>
      </c>
      <c r="AB90" s="152" t="s">
        <v>575</v>
      </c>
      <c r="AC90" s="39" t="s">
        <v>410</v>
      </c>
      <c r="AD90" s="30"/>
      <c r="AE90" s="30"/>
      <c r="AF90" s="30"/>
      <c r="AG90" s="30"/>
      <c r="AH90" s="135" t="str">
        <f>AI90</f>
        <v>GVV-Concord-WP</v>
      </c>
      <c r="AI90" s="272" t="s">
        <v>6</v>
      </c>
      <c r="AJ90" s="135" t="str">
        <f>AK90</f>
        <v>WP</v>
      </c>
      <c r="AK90" s="272" t="s">
        <v>9</v>
      </c>
      <c r="AL90" s="135" t="str">
        <f>AM90</f>
        <v>Operational</v>
      </c>
      <c r="AM90" s="276" t="s">
        <v>5</v>
      </c>
      <c r="AN90" s="135" t="str">
        <f>AO90</f>
        <v>Toronto</v>
      </c>
      <c r="AO90" s="136" t="s">
        <v>7</v>
      </c>
      <c r="AP90" s="272" t="s">
        <v>8</v>
      </c>
      <c r="AQ90" s="135" t="str">
        <f>AR90</f>
        <v>ECH-24</v>
      </c>
      <c r="AR90" s="305" t="s">
        <v>194</v>
      </c>
    </row>
    <row r="91" spans="1:44" s="2" customFormat="1" ht="15.6" thickTop="1" thickBot="1" x14ac:dyDescent="0.35">
      <c r="A91" s="283"/>
      <c r="B91" s="28" t="str">
        <f>B90</f>
        <v>PeWP 30</v>
      </c>
      <c r="C91" t="s">
        <v>657</v>
      </c>
      <c r="D91" s="38" t="s">
        <v>23</v>
      </c>
      <c r="E91" s="39">
        <v>1</v>
      </c>
      <c r="F91" s="39" t="s">
        <v>14</v>
      </c>
      <c r="G91" s="39">
        <v>1</v>
      </c>
      <c r="H91" s="39">
        <v>1</v>
      </c>
      <c r="I91" s="39" t="s">
        <v>560</v>
      </c>
      <c r="J91" s="39" t="s">
        <v>559</v>
      </c>
      <c r="K91" s="69" t="s">
        <v>558</v>
      </c>
      <c r="L91" s="71">
        <v>1</v>
      </c>
      <c r="M91" s="71" t="str">
        <f t="shared" si="156"/>
        <v>Yes</v>
      </c>
      <c r="N91" s="72">
        <v>0</v>
      </c>
      <c r="O91" s="72" t="str">
        <f t="shared" si="157"/>
        <v>No</v>
      </c>
      <c r="P91" s="73">
        <v>0</v>
      </c>
      <c r="Q91" s="73" t="str">
        <f t="shared" si="158"/>
        <v>No</v>
      </c>
      <c r="R91" s="71">
        <v>0</v>
      </c>
      <c r="S91" s="15" t="str">
        <f t="shared" si="159"/>
        <v>No</v>
      </c>
      <c r="T91" s="28" t="str">
        <f>T90</f>
        <v>120/208 AC</v>
      </c>
      <c r="U91" s="273"/>
      <c r="V91" s="140" t="str">
        <f>V90</f>
        <v>3+ Return and Earth/
 60A</v>
      </c>
      <c r="W91" s="273"/>
      <c r="X91" s="39">
        <v>1</v>
      </c>
      <c r="Y91" s="39">
        <v>1</v>
      </c>
      <c r="Z91" s="39">
        <v>0</v>
      </c>
      <c r="AA91" s="141" t="s">
        <v>576</v>
      </c>
      <c r="AB91" s="152" t="s">
        <v>577</v>
      </c>
      <c r="AC91" s="39"/>
      <c r="AD91" s="39"/>
      <c r="AE91" s="39"/>
      <c r="AF91" s="39"/>
      <c r="AG91" s="39"/>
      <c r="AH91" s="140" t="str">
        <f>AH90</f>
        <v>GVV-Concord-WP</v>
      </c>
      <c r="AI91" s="273"/>
      <c r="AJ91" s="140" t="str">
        <f>AJ90</f>
        <v>WP</v>
      </c>
      <c r="AK91" s="273"/>
      <c r="AL91" s="140" t="str">
        <f>AL90</f>
        <v>Operational</v>
      </c>
      <c r="AM91" s="277"/>
      <c r="AN91" s="140" t="str">
        <f>AN90</f>
        <v>Toronto</v>
      </c>
      <c r="AO91" s="82" t="s">
        <v>7</v>
      </c>
      <c r="AP91" s="273"/>
      <c r="AQ91" s="140" t="str">
        <f>AQ90</f>
        <v>ECH-24</v>
      </c>
      <c r="AR91" s="306"/>
    </row>
    <row r="92" spans="1:44" s="2" customFormat="1" ht="15.6" thickTop="1" thickBot="1" x14ac:dyDescent="0.35">
      <c r="A92" s="283"/>
      <c r="B92" s="28" t="str">
        <f t="shared" ref="B92:B93" si="160">B91</f>
        <v>PeWP 30</v>
      </c>
      <c r="C92" t="s">
        <v>657</v>
      </c>
      <c r="D92" s="38" t="s">
        <v>24</v>
      </c>
      <c r="E92" s="39">
        <v>1</v>
      </c>
      <c r="F92" s="39" t="s">
        <v>14</v>
      </c>
      <c r="G92" s="39">
        <v>1</v>
      </c>
      <c r="H92" s="39">
        <v>1</v>
      </c>
      <c r="I92" s="39" t="s">
        <v>560</v>
      </c>
      <c r="J92" s="39" t="s">
        <v>559</v>
      </c>
      <c r="K92" s="69" t="s">
        <v>558</v>
      </c>
      <c r="L92" s="71">
        <v>1</v>
      </c>
      <c r="M92" s="71" t="str">
        <f t="shared" si="156"/>
        <v>Yes</v>
      </c>
      <c r="N92" s="72">
        <v>0</v>
      </c>
      <c r="O92" s="72" t="str">
        <f t="shared" si="157"/>
        <v>No</v>
      </c>
      <c r="P92" s="73">
        <v>0</v>
      </c>
      <c r="Q92" s="73" t="str">
        <f t="shared" si="158"/>
        <v>No</v>
      </c>
      <c r="R92" s="71">
        <v>0</v>
      </c>
      <c r="S92" s="15" t="str">
        <f t="shared" si="159"/>
        <v>No</v>
      </c>
      <c r="T92" s="28" t="str">
        <f t="shared" ref="T92:T93" si="161">T91</f>
        <v>120/208 AC</v>
      </c>
      <c r="U92" s="273"/>
      <c r="V92" s="140" t="str">
        <f t="shared" ref="V92:V93" si="162">V91</f>
        <v>3+ Return and Earth/
 60A</v>
      </c>
      <c r="W92" s="273"/>
      <c r="X92" s="39">
        <v>1</v>
      </c>
      <c r="Y92" s="39">
        <v>1</v>
      </c>
      <c r="Z92" s="39">
        <v>0</v>
      </c>
      <c r="AA92" s="141" t="s">
        <v>578</v>
      </c>
      <c r="AB92" s="152" t="s">
        <v>579</v>
      </c>
      <c r="AC92" s="39"/>
      <c r="AD92" s="39"/>
      <c r="AE92" s="39"/>
      <c r="AF92" s="39"/>
      <c r="AG92" s="39"/>
      <c r="AH92" s="140" t="str">
        <f t="shared" ref="AH92:AH93" si="163">AH91</f>
        <v>GVV-Concord-WP</v>
      </c>
      <c r="AI92" s="273"/>
      <c r="AJ92" s="140" t="str">
        <f t="shared" ref="AJ92:AJ93" si="164">AJ91</f>
        <v>WP</v>
      </c>
      <c r="AK92" s="273"/>
      <c r="AL92" s="140" t="str">
        <f t="shared" ref="AL92:AL93" si="165">AL91</f>
        <v>Operational</v>
      </c>
      <c r="AM92" s="277"/>
      <c r="AN92" s="140" t="str">
        <f t="shared" ref="AN92:AN93" si="166">AN91</f>
        <v>Toronto</v>
      </c>
      <c r="AO92" s="82" t="s">
        <v>7</v>
      </c>
      <c r="AP92" s="273"/>
      <c r="AQ92" s="140" t="str">
        <f t="shared" ref="AQ92:AQ93" si="167">AQ91</f>
        <v>ECH-24</v>
      </c>
      <c r="AR92" s="306"/>
    </row>
    <row r="93" spans="1:44" s="3" customFormat="1" ht="15.6" thickTop="1" thickBot="1" x14ac:dyDescent="0.35">
      <c r="A93" s="284"/>
      <c r="B93" s="28" t="str">
        <f t="shared" si="160"/>
        <v>PeWP 30</v>
      </c>
      <c r="C93" t="s">
        <v>657</v>
      </c>
      <c r="D93" s="33" t="s">
        <v>25</v>
      </c>
      <c r="E93" s="34">
        <v>1</v>
      </c>
      <c r="F93" s="34" t="s">
        <v>14</v>
      </c>
      <c r="G93" s="34">
        <v>1</v>
      </c>
      <c r="H93" s="34">
        <v>1</v>
      </c>
      <c r="I93" s="39" t="s">
        <v>560</v>
      </c>
      <c r="J93" s="39" t="s">
        <v>559</v>
      </c>
      <c r="K93" s="69" t="s">
        <v>558</v>
      </c>
      <c r="L93" s="66">
        <v>1</v>
      </c>
      <c r="M93" s="66" t="str">
        <f t="shared" si="156"/>
        <v>Yes</v>
      </c>
      <c r="N93" s="67">
        <v>0</v>
      </c>
      <c r="O93" s="67" t="str">
        <f t="shared" si="157"/>
        <v>No</v>
      </c>
      <c r="P93" s="68">
        <v>0</v>
      </c>
      <c r="Q93" s="68" t="str">
        <f t="shared" si="158"/>
        <v>No</v>
      </c>
      <c r="R93" s="66">
        <v>0</v>
      </c>
      <c r="S93" s="14" t="str">
        <f t="shared" si="159"/>
        <v>No</v>
      </c>
      <c r="T93" s="28" t="str">
        <f t="shared" si="161"/>
        <v>120/208 AC</v>
      </c>
      <c r="U93" s="274"/>
      <c r="V93" s="140" t="str">
        <f t="shared" si="162"/>
        <v>3+ Return and Earth/
 60A</v>
      </c>
      <c r="W93" s="274"/>
      <c r="X93" s="34">
        <v>1</v>
      </c>
      <c r="Y93" s="34">
        <v>1</v>
      </c>
      <c r="Z93" s="34">
        <v>0</v>
      </c>
      <c r="AA93" s="141" t="s">
        <v>580</v>
      </c>
      <c r="AB93" s="152" t="s">
        <v>581</v>
      </c>
      <c r="AC93" s="34"/>
      <c r="AD93" s="34"/>
      <c r="AE93" s="34"/>
      <c r="AF93" s="34"/>
      <c r="AG93" s="34"/>
      <c r="AH93" s="140" t="str">
        <f t="shared" si="163"/>
        <v>GVV-Concord-WP</v>
      </c>
      <c r="AI93" s="274"/>
      <c r="AJ93" s="140" t="str">
        <f t="shared" si="164"/>
        <v>WP</v>
      </c>
      <c r="AK93" s="274"/>
      <c r="AL93" s="140" t="str">
        <f t="shared" si="165"/>
        <v>Operational</v>
      </c>
      <c r="AM93" s="278"/>
      <c r="AN93" s="140" t="str">
        <f t="shared" si="166"/>
        <v>Toronto</v>
      </c>
      <c r="AO93" s="83" t="s">
        <v>7</v>
      </c>
      <c r="AP93" s="274"/>
      <c r="AQ93" s="140" t="str">
        <f t="shared" si="167"/>
        <v>ECH-24</v>
      </c>
      <c r="AR93" s="307"/>
    </row>
    <row r="94" spans="1:44" s="1" customFormat="1" ht="15.6" thickTop="1" thickBot="1" x14ac:dyDescent="0.35">
      <c r="A94" s="282">
        <f t="shared" ref="A94" si="168">IF(AM94="Operational",1,0)</f>
        <v>1</v>
      </c>
      <c r="B94" s="26" t="str">
        <f>C94</f>
        <v>PeWP 31</v>
      </c>
      <c r="C94" t="s">
        <v>658</v>
      </c>
      <c r="D94" s="29" t="s">
        <v>22</v>
      </c>
      <c r="E94" s="30">
        <v>1</v>
      </c>
      <c r="F94" s="30" t="s">
        <v>14</v>
      </c>
      <c r="G94" s="30">
        <v>1</v>
      </c>
      <c r="H94" s="30">
        <v>1</v>
      </c>
      <c r="I94" s="42" t="s">
        <v>560</v>
      </c>
      <c r="J94" s="81" t="s">
        <v>559</v>
      </c>
      <c r="K94" s="69" t="s">
        <v>558</v>
      </c>
      <c r="L94" s="62">
        <v>1</v>
      </c>
      <c r="M94" s="62" t="str">
        <f t="shared" ref="M94:M101" si="169">IF(L94&gt;=1,"Yes","No")</f>
        <v>Yes</v>
      </c>
      <c r="N94" s="63">
        <v>0</v>
      </c>
      <c r="O94" s="63" t="str">
        <f t="shared" ref="O94:O101" si="170">IF(N94&gt;=1,"Yes","No")</f>
        <v>No</v>
      </c>
      <c r="P94" s="64">
        <v>0</v>
      </c>
      <c r="Q94" s="64" t="str">
        <f t="shared" ref="Q94:Q101" si="171">IF(P94&gt;=1,"Yes","No")</f>
        <v>No</v>
      </c>
      <c r="R94" s="62">
        <v>0</v>
      </c>
      <c r="S94" s="13" t="str">
        <f t="shared" ref="S94:S101" si="172">IF(R94&gt;=1,"Yes","No")</f>
        <v>No</v>
      </c>
      <c r="T94" s="26" t="str">
        <f>U94</f>
        <v>120/208 AC</v>
      </c>
      <c r="U94" s="272" t="s">
        <v>548</v>
      </c>
      <c r="V94" s="135" t="str">
        <f>W94</f>
        <v>3+ Return and Earth/
 60A</v>
      </c>
      <c r="W94" s="276" t="s">
        <v>550</v>
      </c>
      <c r="X94" s="30">
        <v>1</v>
      </c>
      <c r="Y94" s="30">
        <v>1</v>
      </c>
      <c r="Z94" s="30">
        <v>0</v>
      </c>
      <c r="AA94" s="30"/>
      <c r="AB94" s="30"/>
      <c r="AC94" s="30"/>
      <c r="AD94" s="30"/>
      <c r="AE94" s="30"/>
      <c r="AF94" s="30"/>
      <c r="AG94" s="30"/>
      <c r="AH94" s="135" t="str">
        <f>AI94</f>
        <v>GVV-Concord-WP</v>
      </c>
      <c r="AI94" s="272" t="s">
        <v>6</v>
      </c>
      <c r="AJ94" s="135" t="str">
        <f>AK94</f>
        <v>WP</v>
      </c>
      <c r="AK94" s="272" t="s">
        <v>9</v>
      </c>
      <c r="AL94" s="135" t="str">
        <f>AM94</f>
        <v>Operational</v>
      </c>
      <c r="AM94" s="276" t="s">
        <v>5</v>
      </c>
      <c r="AN94" s="135" t="str">
        <f>AO94</f>
        <v>Toronto</v>
      </c>
      <c r="AO94" s="136" t="s">
        <v>7</v>
      </c>
      <c r="AP94" s="272" t="s">
        <v>8</v>
      </c>
      <c r="AQ94" s="135" t="str">
        <f>AR94</f>
        <v>ECH-25</v>
      </c>
      <c r="AR94" s="305" t="s">
        <v>195</v>
      </c>
    </row>
    <row r="95" spans="1:44" s="2" customFormat="1" ht="15.6" thickTop="1" thickBot="1" x14ac:dyDescent="0.35">
      <c r="A95" s="283"/>
      <c r="B95" s="28" t="str">
        <f>B94</f>
        <v>PeWP 31</v>
      </c>
      <c r="C95" t="s">
        <v>658</v>
      </c>
      <c r="D95" s="38" t="s">
        <v>23</v>
      </c>
      <c r="E95" s="39">
        <v>1</v>
      </c>
      <c r="F95" s="39" t="s">
        <v>14</v>
      </c>
      <c r="G95" s="39">
        <v>1</v>
      </c>
      <c r="H95" s="39">
        <v>1</v>
      </c>
      <c r="I95" s="39" t="s">
        <v>560</v>
      </c>
      <c r="J95" s="39" t="s">
        <v>559</v>
      </c>
      <c r="K95" s="69" t="s">
        <v>558</v>
      </c>
      <c r="L95" s="71">
        <v>1</v>
      </c>
      <c r="M95" s="71" t="str">
        <f t="shared" si="169"/>
        <v>Yes</v>
      </c>
      <c r="N95" s="72">
        <v>0</v>
      </c>
      <c r="O95" s="72" t="str">
        <f t="shared" si="170"/>
        <v>No</v>
      </c>
      <c r="P95" s="73">
        <v>0</v>
      </c>
      <c r="Q95" s="73" t="str">
        <f t="shared" si="171"/>
        <v>No</v>
      </c>
      <c r="R95" s="71">
        <v>0</v>
      </c>
      <c r="S95" s="15" t="str">
        <f t="shared" si="172"/>
        <v>No</v>
      </c>
      <c r="T95" s="28" t="str">
        <f>T94</f>
        <v>120/208 AC</v>
      </c>
      <c r="U95" s="273"/>
      <c r="V95" s="140" t="str">
        <f>V94</f>
        <v>3+ Return and Earth/
 60A</v>
      </c>
      <c r="W95" s="273"/>
      <c r="X95" s="39">
        <v>1</v>
      </c>
      <c r="Y95" s="39">
        <v>1</v>
      </c>
      <c r="Z95" s="39">
        <v>0</v>
      </c>
      <c r="AA95" s="39"/>
      <c r="AB95" s="39"/>
      <c r="AC95" s="39"/>
      <c r="AD95" s="39"/>
      <c r="AE95" s="39"/>
      <c r="AF95" s="39"/>
      <c r="AG95" s="39"/>
      <c r="AH95" s="140" t="str">
        <f>AH94</f>
        <v>GVV-Concord-WP</v>
      </c>
      <c r="AI95" s="273"/>
      <c r="AJ95" s="140" t="str">
        <f>AJ94</f>
        <v>WP</v>
      </c>
      <c r="AK95" s="273"/>
      <c r="AL95" s="140" t="str">
        <f>AL94</f>
        <v>Operational</v>
      </c>
      <c r="AM95" s="277"/>
      <c r="AN95" s="140" t="str">
        <f>AN94</f>
        <v>Toronto</v>
      </c>
      <c r="AO95" s="82" t="s">
        <v>7</v>
      </c>
      <c r="AP95" s="273"/>
      <c r="AQ95" s="140" t="str">
        <f>AQ94</f>
        <v>ECH-25</v>
      </c>
      <c r="AR95" s="306"/>
    </row>
    <row r="96" spans="1:44" s="2" customFormat="1" ht="15.6" thickTop="1" thickBot="1" x14ac:dyDescent="0.35">
      <c r="A96" s="283"/>
      <c r="B96" s="28" t="str">
        <f t="shared" ref="B96:B97" si="173">B95</f>
        <v>PeWP 31</v>
      </c>
      <c r="C96" t="s">
        <v>658</v>
      </c>
      <c r="D96" s="38" t="s">
        <v>24</v>
      </c>
      <c r="E96" s="39">
        <v>1</v>
      </c>
      <c r="F96" s="39" t="s">
        <v>14</v>
      </c>
      <c r="G96" s="39">
        <v>1</v>
      </c>
      <c r="H96" s="39">
        <v>1</v>
      </c>
      <c r="I96" s="39" t="s">
        <v>560</v>
      </c>
      <c r="J96" s="39" t="s">
        <v>559</v>
      </c>
      <c r="K96" s="69" t="s">
        <v>558</v>
      </c>
      <c r="L96" s="71">
        <v>1</v>
      </c>
      <c r="M96" s="71" t="str">
        <f t="shared" si="169"/>
        <v>Yes</v>
      </c>
      <c r="N96" s="72">
        <v>0</v>
      </c>
      <c r="O96" s="72" t="str">
        <f t="shared" si="170"/>
        <v>No</v>
      </c>
      <c r="P96" s="73">
        <v>0</v>
      </c>
      <c r="Q96" s="73" t="str">
        <f t="shared" si="171"/>
        <v>No</v>
      </c>
      <c r="R96" s="71">
        <v>0</v>
      </c>
      <c r="S96" s="15" t="str">
        <f t="shared" si="172"/>
        <v>No</v>
      </c>
      <c r="T96" s="28" t="str">
        <f t="shared" ref="T96:T97" si="174">T95</f>
        <v>120/208 AC</v>
      </c>
      <c r="U96" s="273"/>
      <c r="V96" s="140" t="str">
        <f t="shared" ref="V96:V97" si="175">V95</f>
        <v>3+ Return and Earth/
 60A</v>
      </c>
      <c r="W96" s="273"/>
      <c r="X96" s="39">
        <v>1</v>
      </c>
      <c r="Y96" s="39">
        <v>1</v>
      </c>
      <c r="Z96" s="39">
        <v>0</v>
      </c>
      <c r="AA96" s="39"/>
      <c r="AB96" s="39"/>
      <c r="AC96" s="39"/>
      <c r="AD96" s="39"/>
      <c r="AE96" s="39"/>
      <c r="AF96" s="39"/>
      <c r="AG96" s="39"/>
      <c r="AH96" s="140" t="str">
        <f t="shared" ref="AH96:AH97" si="176">AH95</f>
        <v>GVV-Concord-WP</v>
      </c>
      <c r="AI96" s="273"/>
      <c r="AJ96" s="140" t="str">
        <f t="shared" ref="AJ96:AJ97" si="177">AJ95</f>
        <v>WP</v>
      </c>
      <c r="AK96" s="273"/>
      <c r="AL96" s="140" t="str">
        <f t="shared" ref="AL96:AL97" si="178">AL95</f>
        <v>Operational</v>
      </c>
      <c r="AM96" s="277"/>
      <c r="AN96" s="140" t="str">
        <f t="shared" ref="AN96:AN97" si="179">AN95</f>
        <v>Toronto</v>
      </c>
      <c r="AO96" s="82" t="s">
        <v>7</v>
      </c>
      <c r="AP96" s="273"/>
      <c r="AQ96" s="140" t="str">
        <f t="shared" ref="AQ96:AQ97" si="180">AQ95</f>
        <v>ECH-25</v>
      </c>
      <c r="AR96" s="306"/>
    </row>
    <row r="97" spans="1:44" s="3" customFormat="1" ht="15.6" thickTop="1" thickBot="1" x14ac:dyDescent="0.35">
      <c r="A97" s="284"/>
      <c r="B97" s="28" t="str">
        <f t="shared" si="173"/>
        <v>PeWP 31</v>
      </c>
      <c r="C97" t="s">
        <v>658</v>
      </c>
      <c r="D97" s="33" t="s">
        <v>25</v>
      </c>
      <c r="E97" s="34">
        <v>1</v>
      </c>
      <c r="F97" s="34" t="s">
        <v>14</v>
      </c>
      <c r="G97" s="34">
        <v>1</v>
      </c>
      <c r="H97" s="34">
        <v>1</v>
      </c>
      <c r="I97" s="39" t="s">
        <v>560</v>
      </c>
      <c r="J97" s="39" t="s">
        <v>559</v>
      </c>
      <c r="K97" s="69" t="s">
        <v>558</v>
      </c>
      <c r="L97" s="66">
        <v>1</v>
      </c>
      <c r="M97" s="66" t="str">
        <f t="shared" si="169"/>
        <v>Yes</v>
      </c>
      <c r="N97" s="67">
        <v>0</v>
      </c>
      <c r="O97" s="67" t="str">
        <f t="shared" si="170"/>
        <v>No</v>
      </c>
      <c r="P97" s="68">
        <v>0</v>
      </c>
      <c r="Q97" s="68" t="str">
        <f t="shared" si="171"/>
        <v>No</v>
      </c>
      <c r="R97" s="66">
        <v>0</v>
      </c>
      <c r="S97" s="14" t="str">
        <f t="shared" si="172"/>
        <v>No</v>
      </c>
      <c r="T97" s="28" t="str">
        <f t="shared" si="174"/>
        <v>120/208 AC</v>
      </c>
      <c r="U97" s="274"/>
      <c r="V97" s="140" t="str">
        <f t="shared" si="175"/>
        <v>3+ Return and Earth/
 60A</v>
      </c>
      <c r="W97" s="274"/>
      <c r="X97" s="34">
        <v>1</v>
      </c>
      <c r="Y97" s="34">
        <v>1</v>
      </c>
      <c r="Z97" s="34">
        <v>0</v>
      </c>
      <c r="AA97" s="34"/>
      <c r="AB97" s="34"/>
      <c r="AC97" s="34"/>
      <c r="AD97" s="34"/>
      <c r="AE97" s="34"/>
      <c r="AF97" s="34"/>
      <c r="AG97" s="34"/>
      <c r="AH97" s="140" t="str">
        <f t="shared" si="176"/>
        <v>GVV-Concord-WP</v>
      </c>
      <c r="AI97" s="274"/>
      <c r="AJ97" s="140" t="str">
        <f t="shared" si="177"/>
        <v>WP</v>
      </c>
      <c r="AK97" s="274"/>
      <c r="AL97" s="140" t="str">
        <f t="shared" si="178"/>
        <v>Operational</v>
      </c>
      <c r="AM97" s="278"/>
      <c r="AN97" s="140" t="str">
        <f t="shared" si="179"/>
        <v>Toronto</v>
      </c>
      <c r="AO97" s="83" t="s">
        <v>7</v>
      </c>
      <c r="AP97" s="274"/>
      <c r="AQ97" s="140" t="str">
        <f t="shared" si="180"/>
        <v>ECH-25</v>
      </c>
      <c r="AR97" s="307"/>
    </row>
    <row r="98" spans="1:44" s="1" customFormat="1" ht="15.6" thickTop="1" thickBot="1" x14ac:dyDescent="0.35">
      <c r="A98" s="282">
        <f t="shared" ref="A98" si="181">IF(AM98="Operational",1,0)</f>
        <v>1</v>
      </c>
      <c r="B98" s="26" t="str">
        <f>C98</f>
        <v>PeWP 32</v>
      </c>
      <c r="C98" t="s">
        <v>659</v>
      </c>
      <c r="D98" s="29" t="s">
        <v>22</v>
      </c>
      <c r="E98" s="30">
        <v>1</v>
      </c>
      <c r="F98" s="30" t="s">
        <v>14</v>
      </c>
      <c r="G98" s="30">
        <v>1</v>
      </c>
      <c r="H98" s="30">
        <v>1</v>
      </c>
      <c r="I98" s="42" t="s">
        <v>560</v>
      </c>
      <c r="J98" s="81" t="s">
        <v>559</v>
      </c>
      <c r="K98" s="69" t="s">
        <v>558</v>
      </c>
      <c r="L98" s="62">
        <v>1</v>
      </c>
      <c r="M98" s="62" t="str">
        <f t="shared" si="169"/>
        <v>Yes</v>
      </c>
      <c r="N98" s="63">
        <v>0</v>
      </c>
      <c r="O98" s="63" t="str">
        <f t="shared" si="170"/>
        <v>No</v>
      </c>
      <c r="P98" s="64">
        <v>0</v>
      </c>
      <c r="Q98" s="64" t="str">
        <f t="shared" si="171"/>
        <v>No</v>
      </c>
      <c r="R98" s="62">
        <v>0</v>
      </c>
      <c r="S98" s="13" t="str">
        <f t="shared" si="172"/>
        <v>No</v>
      </c>
      <c r="T98" s="26" t="str">
        <f>U98</f>
        <v>120/208 AC</v>
      </c>
      <c r="U98" s="272" t="s">
        <v>548</v>
      </c>
      <c r="V98" s="135" t="str">
        <f>W98</f>
        <v>3+ Return and Earth/
 60A</v>
      </c>
      <c r="W98" s="276" t="s">
        <v>550</v>
      </c>
      <c r="X98" s="30">
        <v>1</v>
      </c>
      <c r="Y98" s="30">
        <v>0</v>
      </c>
      <c r="Z98" s="30">
        <v>0</v>
      </c>
      <c r="AA98" s="30"/>
      <c r="AB98" s="30"/>
      <c r="AC98" s="30"/>
      <c r="AD98" s="30"/>
      <c r="AE98" s="30"/>
      <c r="AF98" s="30"/>
      <c r="AG98" s="30"/>
      <c r="AH98" s="135" t="str">
        <f>AI98</f>
        <v>GVV-Concord-WP</v>
      </c>
      <c r="AI98" s="272" t="s">
        <v>6</v>
      </c>
      <c r="AJ98" s="135" t="str">
        <f>AK98</f>
        <v>WP</v>
      </c>
      <c r="AK98" s="272" t="s">
        <v>9</v>
      </c>
      <c r="AL98" s="135" t="str">
        <f>AM98</f>
        <v>Operational</v>
      </c>
      <c r="AM98" s="276" t="s">
        <v>5</v>
      </c>
      <c r="AN98" s="135" t="str">
        <f>AO98</f>
        <v>Toronto</v>
      </c>
      <c r="AO98" s="136" t="s">
        <v>7</v>
      </c>
      <c r="AP98" s="272" t="s">
        <v>8</v>
      </c>
      <c r="AQ98" s="135" t="str">
        <f>AR98</f>
        <v>NA</v>
      </c>
      <c r="AR98" s="305" t="s">
        <v>400</v>
      </c>
    </row>
    <row r="99" spans="1:44" s="2" customFormat="1" ht="15.6" thickTop="1" thickBot="1" x14ac:dyDescent="0.35">
      <c r="A99" s="283"/>
      <c r="B99" s="28" t="str">
        <f>B98</f>
        <v>PeWP 32</v>
      </c>
      <c r="C99" t="s">
        <v>659</v>
      </c>
      <c r="D99" s="38" t="s">
        <v>23</v>
      </c>
      <c r="E99" s="39">
        <v>1</v>
      </c>
      <c r="F99" s="39" t="s">
        <v>14</v>
      </c>
      <c r="G99" s="39">
        <v>1</v>
      </c>
      <c r="H99" s="39">
        <v>1</v>
      </c>
      <c r="I99" s="39" t="s">
        <v>560</v>
      </c>
      <c r="J99" s="39" t="s">
        <v>559</v>
      </c>
      <c r="K99" s="69" t="s">
        <v>558</v>
      </c>
      <c r="L99" s="71">
        <v>1</v>
      </c>
      <c r="M99" s="71" t="str">
        <f t="shared" si="169"/>
        <v>Yes</v>
      </c>
      <c r="N99" s="72">
        <v>0</v>
      </c>
      <c r="O99" s="72" t="str">
        <f t="shared" si="170"/>
        <v>No</v>
      </c>
      <c r="P99" s="73">
        <v>0</v>
      </c>
      <c r="Q99" s="73" t="str">
        <f t="shared" si="171"/>
        <v>No</v>
      </c>
      <c r="R99" s="71">
        <v>0</v>
      </c>
      <c r="S99" s="15" t="str">
        <f t="shared" si="172"/>
        <v>No</v>
      </c>
      <c r="T99" s="28" t="str">
        <f>T98</f>
        <v>120/208 AC</v>
      </c>
      <c r="U99" s="273"/>
      <c r="V99" s="140" t="str">
        <f>V98</f>
        <v>3+ Return and Earth/
 60A</v>
      </c>
      <c r="W99" s="273"/>
      <c r="X99" s="39">
        <v>1</v>
      </c>
      <c r="Y99" s="39">
        <v>0</v>
      </c>
      <c r="Z99" s="39">
        <v>0</v>
      </c>
      <c r="AA99" s="39"/>
      <c r="AB99" s="39"/>
      <c r="AC99" s="39"/>
      <c r="AD99" s="39"/>
      <c r="AE99" s="39"/>
      <c r="AF99" s="39"/>
      <c r="AG99" s="39"/>
      <c r="AH99" s="140" t="str">
        <f>AH98</f>
        <v>GVV-Concord-WP</v>
      </c>
      <c r="AI99" s="273"/>
      <c r="AJ99" s="140" t="str">
        <f>AJ98</f>
        <v>WP</v>
      </c>
      <c r="AK99" s="273"/>
      <c r="AL99" s="140" t="str">
        <f>AL98</f>
        <v>Operational</v>
      </c>
      <c r="AM99" s="277"/>
      <c r="AN99" s="140" t="str">
        <f>AN98</f>
        <v>Toronto</v>
      </c>
      <c r="AO99" s="82" t="s">
        <v>7</v>
      </c>
      <c r="AP99" s="273"/>
      <c r="AQ99" s="140" t="str">
        <f>AQ98</f>
        <v>NA</v>
      </c>
      <c r="AR99" s="306"/>
    </row>
    <row r="100" spans="1:44" s="2" customFormat="1" ht="15.6" thickTop="1" thickBot="1" x14ac:dyDescent="0.35">
      <c r="A100" s="283"/>
      <c r="B100" s="28" t="str">
        <f t="shared" ref="B100:B101" si="182">B99</f>
        <v>PeWP 32</v>
      </c>
      <c r="C100" t="s">
        <v>659</v>
      </c>
      <c r="D100" s="38" t="s">
        <v>24</v>
      </c>
      <c r="E100" s="39">
        <v>1</v>
      </c>
      <c r="F100" s="39" t="s">
        <v>14</v>
      </c>
      <c r="G100" s="39">
        <v>1</v>
      </c>
      <c r="H100" s="39">
        <v>1</v>
      </c>
      <c r="I100" s="39" t="s">
        <v>560</v>
      </c>
      <c r="J100" s="39" t="s">
        <v>559</v>
      </c>
      <c r="K100" s="69" t="s">
        <v>558</v>
      </c>
      <c r="L100" s="71">
        <v>1</v>
      </c>
      <c r="M100" s="71" t="str">
        <f t="shared" si="169"/>
        <v>Yes</v>
      </c>
      <c r="N100" s="72">
        <v>0</v>
      </c>
      <c r="O100" s="72" t="str">
        <f t="shared" si="170"/>
        <v>No</v>
      </c>
      <c r="P100" s="73">
        <v>0</v>
      </c>
      <c r="Q100" s="73" t="str">
        <f t="shared" si="171"/>
        <v>No</v>
      </c>
      <c r="R100" s="71">
        <v>0</v>
      </c>
      <c r="S100" s="15" t="str">
        <f t="shared" si="172"/>
        <v>No</v>
      </c>
      <c r="T100" s="28" t="str">
        <f t="shared" ref="T100:T101" si="183">T99</f>
        <v>120/208 AC</v>
      </c>
      <c r="U100" s="273"/>
      <c r="V100" s="140" t="str">
        <f t="shared" ref="V100:V101" si="184">V99</f>
        <v>3+ Return and Earth/
 60A</v>
      </c>
      <c r="W100" s="273"/>
      <c r="X100" s="39">
        <v>1</v>
      </c>
      <c r="Y100" s="39">
        <v>0</v>
      </c>
      <c r="Z100" s="39">
        <v>0</v>
      </c>
      <c r="AA100" s="39"/>
      <c r="AB100" s="39"/>
      <c r="AC100" s="39"/>
      <c r="AD100" s="39"/>
      <c r="AE100" s="39"/>
      <c r="AF100" s="39"/>
      <c r="AG100" s="39"/>
      <c r="AH100" s="140" t="str">
        <f t="shared" ref="AH100:AH101" si="185">AH99</f>
        <v>GVV-Concord-WP</v>
      </c>
      <c r="AI100" s="273"/>
      <c r="AJ100" s="140" t="str">
        <f t="shared" ref="AJ100:AJ101" si="186">AJ99</f>
        <v>WP</v>
      </c>
      <c r="AK100" s="273"/>
      <c r="AL100" s="140" t="str">
        <f t="shared" ref="AL100:AL101" si="187">AL99</f>
        <v>Operational</v>
      </c>
      <c r="AM100" s="277"/>
      <c r="AN100" s="140" t="str">
        <f t="shared" ref="AN100:AN101" si="188">AN99</f>
        <v>Toronto</v>
      </c>
      <c r="AO100" s="82" t="s">
        <v>7</v>
      </c>
      <c r="AP100" s="273"/>
      <c r="AQ100" s="140" t="str">
        <f t="shared" ref="AQ100:AQ101" si="189">AQ99</f>
        <v>NA</v>
      </c>
      <c r="AR100" s="306"/>
    </row>
    <row r="101" spans="1:44" s="3" customFormat="1" ht="15.6" thickTop="1" thickBot="1" x14ac:dyDescent="0.35">
      <c r="A101" s="284"/>
      <c r="B101" s="28" t="str">
        <f t="shared" si="182"/>
        <v>PeWP 32</v>
      </c>
      <c r="C101" t="s">
        <v>659</v>
      </c>
      <c r="D101" s="33" t="s">
        <v>25</v>
      </c>
      <c r="E101" s="34">
        <v>1</v>
      </c>
      <c r="F101" s="34" t="s">
        <v>14</v>
      </c>
      <c r="G101" s="34">
        <v>1</v>
      </c>
      <c r="H101" s="34">
        <v>1</v>
      </c>
      <c r="I101" s="39" t="s">
        <v>560</v>
      </c>
      <c r="J101" s="39" t="s">
        <v>559</v>
      </c>
      <c r="K101" s="69" t="s">
        <v>558</v>
      </c>
      <c r="L101" s="66">
        <v>1</v>
      </c>
      <c r="M101" s="66" t="str">
        <f t="shared" si="169"/>
        <v>Yes</v>
      </c>
      <c r="N101" s="67">
        <v>0</v>
      </c>
      <c r="O101" s="67" t="str">
        <f t="shared" si="170"/>
        <v>No</v>
      </c>
      <c r="P101" s="68">
        <v>0</v>
      </c>
      <c r="Q101" s="68" t="str">
        <f t="shared" si="171"/>
        <v>No</v>
      </c>
      <c r="R101" s="66">
        <v>0</v>
      </c>
      <c r="S101" s="14" t="str">
        <f t="shared" si="172"/>
        <v>No</v>
      </c>
      <c r="T101" s="28" t="str">
        <f t="shared" si="183"/>
        <v>120/208 AC</v>
      </c>
      <c r="U101" s="274"/>
      <c r="V101" s="140" t="str">
        <f t="shared" si="184"/>
        <v>3+ Return and Earth/
 60A</v>
      </c>
      <c r="W101" s="274"/>
      <c r="X101" s="34">
        <v>1</v>
      </c>
      <c r="Y101" s="34">
        <v>0</v>
      </c>
      <c r="Z101" s="34">
        <v>0</v>
      </c>
      <c r="AA101" s="34"/>
      <c r="AB101" s="34"/>
      <c r="AC101" s="34"/>
      <c r="AD101" s="34"/>
      <c r="AE101" s="34"/>
      <c r="AF101" s="34"/>
      <c r="AG101" s="34"/>
      <c r="AH101" s="140" t="str">
        <f t="shared" si="185"/>
        <v>GVV-Concord-WP</v>
      </c>
      <c r="AI101" s="274"/>
      <c r="AJ101" s="140" t="str">
        <f t="shared" si="186"/>
        <v>WP</v>
      </c>
      <c r="AK101" s="274"/>
      <c r="AL101" s="140" t="str">
        <f t="shared" si="187"/>
        <v>Operational</v>
      </c>
      <c r="AM101" s="278"/>
      <c r="AN101" s="140" t="str">
        <f t="shared" si="188"/>
        <v>Toronto</v>
      </c>
      <c r="AO101" s="83" t="s">
        <v>7</v>
      </c>
      <c r="AP101" s="274"/>
      <c r="AQ101" s="140" t="str">
        <f t="shared" si="189"/>
        <v>NA</v>
      </c>
      <c r="AR101" s="307"/>
    </row>
    <row r="102" spans="1:44" s="1" customFormat="1" ht="15" thickTop="1" x14ac:dyDescent="0.3">
      <c r="A102" s="282">
        <f t="shared" si="128"/>
        <v>1</v>
      </c>
      <c r="B102" s="26" t="str">
        <f>C102</f>
        <v>Med Aux 01</v>
      </c>
      <c r="C102" s="271" t="s">
        <v>660</v>
      </c>
      <c r="D102" s="29" t="s">
        <v>22</v>
      </c>
      <c r="E102" s="30">
        <v>1</v>
      </c>
      <c r="F102" s="30" t="s">
        <v>14</v>
      </c>
      <c r="G102" s="30">
        <v>0</v>
      </c>
      <c r="H102" s="30">
        <v>1</v>
      </c>
      <c r="I102" s="32"/>
      <c r="J102" s="37" t="s">
        <v>75</v>
      </c>
      <c r="K102" s="69" t="s">
        <v>163</v>
      </c>
      <c r="L102" s="62">
        <v>0</v>
      </c>
      <c r="M102" s="62" t="str">
        <f t="shared" si="1"/>
        <v>No</v>
      </c>
      <c r="N102" s="63">
        <v>1</v>
      </c>
      <c r="O102" s="63" t="str">
        <f t="shared" si="2"/>
        <v>Yes</v>
      </c>
      <c r="P102" s="64">
        <v>0</v>
      </c>
      <c r="Q102" s="64" t="str">
        <f t="shared" si="3"/>
        <v>No</v>
      </c>
      <c r="R102" s="62">
        <v>0</v>
      </c>
      <c r="S102" s="13" t="str">
        <f t="shared" si="4"/>
        <v>No</v>
      </c>
      <c r="T102" s="26" t="str">
        <f>U102</f>
        <v>120/208 AC</v>
      </c>
      <c r="U102" s="272" t="s">
        <v>548</v>
      </c>
      <c r="V102" s="135" t="str">
        <f>W102</f>
        <v>3+ Return and Earth</v>
      </c>
      <c r="W102" s="276" t="s">
        <v>547</v>
      </c>
      <c r="X102" s="30">
        <v>1</v>
      </c>
      <c r="Y102" s="30">
        <v>0</v>
      </c>
      <c r="Z102" s="30">
        <v>0</v>
      </c>
      <c r="AA102" s="204" t="s">
        <v>331</v>
      </c>
      <c r="AB102" s="151" t="s">
        <v>332</v>
      </c>
      <c r="AC102" s="30"/>
      <c r="AD102" s="158" t="s">
        <v>347</v>
      </c>
      <c r="AE102" s="191" t="s">
        <v>421</v>
      </c>
      <c r="AF102" s="192" t="s">
        <v>464</v>
      </c>
      <c r="AG102" s="30"/>
      <c r="AH102" s="135" t="str">
        <f>AI102</f>
        <v>GVV-Concord-WP</v>
      </c>
      <c r="AI102" s="272" t="s">
        <v>6</v>
      </c>
      <c r="AJ102" s="135" t="str">
        <f>AK102</f>
        <v>WP</v>
      </c>
      <c r="AK102" s="276" t="s">
        <v>9</v>
      </c>
      <c r="AL102" s="135" t="str">
        <f>AM102</f>
        <v>Operational</v>
      </c>
      <c r="AM102" s="276" t="s">
        <v>5</v>
      </c>
      <c r="AN102" s="135" t="str">
        <f>AO102</f>
        <v>Toronto</v>
      </c>
      <c r="AO102" s="159" t="s">
        <v>7</v>
      </c>
      <c r="AP102" s="276" t="s">
        <v>8</v>
      </c>
      <c r="AQ102" s="135" t="str">
        <f>AR102</f>
        <v>ECH-27</v>
      </c>
      <c r="AR102" s="305" t="s">
        <v>197</v>
      </c>
    </row>
    <row r="103" spans="1:44" s="2" customFormat="1" x14ac:dyDescent="0.3">
      <c r="A103" s="283"/>
      <c r="B103" s="28" t="str">
        <f>B102</f>
        <v>Med Aux 01</v>
      </c>
      <c r="C103" s="271" t="s">
        <v>660</v>
      </c>
      <c r="D103" s="38" t="s">
        <v>23</v>
      </c>
      <c r="E103" s="39">
        <v>1</v>
      </c>
      <c r="F103" s="39" t="s">
        <v>14</v>
      </c>
      <c r="G103" s="39">
        <v>0</v>
      </c>
      <c r="H103" s="39">
        <v>1</v>
      </c>
      <c r="I103" s="47"/>
      <c r="J103" s="40" t="s">
        <v>75</v>
      </c>
      <c r="K103" s="70" t="s">
        <v>163</v>
      </c>
      <c r="L103" s="71">
        <v>0</v>
      </c>
      <c r="M103" s="71" t="str">
        <f t="shared" si="1"/>
        <v>No</v>
      </c>
      <c r="N103" s="72">
        <v>1</v>
      </c>
      <c r="O103" s="72" t="str">
        <f t="shared" si="2"/>
        <v>Yes</v>
      </c>
      <c r="P103" s="73">
        <v>0</v>
      </c>
      <c r="Q103" s="73" t="str">
        <f t="shared" si="3"/>
        <v>No</v>
      </c>
      <c r="R103" s="71">
        <v>0</v>
      </c>
      <c r="S103" s="15" t="str">
        <f t="shared" si="4"/>
        <v>No</v>
      </c>
      <c r="T103" s="28" t="str">
        <f>T102</f>
        <v>120/208 AC</v>
      </c>
      <c r="U103" s="273"/>
      <c r="V103" s="140" t="str">
        <f>V102</f>
        <v>3+ Return and Earth</v>
      </c>
      <c r="W103" s="273"/>
      <c r="X103" s="39">
        <v>1</v>
      </c>
      <c r="Y103" s="39">
        <v>0</v>
      </c>
      <c r="Z103" s="39">
        <v>0</v>
      </c>
      <c r="AA103" s="205" t="s">
        <v>213</v>
      </c>
      <c r="AB103" s="152" t="s">
        <v>333</v>
      </c>
      <c r="AC103" s="39"/>
      <c r="AD103" s="39"/>
      <c r="AE103" s="39"/>
      <c r="AF103" s="39"/>
      <c r="AG103" s="39"/>
      <c r="AH103" s="140" t="str">
        <f>AH102</f>
        <v>GVV-Concord-WP</v>
      </c>
      <c r="AI103" s="273"/>
      <c r="AJ103" s="140" t="str">
        <f>AJ102</f>
        <v>WP</v>
      </c>
      <c r="AK103" s="277"/>
      <c r="AL103" s="140" t="str">
        <f>AL102</f>
        <v>Operational</v>
      </c>
      <c r="AM103" s="277"/>
      <c r="AN103" s="140" t="str">
        <f>AN102</f>
        <v>Toronto</v>
      </c>
      <c r="AO103" s="160" t="s">
        <v>7</v>
      </c>
      <c r="AP103" s="277"/>
      <c r="AQ103" s="140" t="str">
        <f>AQ102</f>
        <v>ECH-27</v>
      </c>
      <c r="AR103" s="306"/>
    </row>
    <row r="104" spans="1:44" s="2" customFormat="1" x14ac:dyDescent="0.3">
      <c r="A104" s="283"/>
      <c r="B104" s="28" t="str">
        <f t="shared" ref="B104:B105" si="190">B103</f>
        <v>Med Aux 01</v>
      </c>
      <c r="C104" s="271" t="s">
        <v>660</v>
      </c>
      <c r="D104" s="38" t="s">
        <v>24</v>
      </c>
      <c r="E104" s="39">
        <v>1</v>
      </c>
      <c r="F104" s="39" t="s">
        <v>14</v>
      </c>
      <c r="G104" s="39">
        <v>0</v>
      </c>
      <c r="H104" s="39">
        <v>1</v>
      </c>
      <c r="I104" s="47"/>
      <c r="J104" s="40" t="s">
        <v>75</v>
      </c>
      <c r="K104" s="70" t="s">
        <v>163</v>
      </c>
      <c r="L104" s="71">
        <v>0</v>
      </c>
      <c r="M104" s="71" t="str">
        <f t="shared" si="1"/>
        <v>No</v>
      </c>
      <c r="N104" s="72">
        <v>1</v>
      </c>
      <c r="O104" s="72" t="str">
        <f t="shared" si="2"/>
        <v>Yes</v>
      </c>
      <c r="P104" s="73">
        <v>0</v>
      </c>
      <c r="Q104" s="73" t="str">
        <f t="shared" si="3"/>
        <v>No</v>
      </c>
      <c r="R104" s="71">
        <v>0</v>
      </c>
      <c r="S104" s="15" t="str">
        <f t="shared" si="4"/>
        <v>No</v>
      </c>
      <c r="T104" s="28" t="str">
        <f t="shared" ref="T104:T105" si="191">T103</f>
        <v>120/208 AC</v>
      </c>
      <c r="U104" s="273"/>
      <c r="V104" s="140" t="str">
        <f t="shared" ref="V104:V105" si="192">V103</f>
        <v>3+ Return and Earth</v>
      </c>
      <c r="W104" s="273"/>
      <c r="X104" s="39">
        <v>1</v>
      </c>
      <c r="Y104" s="39">
        <v>0</v>
      </c>
      <c r="Z104" s="39">
        <v>0</v>
      </c>
      <c r="AA104" s="205" t="s">
        <v>334</v>
      </c>
      <c r="AB104" s="152" t="s">
        <v>335</v>
      </c>
      <c r="AC104" s="39"/>
      <c r="AD104" s="39"/>
      <c r="AE104" s="39"/>
      <c r="AF104" s="39"/>
      <c r="AG104" s="39"/>
      <c r="AH104" s="140" t="str">
        <f t="shared" ref="AH104:AH105" si="193">AH103</f>
        <v>GVV-Concord-WP</v>
      </c>
      <c r="AI104" s="273"/>
      <c r="AJ104" s="140" t="str">
        <f t="shared" ref="AJ104:AJ105" si="194">AJ103</f>
        <v>WP</v>
      </c>
      <c r="AK104" s="277"/>
      <c r="AL104" s="140" t="str">
        <f t="shared" ref="AL104:AL105" si="195">AL103</f>
        <v>Operational</v>
      </c>
      <c r="AM104" s="277"/>
      <c r="AN104" s="140" t="str">
        <f t="shared" ref="AN104:AN105" si="196">AN103</f>
        <v>Toronto</v>
      </c>
      <c r="AO104" s="160" t="s">
        <v>7</v>
      </c>
      <c r="AP104" s="277"/>
      <c r="AQ104" s="140" t="str">
        <f t="shared" ref="AQ104:AQ105" si="197">AQ103</f>
        <v>ECH-27</v>
      </c>
      <c r="AR104" s="306"/>
    </row>
    <row r="105" spans="1:44" s="3" customFormat="1" ht="15" thickBot="1" x14ac:dyDescent="0.35">
      <c r="A105" s="284"/>
      <c r="B105" s="28" t="str">
        <f t="shared" si="190"/>
        <v>Med Aux 01</v>
      </c>
      <c r="C105" s="271" t="s">
        <v>660</v>
      </c>
      <c r="D105" s="33" t="s">
        <v>25</v>
      </c>
      <c r="E105" s="34">
        <v>1</v>
      </c>
      <c r="F105" s="34" t="s">
        <v>14</v>
      </c>
      <c r="G105" s="34">
        <v>0</v>
      </c>
      <c r="H105" s="34">
        <v>1</v>
      </c>
      <c r="I105" s="36"/>
      <c r="J105" s="41" t="s">
        <v>75</v>
      </c>
      <c r="K105" s="70" t="s">
        <v>163</v>
      </c>
      <c r="L105" s="66">
        <v>0</v>
      </c>
      <c r="M105" s="84" t="str">
        <f t="shared" ref="M105:M177" si="198">IF(L105&gt;=1,"Yes","No")</f>
        <v>No</v>
      </c>
      <c r="N105" s="72">
        <v>1</v>
      </c>
      <c r="O105" s="85" t="str">
        <f t="shared" ref="O105:O177" si="199">IF(N105&gt;=1,"Yes","No")</f>
        <v>Yes</v>
      </c>
      <c r="P105" s="68">
        <v>0</v>
      </c>
      <c r="Q105" s="68" t="str">
        <f t="shared" ref="Q105:Q177" si="200">IF(P105&gt;=1,"Yes","No")</f>
        <v>No</v>
      </c>
      <c r="R105" s="66">
        <v>0</v>
      </c>
      <c r="S105" s="14" t="str">
        <f t="shared" ref="S105:S177" si="201">IF(R105&gt;=1,"Yes","No")</f>
        <v>No</v>
      </c>
      <c r="T105" s="28" t="str">
        <f t="shared" si="191"/>
        <v>120/208 AC</v>
      </c>
      <c r="U105" s="274"/>
      <c r="V105" s="140" t="str">
        <f t="shared" si="192"/>
        <v>3+ Return and Earth</v>
      </c>
      <c r="W105" s="274"/>
      <c r="X105" s="39">
        <v>1</v>
      </c>
      <c r="Y105" s="49">
        <v>0</v>
      </c>
      <c r="Z105" s="49">
        <v>0</v>
      </c>
      <c r="AA105" s="206" t="s">
        <v>336</v>
      </c>
      <c r="AB105" s="161" t="s">
        <v>337</v>
      </c>
      <c r="AC105" s="49"/>
      <c r="AD105" s="49"/>
      <c r="AE105" s="49"/>
      <c r="AF105" s="49"/>
      <c r="AG105" s="49"/>
      <c r="AH105" s="140" t="str">
        <f t="shared" si="193"/>
        <v>GVV-Concord-WP</v>
      </c>
      <c r="AI105" s="274"/>
      <c r="AJ105" s="140" t="str">
        <f t="shared" si="194"/>
        <v>WP</v>
      </c>
      <c r="AK105" s="302"/>
      <c r="AL105" s="140" t="str">
        <f t="shared" si="195"/>
        <v>Operational</v>
      </c>
      <c r="AM105" s="302"/>
      <c r="AN105" s="140" t="str">
        <f t="shared" si="196"/>
        <v>Toronto</v>
      </c>
      <c r="AO105" s="162" t="s">
        <v>7</v>
      </c>
      <c r="AP105" s="302"/>
      <c r="AQ105" s="140" t="str">
        <f t="shared" si="197"/>
        <v>ECH-27</v>
      </c>
      <c r="AR105" s="307"/>
    </row>
    <row r="106" spans="1:44" s="1" customFormat="1" ht="15" thickTop="1" x14ac:dyDescent="0.3">
      <c r="A106" s="293">
        <f t="shared" si="128"/>
        <v>1</v>
      </c>
      <c r="B106" s="26" t="str">
        <f>C106</f>
        <v>Med Aux 02</v>
      </c>
      <c r="C106" s="271" t="s">
        <v>661</v>
      </c>
      <c r="D106" s="29" t="s">
        <v>22</v>
      </c>
      <c r="E106" s="30">
        <v>1</v>
      </c>
      <c r="F106" s="30" t="s">
        <v>14</v>
      </c>
      <c r="G106" s="30">
        <v>0</v>
      </c>
      <c r="H106" s="30">
        <v>1</v>
      </c>
      <c r="I106" s="42"/>
      <c r="J106" s="42" t="s">
        <v>75</v>
      </c>
      <c r="K106" s="69" t="s">
        <v>163</v>
      </c>
      <c r="L106" s="62">
        <v>0</v>
      </c>
      <c r="M106" s="62" t="str">
        <f t="shared" si="198"/>
        <v>No</v>
      </c>
      <c r="N106" s="63">
        <v>1</v>
      </c>
      <c r="O106" s="63" t="str">
        <f t="shared" si="199"/>
        <v>Yes</v>
      </c>
      <c r="P106" s="64">
        <v>0</v>
      </c>
      <c r="Q106" s="64" t="str">
        <f t="shared" si="200"/>
        <v>No</v>
      </c>
      <c r="R106" s="62">
        <v>0</v>
      </c>
      <c r="S106" s="13" t="str">
        <f t="shared" si="201"/>
        <v>No</v>
      </c>
      <c r="T106" s="26" t="str">
        <f>U106</f>
        <v>120/208 AC</v>
      </c>
      <c r="U106" s="272" t="s">
        <v>548</v>
      </c>
      <c r="V106" s="135" t="str">
        <f>W106</f>
        <v>3+ Return and Earth</v>
      </c>
      <c r="W106" s="276" t="s">
        <v>547</v>
      </c>
      <c r="X106" s="30">
        <v>1</v>
      </c>
      <c r="Y106" s="30">
        <v>0</v>
      </c>
      <c r="Z106" s="46">
        <v>0</v>
      </c>
      <c r="AA106" s="207" t="s">
        <v>339</v>
      </c>
      <c r="AB106" s="163" t="s">
        <v>340</v>
      </c>
      <c r="AC106" s="30"/>
      <c r="AD106" s="164" t="s">
        <v>338</v>
      </c>
      <c r="AE106" s="191" t="s">
        <v>421</v>
      </c>
      <c r="AF106" s="192" t="s">
        <v>465</v>
      </c>
      <c r="AG106" s="30"/>
      <c r="AH106" s="135" t="str">
        <f>AI106</f>
        <v>GVV-Concord-WP</v>
      </c>
      <c r="AI106" s="272" t="s">
        <v>6</v>
      </c>
      <c r="AJ106" s="135" t="str">
        <f>AK106</f>
        <v>WP</v>
      </c>
      <c r="AK106" s="275" t="s">
        <v>9</v>
      </c>
      <c r="AL106" s="135" t="str">
        <f>AM106</f>
        <v>Operational</v>
      </c>
      <c r="AM106" s="289" t="s">
        <v>5</v>
      </c>
      <c r="AN106" s="135" t="str">
        <f>AO106</f>
        <v>Toronto</v>
      </c>
      <c r="AO106" s="49" t="s">
        <v>7</v>
      </c>
      <c r="AP106" s="275" t="s">
        <v>8</v>
      </c>
      <c r="AQ106" s="135" t="str">
        <f>AR106</f>
        <v>ECH-13</v>
      </c>
      <c r="AR106" s="305" t="s">
        <v>185</v>
      </c>
    </row>
    <row r="107" spans="1:44" s="2" customFormat="1" x14ac:dyDescent="0.3">
      <c r="A107" s="294"/>
      <c r="B107" s="28" t="str">
        <f>B106</f>
        <v>Med Aux 02</v>
      </c>
      <c r="C107" s="271" t="s">
        <v>661</v>
      </c>
      <c r="D107" s="38" t="s">
        <v>23</v>
      </c>
      <c r="E107" s="39">
        <v>1</v>
      </c>
      <c r="F107" s="39" t="s">
        <v>14</v>
      </c>
      <c r="G107" s="39">
        <v>0</v>
      </c>
      <c r="H107" s="39">
        <v>1</v>
      </c>
      <c r="I107" s="43"/>
      <c r="J107" s="43" t="s">
        <v>75</v>
      </c>
      <c r="K107" s="70" t="s">
        <v>163</v>
      </c>
      <c r="L107" s="71">
        <v>0</v>
      </c>
      <c r="M107" s="71" t="str">
        <f t="shared" si="198"/>
        <v>No</v>
      </c>
      <c r="N107" s="72">
        <v>1</v>
      </c>
      <c r="O107" s="72" t="str">
        <f t="shared" si="199"/>
        <v>Yes</v>
      </c>
      <c r="P107" s="73">
        <v>0</v>
      </c>
      <c r="Q107" s="73" t="str">
        <f t="shared" si="200"/>
        <v>No</v>
      </c>
      <c r="R107" s="71">
        <v>0</v>
      </c>
      <c r="S107" s="15" t="str">
        <f t="shared" si="201"/>
        <v>No</v>
      </c>
      <c r="T107" s="28" t="str">
        <f>T106</f>
        <v>120/208 AC</v>
      </c>
      <c r="U107" s="273"/>
      <c r="V107" s="140" t="str">
        <f>V106</f>
        <v>3+ Return and Earth</v>
      </c>
      <c r="W107" s="273"/>
      <c r="X107" s="39">
        <v>1</v>
      </c>
      <c r="Y107" s="39">
        <v>0</v>
      </c>
      <c r="Z107" s="39">
        <v>0</v>
      </c>
      <c r="AA107" s="208" t="s">
        <v>341</v>
      </c>
      <c r="AB107" s="165" t="s">
        <v>342</v>
      </c>
      <c r="AC107" s="39"/>
      <c r="AD107" s="39"/>
      <c r="AE107" s="39"/>
      <c r="AF107" s="39"/>
      <c r="AG107" s="39"/>
      <c r="AH107" s="140" t="str">
        <f>AH106</f>
        <v>GVV-Concord-WP</v>
      </c>
      <c r="AI107" s="273"/>
      <c r="AJ107" s="140" t="str">
        <f>AJ106</f>
        <v>WP</v>
      </c>
      <c r="AK107" s="273"/>
      <c r="AL107" s="140" t="str">
        <f>AL106</f>
        <v>Operational</v>
      </c>
      <c r="AM107" s="277"/>
      <c r="AN107" s="140" t="str">
        <f>AN106</f>
        <v>Toronto</v>
      </c>
      <c r="AO107" s="82" t="s">
        <v>7</v>
      </c>
      <c r="AP107" s="273"/>
      <c r="AQ107" s="140" t="str">
        <f>AQ106</f>
        <v>ECH-13</v>
      </c>
      <c r="AR107" s="306"/>
    </row>
    <row r="108" spans="1:44" s="2" customFormat="1" x14ac:dyDescent="0.3">
      <c r="A108" s="294"/>
      <c r="B108" s="28" t="str">
        <f t="shared" ref="B108:B109" si="202">B107</f>
        <v>Med Aux 02</v>
      </c>
      <c r="C108" s="271" t="s">
        <v>661</v>
      </c>
      <c r="D108" s="38" t="s">
        <v>24</v>
      </c>
      <c r="E108" s="39">
        <v>1</v>
      </c>
      <c r="F108" s="39" t="s">
        <v>14</v>
      </c>
      <c r="G108" s="39">
        <v>0</v>
      </c>
      <c r="H108" s="39">
        <v>1</v>
      </c>
      <c r="I108" s="43"/>
      <c r="J108" s="43" t="s">
        <v>75</v>
      </c>
      <c r="K108" s="70" t="s">
        <v>163</v>
      </c>
      <c r="L108" s="71">
        <v>0</v>
      </c>
      <c r="M108" s="71" t="str">
        <f t="shared" si="198"/>
        <v>No</v>
      </c>
      <c r="N108" s="72">
        <v>1</v>
      </c>
      <c r="O108" s="72" t="str">
        <f t="shared" si="199"/>
        <v>Yes</v>
      </c>
      <c r="P108" s="73">
        <v>0</v>
      </c>
      <c r="Q108" s="73" t="str">
        <f t="shared" si="200"/>
        <v>No</v>
      </c>
      <c r="R108" s="71">
        <v>0</v>
      </c>
      <c r="S108" s="15" t="str">
        <f t="shared" si="201"/>
        <v>No</v>
      </c>
      <c r="T108" s="28" t="str">
        <f t="shared" ref="T108:T109" si="203">T107</f>
        <v>120/208 AC</v>
      </c>
      <c r="U108" s="273"/>
      <c r="V108" s="140" t="str">
        <f t="shared" ref="V108:V109" si="204">V107</f>
        <v>3+ Return and Earth</v>
      </c>
      <c r="W108" s="273"/>
      <c r="X108" s="39">
        <v>1</v>
      </c>
      <c r="Y108" s="39">
        <v>0</v>
      </c>
      <c r="Z108" s="39">
        <v>0</v>
      </c>
      <c r="AA108" s="208" t="s">
        <v>343</v>
      </c>
      <c r="AB108" s="165" t="s">
        <v>344</v>
      </c>
      <c r="AC108" s="39"/>
      <c r="AD108" s="39"/>
      <c r="AE108" s="39"/>
      <c r="AF108" s="39"/>
      <c r="AG108" s="39"/>
      <c r="AH108" s="140" t="str">
        <f t="shared" ref="AH108:AH109" si="205">AH107</f>
        <v>GVV-Concord-WP</v>
      </c>
      <c r="AI108" s="273"/>
      <c r="AJ108" s="140" t="str">
        <f t="shared" ref="AJ108:AJ109" si="206">AJ107</f>
        <v>WP</v>
      </c>
      <c r="AK108" s="273"/>
      <c r="AL108" s="140" t="str">
        <f t="shared" ref="AL108:AL109" si="207">AL107</f>
        <v>Operational</v>
      </c>
      <c r="AM108" s="277"/>
      <c r="AN108" s="140" t="str">
        <f t="shared" ref="AN108:AN109" si="208">AN107</f>
        <v>Toronto</v>
      </c>
      <c r="AO108" s="82" t="s">
        <v>7</v>
      </c>
      <c r="AP108" s="273"/>
      <c r="AQ108" s="140" t="str">
        <f t="shared" ref="AQ108:AQ109" si="209">AQ107</f>
        <v>ECH-13</v>
      </c>
      <c r="AR108" s="306"/>
    </row>
    <row r="109" spans="1:44" s="3" customFormat="1" ht="15" thickBot="1" x14ac:dyDescent="0.35">
      <c r="A109" s="295"/>
      <c r="B109" s="28" t="str">
        <f t="shared" si="202"/>
        <v>Med Aux 02</v>
      </c>
      <c r="C109" s="271" t="s">
        <v>661</v>
      </c>
      <c r="D109" s="33" t="s">
        <v>25</v>
      </c>
      <c r="E109" s="34">
        <v>1</v>
      </c>
      <c r="F109" s="34" t="s">
        <v>14</v>
      </c>
      <c r="G109" s="34">
        <v>0</v>
      </c>
      <c r="H109" s="34">
        <v>1</v>
      </c>
      <c r="I109" s="44"/>
      <c r="J109" s="44" t="s">
        <v>75</v>
      </c>
      <c r="K109" s="74" t="s">
        <v>163</v>
      </c>
      <c r="L109" s="66">
        <v>0</v>
      </c>
      <c r="M109" s="84" t="str">
        <f t="shared" si="198"/>
        <v>No</v>
      </c>
      <c r="N109" s="72">
        <v>1</v>
      </c>
      <c r="O109" s="85" t="str">
        <f t="shared" si="199"/>
        <v>Yes</v>
      </c>
      <c r="P109" s="68">
        <v>0</v>
      </c>
      <c r="Q109" s="68" t="str">
        <f t="shared" si="200"/>
        <v>No</v>
      </c>
      <c r="R109" s="66">
        <v>0</v>
      </c>
      <c r="S109" s="14" t="str">
        <f t="shared" si="201"/>
        <v>No</v>
      </c>
      <c r="T109" s="28" t="str">
        <f t="shared" si="203"/>
        <v>120/208 AC</v>
      </c>
      <c r="U109" s="274"/>
      <c r="V109" s="140" t="str">
        <f t="shared" si="204"/>
        <v>3+ Return and Earth</v>
      </c>
      <c r="W109" s="274"/>
      <c r="X109" s="39">
        <v>1</v>
      </c>
      <c r="Y109" s="49">
        <v>0</v>
      </c>
      <c r="Z109" s="49">
        <v>0</v>
      </c>
      <c r="AA109" s="209" t="s">
        <v>345</v>
      </c>
      <c r="AB109" s="166" t="s">
        <v>346</v>
      </c>
      <c r="AC109" s="49"/>
      <c r="AD109" s="49"/>
      <c r="AE109" s="49"/>
      <c r="AF109" s="49"/>
      <c r="AG109" s="49"/>
      <c r="AH109" s="140" t="str">
        <f t="shared" si="205"/>
        <v>GVV-Concord-WP</v>
      </c>
      <c r="AI109" s="274"/>
      <c r="AJ109" s="140" t="str">
        <f t="shared" si="206"/>
        <v>WP</v>
      </c>
      <c r="AK109" s="288"/>
      <c r="AL109" s="140" t="str">
        <f t="shared" si="207"/>
        <v>Operational</v>
      </c>
      <c r="AM109" s="302"/>
      <c r="AN109" s="140" t="str">
        <f t="shared" si="208"/>
        <v>Toronto</v>
      </c>
      <c r="AO109" s="46" t="s">
        <v>7</v>
      </c>
      <c r="AP109" s="288"/>
      <c r="AQ109" s="140" t="str">
        <f t="shared" si="209"/>
        <v>ECH-13</v>
      </c>
      <c r="AR109" s="307"/>
    </row>
    <row r="110" spans="1:44" s="1" customFormat="1" ht="15" thickTop="1" x14ac:dyDescent="0.3">
      <c r="A110" s="282">
        <f t="shared" si="128"/>
        <v>1</v>
      </c>
      <c r="B110" s="26" t="str">
        <f>C110</f>
        <v>Med Aux 03</v>
      </c>
      <c r="C110" s="271" t="s">
        <v>662</v>
      </c>
      <c r="D110" s="29" t="s">
        <v>22</v>
      </c>
      <c r="E110" s="30">
        <v>1</v>
      </c>
      <c r="F110" s="30" t="s">
        <v>14</v>
      </c>
      <c r="G110" s="30">
        <v>0</v>
      </c>
      <c r="H110" s="30">
        <v>1</v>
      </c>
      <c r="I110" s="42"/>
      <c r="J110" s="42" t="s">
        <v>75</v>
      </c>
      <c r="K110" s="69" t="s">
        <v>163</v>
      </c>
      <c r="L110" s="62">
        <v>0</v>
      </c>
      <c r="M110" s="62" t="str">
        <f t="shared" si="198"/>
        <v>No</v>
      </c>
      <c r="N110" s="63">
        <v>1</v>
      </c>
      <c r="O110" s="63" t="str">
        <f t="shared" si="199"/>
        <v>Yes</v>
      </c>
      <c r="P110" s="64">
        <v>0</v>
      </c>
      <c r="Q110" s="64" t="str">
        <f t="shared" si="200"/>
        <v>No</v>
      </c>
      <c r="R110" s="62">
        <v>0</v>
      </c>
      <c r="S110" s="13" t="str">
        <f t="shared" si="201"/>
        <v>No</v>
      </c>
      <c r="T110" s="26" t="str">
        <f>U110</f>
        <v>120/208 AC</v>
      </c>
      <c r="U110" s="272" t="s">
        <v>548</v>
      </c>
      <c r="V110" s="135" t="str">
        <f>W110</f>
        <v>3+ Return and Earth</v>
      </c>
      <c r="W110" s="272" t="s">
        <v>547</v>
      </c>
      <c r="X110" s="30">
        <v>1</v>
      </c>
      <c r="Y110" s="30">
        <v>1</v>
      </c>
      <c r="Z110" s="46">
        <v>0</v>
      </c>
      <c r="AA110" s="205" t="s">
        <v>361</v>
      </c>
      <c r="AB110" s="146" t="s">
        <v>362</v>
      </c>
      <c r="AC110" s="30"/>
      <c r="AD110" s="152" t="s">
        <v>373</v>
      </c>
      <c r="AE110" s="191" t="s">
        <v>454</v>
      </c>
      <c r="AF110" s="192" t="s">
        <v>466</v>
      </c>
      <c r="AG110" s="30"/>
      <c r="AH110" s="135" t="str">
        <f>AI110</f>
        <v>GVV-Concord-WP</v>
      </c>
      <c r="AI110" s="275" t="s">
        <v>6</v>
      </c>
      <c r="AJ110" s="135" t="str">
        <f>AK110</f>
        <v>WP</v>
      </c>
      <c r="AK110" s="275" t="s">
        <v>9</v>
      </c>
      <c r="AL110" s="135" t="str">
        <f>AM110</f>
        <v>Operational</v>
      </c>
      <c r="AM110" s="289" t="s">
        <v>5</v>
      </c>
      <c r="AN110" s="135" t="str">
        <f>AO110</f>
        <v>Toronto</v>
      </c>
      <c r="AO110" s="49" t="s">
        <v>7</v>
      </c>
      <c r="AP110" s="275" t="s">
        <v>8</v>
      </c>
      <c r="AQ110" s="135" t="str">
        <f>AR110</f>
        <v>ECH-10</v>
      </c>
      <c r="AR110" s="305" t="s">
        <v>183</v>
      </c>
    </row>
    <row r="111" spans="1:44" s="2" customFormat="1" x14ac:dyDescent="0.3">
      <c r="A111" s="283"/>
      <c r="B111" s="28" t="str">
        <f>B110</f>
        <v>Med Aux 03</v>
      </c>
      <c r="C111" s="271" t="s">
        <v>662</v>
      </c>
      <c r="D111" s="38" t="s">
        <v>23</v>
      </c>
      <c r="E111" s="39">
        <v>1</v>
      </c>
      <c r="F111" s="39" t="s">
        <v>14</v>
      </c>
      <c r="G111" s="39">
        <v>0</v>
      </c>
      <c r="H111" s="39">
        <v>1</v>
      </c>
      <c r="I111" s="43"/>
      <c r="J111" s="43" t="s">
        <v>75</v>
      </c>
      <c r="K111" s="70" t="s">
        <v>163</v>
      </c>
      <c r="L111" s="71">
        <v>0</v>
      </c>
      <c r="M111" s="71" t="str">
        <f t="shared" si="198"/>
        <v>No</v>
      </c>
      <c r="N111" s="72">
        <v>1</v>
      </c>
      <c r="O111" s="72" t="str">
        <f t="shared" si="199"/>
        <v>Yes</v>
      </c>
      <c r="P111" s="73">
        <v>0</v>
      </c>
      <c r="Q111" s="73" t="str">
        <f t="shared" si="200"/>
        <v>No</v>
      </c>
      <c r="R111" s="71">
        <v>0</v>
      </c>
      <c r="S111" s="15" t="str">
        <f t="shared" si="201"/>
        <v>No</v>
      </c>
      <c r="T111" s="28" t="str">
        <f>T110</f>
        <v>120/208 AC</v>
      </c>
      <c r="U111" s="273"/>
      <c r="V111" s="140" t="str">
        <f>V110</f>
        <v>3+ Return and Earth</v>
      </c>
      <c r="W111" s="273"/>
      <c r="X111" s="39">
        <v>1</v>
      </c>
      <c r="Y111" s="39">
        <v>1</v>
      </c>
      <c r="Z111" s="39">
        <v>0</v>
      </c>
      <c r="AA111" s="205" t="s">
        <v>363</v>
      </c>
      <c r="AB111" s="146" t="s">
        <v>364</v>
      </c>
      <c r="AC111" s="39"/>
      <c r="AD111" s="39"/>
      <c r="AE111" s="39"/>
      <c r="AF111" s="39"/>
      <c r="AG111" s="39"/>
      <c r="AH111" s="140" t="str">
        <f>AH110</f>
        <v>GVV-Concord-WP</v>
      </c>
      <c r="AI111" s="273"/>
      <c r="AJ111" s="140" t="str">
        <f>AJ110</f>
        <v>WP</v>
      </c>
      <c r="AK111" s="273"/>
      <c r="AL111" s="140" t="str">
        <f>AL110</f>
        <v>Operational</v>
      </c>
      <c r="AM111" s="277"/>
      <c r="AN111" s="140" t="str">
        <f>AN110</f>
        <v>Toronto</v>
      </c>
      <c r="AO111" s="82" t="s">
        <v>7</v>
      </c>
      <c r="AP111" s="273"/>
      <c r="AQ111" s="140" t="str">
        <f>AQ110</f>
        <v>ECH-10</v>
      </c>
      <c r="AR111" s="306"/>
    </row>
    <row r="112" spans="1:44" s="2" customFormat="1" x14ac:dyDescent="0.3">
      <c r="A112" s="283"/>
      <c r="B112" s="28" t="str">
        <f t="shared" ref="B112:B115" si="210">B111</f>
        <v>Med Aux 03</v>
      </c>
      <c r="C112" s="271" t="s">
        <v>662</v>
      </c>
      <c r="D112" s="38" t="s">
        <v>24</v>
      </c>
      <c r="E112" s="39">
        <v>1</v>
      </c>
      <c r="F112" s="39" t="s">
        <v>14</v>
      </c>
      <c r="G112" s="39">
        <v>0</v>
      </c>
      <c r="H112" s="39">
        <v>1</v>
      </c>
      <c r="I112" s="43"/>
      <c r="J112" s="43" t="s">
        <v>75</v>
      </c>
      <c r="K112" s="70" t="s">
        <v>163</v>
      </c>
      <c r="L112" s="71">
        <v>0</v>
      </c>
      <c r="M112" s="71" t="str">
        <f t="shared" si="198"/>
        <v>No</v>
      </c>
      <c r="N112" s="72">
        <v>1</v>
      </c>
      <c r="O112" s="72" t="str">
        <f t="shared" si="199"/>
        <v>Yes</v>
      </c>
      <c r="P112" s="73">
        <v>0</v>
      </c>
      <c r="Q112" s="73" t="str">
        <f t="shared" si="200"/>
        <v>No</v>
      </c>
      <c r="R112" s="71">
        <v>0</v>
      </c>
      <c r="S112" s="15" t="str">
        <f t="shared" si="201"/>
        <v>No</v>
      </c>
      <c r="T112" s="28" t="str">
        <f t="shared" ref="T112:T115" si="211">T111</f>
        <v>120/208 AC</v>
      </c>
      <c r="U112" s="273"/>
      <c r="V112" s="140" t="str">
        <f t="shared" ref="V112:V115" si="212">V111</f>
        <v>3+ Return and Earth</v>
      </c>
      <c r="W112" s="273"/>
      <c r="X112" s="39">
        <v>1</v>
      </c>
      <c r="Y112" s="39">
        <v>1</v>
      </c>
      <c r="Z112" s="39">
        <v>0</v>
      </c>
      <c r="AA112" s="205" t="s">
        <v>365</v>
      </c>
      <c r="AB112" s="146" t="s">
        <v>366</v>
      </c>
      <c r="AC112" s="39"/>
      <c r="AD112" s="39"/>
      <c r="AE112" s="39"/>
      <c r="AF112" s="39"/>
      <c r="AG112" s="39"/>
      <c r="AH112" s="140" t="str">
        <f t="shared" ref="AH112:AH115" si="213">AH111</f>
        <v>GVV-Concord-WP</v>
      </c>
      <c r="AI112" s="273"/>
      <c r="AJ112" s="140" t="str">
        <f t="shared" ref="AJ112:AJ115" si="214">AJ111</f>
        <v>WP</v>
      </c>
      <c r="AK112" s="273"/>
      <c r="AL112" s="140" t="str">
        <f t="shared" ref="AL112:AL115" si="215">AL111</f>
        <v>Operational</v>
      </c>
      <c r="AM112" s="277"/>
      <c r="AN112" s="140" t="str">
        <f t="shared" ref="AN112:AN115" si="216">AN111</f>
        <v>Toronto</v>
      </c>
      <c r="AO112" s="82" t="s">
        <v>7</v>
      </c>
      <c r="AP112" s="273"/>
      <c r="AQ112" s="140" t="str">
        <f t="shared" ref="AQ112:AQ115" si="217">AQ111</f>
        <v>ECH-10</v>
      </c>
      <c r="AR112" s="306"/>
    </row>
    <row r="113" spans="1:44" s="2" customFormat="1" x14ac:dyDescent="0.3">
      <c r="A113" s="283"/>
      <c r="B113" s="28" t="str">
        <f t="shared" si="210"/>
        <v>Med Aux 03</v>
      </c>
      <c r="C113" s="271" t="s">
        <v>662</v>
      </c>
      <c r="D113" s="38" t="s">
        <v>25</v>
      </c>
      <c r="E113" s="39">
        <v>1</v>
      </c>
      <c r="F113" s="39" t="s">
        <v>14</v>
      </c>
      <c r="G113" s="39">
        <v>0</v>
      </c>
      <c r="H113" s="39">
        <v>1</v>
      </c>
      <c r="I113" s="43"/>
      <c r="J113" s="43" t="s">
        <v>75</v>
      </c>
      <c r="K113" s="70" t="s">
        <v>163</v>
      </c>
      <c r="L113" s="71">
        <v>0</v>
      </c>
      <c r="M113" s="71" t="str">
        <f t="shared" si="198"/>
        <v>No</v>
      </c>
      <c r="N113" s="72">
        <v>1</v>
      </c>
      <c r="O113" s="72" t="str">
        <f t="shared" si="199"/>
        <v>Yes</v>
      </c>
      <c r="P113" s="73">
        <v>0</v>
      </c>
      <c r="Q113" s="73" t="str">
        <f t="shared" si="200"/>
        <v>No</v>
      </c>
      <c r="R113" s="71">
        <v>0</v>
      </c>
      <c r="S113" s="15" t="str">
        <f t="shared" si="201"/>
        <v>No</v>
      </c>
      <c r="T113" s="28" t="str">
        <f t="shared" si="211"/>
        <v>120/208 AC</v>
      </c>
      <c r="U113" s="273"/>
      <c r="V113" s="140" t="str">
        <f t="shared" si="212"/>
        <v>3+ Return and Earth</v>
      </c>
      <c r="W113" s="273"/>
      <c r="X113" s="39">
        <v>1</v>
      </c>
      <c r="Y113" s="39">
        <v>1</v>
      </c>
      <c r="Z113" s="39">
        <v>0</v>
      </c>
      <c r="AA113" s="205" t="s">
        <v>367</v>
      </c>
      <c r="AB113" s="146" t="s">
        <v>368</v>
      </c>
      <c r="AC113" s="39"/>
      <c r="AD113" s="39"/>
      <c r="AE113" s="39"/>
      <c r="AF113" s="39"/>
      <c r="AG113" s="39"/>
      <c r="AH113" s="140" t="str">
        <f t="shared" si="213"/>
        <v>GVV-Concord-WP</v>
      </c>
      <c r="AI113" s="273"/>
      <c r="AJ113" s="140" t="str">
        <f t="shared" si="214"/>
        <v>WP</v>
      </c>
      <c r="AK113" s="273"/>
      <c r="AL113" s="140" t="str">
        <f t="shared" si="215"/>
        <v>Operational</v>
      </c>
      <c r="AM113" s="277"/>
      <c r="AN113" s="140" t="str">
        <f t="shared" si="216"/>
        <v>Toronto</v>
      </c>
      <c r="AO113" s="82" t="s">
        <v>7</v>
      </c>
      <c r="AP113" s="273"/>
      <c r="AQ113" s="140" t="str">
        <f t="shared" si="217"/>
        <v>ECH-10</v>
      </c>
      <c r="AR113" s="306"/>
    </row>
    <row r="114" spans="1:44" s="2" customFormat="1" x14ac:dyDescent="0.3">
      <c r="A114" s="283"/>
      <c r="B114" s="28" t="str">
        <f t="shared" si="210"/>
        <v>Med Aux 03</v>
      </c>
      <c r="C114" s="271" t="s">
        <v>662</v>
      </c>
      <c r="D114" s="38" t="s">
        <v>31</v>
      </c>
      <c r="E114" s="39">
        <v>1</v>
      </c>
      <c r="F114" s="39" t="s">
        <v>14</v>
      </c>
      <c r="G114" s="39">
        <v>0</v>
      </c>
      <c r="H114" s="39">
        <v>1</v>
      </c>
      <c r="I114" s="43"/>
      <c r="J114" s="43" t="s">
        <v>75</v>
      </c>
      <c r="K114" s="70" t="s">
        <v>163</v>
      </c>
      <c r="L114" s="71">
        <v>0</v>
      </c>
      <c r="M114" s="71" t="str">
        <f t="shared" si="198"/>
        <v>No</v>
      </c>
      <c r="N114" s="72">
        <v>1</v>
      </c>
      <c r="O114" s="72" t="str">
        <f t="shared" si="199"/>
        <v>Yes</v>
      </c>
      <c r="P114" s="73">
        <v>0</v>
      </c>
      <c r="Q114" s="73" t="str">
        <f t="shared" si="200"/>
        <v>No</v>
      </c>
      <c r="R114" s="71">
        <v>0</v>
      </c>
      <c r="S114" s="15" t="str">
        <f t="shared" si="201"/>
        <v>No</v>
      </c>
      <c r="T114" s="28" t="str">
        <f t="shared" si="211"/>
        <v>120/208 AC</v>
      </c>
      <c r="U114" s="273"/>
      <c r="V114" s="140" t="str">
        <f t="shared" si="212"/>
        <v>3+ Return and Earth</v>
      </c>
      <c r="W114" s="273"/>
      <c r="X114" s="39">
        <v>1</v>
      </c>
      <c r="Y114" s="39">
        <v>1</v>
      </c>
      <c r="Z114" s="39">
        <v>0</v>
      </c>
      <c r="AA114" s="205" t="s">
        <v>369</v>
      </c>
      <c r="AB114" s="146" t="s">
        <v>370</v>
      </c>
      <c r="AC114" s="39"/>
      <c r="AD114" s="39"/>
      <c r="AE114" s="39"/>
      <c r="AF114" s="39"/>
      <c r="AG114" s="39"/>
      <c r="AH114" s="140" t="str">
        <f t="shared" si="213"/>
        <v>GVV-Concord-WP</v>
      </c>
      <c r="AI114" s="273"/>
      <c r="AJ114" s="140" t="str">
        <f t="shared" si="214"/>
        <v>WP</v>
      </c>
      <c r="AK114" s="273"/>
      <c r="AL114" s="140" t="str">
        <f t="shared" si="215"/>
        <v>Operational</v>
      </c>
      <c r="AM114" s="277"/>
      <c r="AN114" s="140" t="str">
        <f t="shared" si="216"/>
        <v>Toronto</v>
      </c>
      <c r="AO114" s="82" t="s">
        <v>7</v>
      </c>
      <c r="AP114" s="273"/>
      <c r="AQ114" s="140" t="str">
        <f t="shared" si="217"/>
        <v>ECH-10</v>
      </c>
      <c r="AR114" s="306"/>
    </row>
    <row r="115" spans="1:44" s="3" customFormat="1" ht="15" thickBot="1" x14ac:dyDescent="0.35">
      <c r="A115" s="284"/>
      <c r="B115" s="28" t="str">
        <f t="shared" si="210"/>
        <v>Med Aux 03</v>
      </c>
      <c r="C115" s="271" t="s">
        <v>662</v>
      </c>
      <c r="D115" s="38" t="s">
        <v>32</v>
      </c>
      <c r="E115" s="34">
        <v>1</v>
      </c>
      <c r="F115" s="34" t="s">
        <v>14</v>
      </c>
      <c r="G115" s="34">
        <v>0</v>
      </c>
      <c r="H115" s="34">
        <v>1</v>
      </c>
      <c r="I115" s="44"/>
      <c r="J115" s="44" t="s">
        <v>75</v>
      </c>
      <c r="K115" s="74" t="s">
        <v>163</v>
      </c>
      <c r="L115" s="66">
        <v>0</v>
      </c>
      <c r="M115" s="84" t="str">
        <f t="shared" si="198"/>
        <v>No</v>
      </c>
      <c r="N115" s="72">
        <v>1</v>
      </c>
      <c r="O115" s="85" t="str">
        <f t="shared" si="199"/>
        <v>Yes</v>
      </c>
      <c r="P115" s="68">
        <v>0</v>
      </c>
      <c r="Q115" s="68" t="str">
        <f t="shared" si="200"/>
        <v>No</v>
      </c>
      <c r="R115" s="66">
        <v>0</v>
      </c>
      <c r="S115" s="14" t="str">
        <f t="shared" si="201"/>
        <v>No</v>
      </c>
      <c r="T115" s="28" t="str">
        <f t="shared" si="211"/>
        <v>120/208 AC</v>
      </c>
      <c r="U115" s="274"/>
      <c r="V115" s="140" t="str">
        <f t="shared" si="212"/>
        <v>3+ Return and Earth</v>
      </c>
      <c r="W115" s="274"/>
      <c r="X115" s="39">
        <v>1</v>
      </c>
      <c r="Y115" s="49">
        <v>1</v>
      </c>
      <c r="Z115" s="49">
        <v>0</v>
      </c>
      <c r="AA115" s="205" t="s">
        <v>371</v>
      </c>
      <c r="AB115" s="146" t="s">
        <v>372</v>
      </c>
      <c r="AC115" s="49"/>
      <c r="AD115" s="49"/>
      <c r="AE115" s="49"/>
      <c r="AF115" s="49"/>
      <c r="AG115" s="49"/>
      <c r="AH115" s="140" t="str">
        <f t="shared" si="213"/>
        <v>GVV-Concord-WP</v>
      </c>
      <c r="AI115" s="288"/>
      <c r="AJ115" s="140" t="str">
        <f t="shared" si="214"/>
        <v>WP</v>
      </c>
      <c r="AK115" s="288"/>
      <c r="AL115" s="140" t="str">
        <f t="shared" si="215"/>
        <v>Operational</v>
      </c>
      <c r="AM115" s="302"/>
      <c r="AN115" s="140" t="str">
        <f t="shared" si="216"/>
        <v>Toronto</v>
      </c>
      <c r="AO115" s="46" t="s">
        <v>7</v>
      </c>
      <c r="AP115" s="288"/>
      <c r="AQ115" s="140" t="str">
        <f t="shared" si="217"/>
        <v>ECH-10</v>
      </c>
      <c r="AR115" s="307"/>
    </row>
    <row r="116" spans="1:44" s="1" customFormat="1" ht="15" thickTop="1" x14ac:dyDescent="0.3">
      <c r="A116" s="282">
        <f t="shared" si="128"/>
        <v>1</v>
      </c>
      <c r="B116" s="26" t="str">
        <f>C116</f>
        <v>Med Aux 04</v>
      </c>
      <c r="C116" s="271" t="s">
        <v>663</v>
      </c>
      <c r="D116" s="29" t="s">
        <v>22</v>
      </c>
      <c r="E116" s="30">
        <v>1</v>
      </c>
      <c r="F116" s="30" t="s">
        <v>14</v>
      </c>
      <c r="G116" s="30">
        <v>0</v>
      </c>
      <c r="H116" s="30">
        <v>1</v>
      </c>
      <c r="I116" s="42"/>
      <c r="J116" s="42" t="s">
        <v>75</v>
      </c>
      <c r="K116" s="69" t="s">
        <v>163</v>
      </c>
      <c r="L116" s="62">
        <v>0</v>
      </c>
      <c r="M116" s="62" t="str">
        <f t="shared" si="198"/>
        <v>No</v>
      </c>
      <c r="N116" s="63">
        <v>1</v>
      </c>
      <c r="O116" s="63" t="str">
        <f t="shared" si="199"/>
        <v>Yes</v>
      </c>
      <c r="P116" s="64">
        <v>0</v>
      </c>
      <c r="Q116" s="64" t="str">
        <f t="shared" si="200"/>
        <v>No</v>
      </c>
      <c r="R116" s="62">
        <v>0</v>
      </c>
      <c r="S116" s="13" t="str">
        <f t="shared" si="201"/>
        <v>No</v>
      </c>
      <c r="T116" s="26" t="str">
        <f>U116</f>
        <v>120/208 AC</v>
      </c>
      <c r="U116" s="272" t="s">
        <v>548</v>
      </c>
      <c r="V116" s="135" t="str">
        <f>W116</f>
        <v>3+ Return and Earth</v>
      </c>
      <c r="W116" s="272" t="s">
        <v>547</v>
      </c>
      <c r="X116" s="30">
        <v>1</v>
      </c>
      <c r="Y116" s="30">
        <v>1</v>
      </c>
      <c r="Z116" s="46">
        <v>0</v>
      </c>
      <c r="AA116" s="205" t="s">
        <v>348</v>
      </c>
      <c r="AB116" s="152" t="s">
        <v>349</v>
      </c>
      <c r="AC116" s="30"/>
      <c r="AD116" s="167" t="s">
        <v>360</v>
      </c>
      <c r="AE116" s="191" t="s">
        <v>467</v>
      </c>
      <c r="AF116" s="192" t="s">
        <v>468</v>
      </c>
      <c r="AG116" s="30"/>
      <c r="AH116" s="135" t="str">
        <f>AI116</f>
        <v>GVV-Concord-WP</v>
      </c>
      <c r="AI116" s="275" t="s">
        <v>6</v>
      </c>
      <c r="AJ116" s="135" t="str">
        <f>AK116</f>
        <v>WP</v>
      </c>
      <c r="AK116" s="275" t="s">
        <v>9</v>
      </c>
      <c r="AL116" s="135" t="str">
        <f>AM116</f>
        <v>Operational</v>
      </c>
      <c r="AM116" s="289" t="s">
        <v>5</v>
      </c>
      <c r="AN116" s="135" t="str">
        <f>AO116</f>
        <v>Toronto</v>
      </c>
      <c r="AO116" s="49" t="s">
        <v>7</v>
      </c>
      <c r="AP116" s="275" t="s">
        <v>8</v>
      </c>
      <c r="AQ116" s="135" t="str">
        <f>AR116</f>
        <v>ECH-21</v>
      </c>
      <c r="AR116" s="305" t="s">
        <v>191</v>
      </c>
    </row>
    <row r="117" spans="1:44" s="2" customFormat="1" x14ac:dyDescent="0.3">
      <c r="A117" s="283"/>
      <c r="B117" s="28" t="str">
        <f>B116</f>
        <v>Med Aux 04</v>
      </c>
      <c r="C117" s="271" t="s">
        <v>663</v>
      </c>
      <c r="D117" s="38" t="s">
        <v>23</v>
      </c>
      <c r="E117" s="39">
        <v>1</v>
      </c>
      <c r="F117" s="39" t="s">
        <v>14</v>
      </c>
      <c r="G117" s="39">
        <v>0</v>
      </c>
      <c r="H117" s="39">
        <v>1</v>
      </c>
      <c r="I117" s="43"/>
      <c r="J117" s="43" t="s">
        <v>75</v>
      </c>
      <c r="K117" s="70" t="s">
        <v>163</v>
      </c>
      <c r="L117" s="71">
        <v>0</v>
      </c>
      <c r="M117" s="71" t="str">
        <f t="shared" si="198"/>
        <v>No</v>
      </c>
      <c r="N117" s="72">
        <v>1</v>
      </c>
      <c r="O117" s="72" t="str">
        <f t="shared" si="199"/>
        <v>Yes</v>
      </c>
      <c r="P117" s="73">
        <v>0</v>
      </c>
      <c r="Q117" s="73" t="str">
        <f t="shared" si="200"/>
        <v>No</v>
      </c>
      <c r="R117" s="71">
        <v>0</v>
      </c>
      <c r="S117" s="15" t="str">
        <f t="shared" si="201"/>
        <v>No</v>
      </c>
      <c r="T117" s="28" t="str">
        <f>T116</f>
        <v>120/208 AC</v>
      </c>
      <c r="U117" s="273"/>
      <c r="V117" s="140" t="str">
        <f>V116</f>
        <v>3+ Return and Earth</v>
      </c>
      <c r="W117" s="273"/>
      <c r="X117" s="39">
        <v>1</v>
      </c>
      <c r="Y117" s="39">
        <v>1</v>
      </c>
      <c r="Z117" s="39">
        <v>0</v>
      </c>
      <c r="AA117" s="205" t="s">
        <v>350</v>
      </c>
      <c r="AB117" s="152" t="s">
        <v>351</v>
      </c>
      <c r="AC117" s="39"/>
      <c r="AD117" s="39"/>
      <c r="AE117" s="39"/>
      <c r="AF117" s="39"/>
      <c r="AG117" s="39"/>
      <c r="AH117" s="140" t="str">
        <f>AH116</f>
        <v>GVV-Concord-WP</v>
      </c>
      <c r="AI117" s="273"/>
      <c r="AJ117" s="140" t="str">
        <f>AJ116</f>
        <v>WP</v>
      </c>
      <c r="AK117" s="273"/>
      <c r="AL117" s="140" t="str">
        <f>AL116</f>
        <v>Operational</v>
      </c>
      <c r="AM117" s="277"/>
      <c r="AN117" s="140" t="str">
        <f>AN116</f>
        <v>Toronto</v>
      </c>
      <c r="AO117" s="82" t="s">
        <v>7</v>
      </c>
      <c r="AP117" s="273"/>
      <c r="AQ117" s="140" t="str">
        <f>AQ116</f>
        <v>ECH-21</v>
      </c>
      <c r="AR117" s="306"/>
    </row>
    <row r="118" spans="1:44" s="2" customFormat="1" x14ac:dyDescent="0.3">
      <c r="A118" s="283"/>
      <c r="B118" s="28" t="str">
        <f t="shared" ref="B118:B121" si="218">B117</f>
        <v>Med Aux 04</v>
      </c>
      <c r="C118" s="271" t="s">
        <v>663</v>
      </c>
      <c r="D118" s="38" t="s">
        <v>24</v>
      </c>
      <c r="E118" s="39">
        <v>1</v>
      </c>
      <c r="F118" s="39" t="s">
        <v>14</v>
      </c>
      <c r="G118" s="39">
        <v>0</v>
      </c>
      <c r="H118" s="39">
        <v>1</v>
      </c>
      <c r="I118" s="43"/>
      <c r="J118" s="43" t="s">
        <v>75</v>
      </c>
      <c r="K118" s="70" t="s">
        <v>163</v>
      </c>
      <c r="L118" s="71">
        <v>0</v>
      </c>
      <c r="M118" s="71" t="str">
        <f t="shared" si="198"/>
        <v>No</v>
      </c>
      <c r="N118" s="72">
        <v>1</v>
      </c>
      <c r="O118" s="72" t="str">
        <f t="shared" si="199"/>
        <v>Yes</v>
      </c>
      <c r="P118" s="73">
        <v>0</v>
      </c>
      <c r="Q118" s="73" t="str">
        <f t="shared" si="200"/>
        <v>No</v>
      </c>
      <c r="R118" s="71">
        <v>0</v>
      </c>
      <c r="S118" s="15" t="str">
        <f t="shared" si="201"/>
        <v>No</v>
      </c>
      <c r="T118" s="28" t="str">
        <f t="shared" ref="T118:T121" si="219">T117</f>
        <v>120/208 AC</v>
      </c>
      <c r="U118" s="273"/>
      <c r="V118" s="140" t="str">
        <f t="shared" ref="V118:V121" si="220">V117</f>
        <v>3+ Return and Earth</v>
      </c>
      <c r="W118" s="273"/>
      <c r="X118" s="39">
        <v>1</v>
      </c>
      <c r="Y118" s="39">
        <v>1</v>
      </c>
      <c r="Z118" s="39">
        <v>0</v>
      </c>
      <c r="AA118" s="205" t="s">
        <v>352</v>
      </c>
      <c r="AB118" s="152" t="s">
        <v>353</v>
      </c>
      <c r="AC118" s="39"/>
      <c r="AD118" s="39"/>
      <c r="AE118" s="39"/>
      <c r="AF118" s="39"/>
      <c r="AG118" s="39"/>
      <c r="AH118" s="140" t="str">
        <f t="shared" ref="AH118:AH121" si="221">AH117</f>
        <v>GVV-Concord-WP</v>
      </c>
      <c r="AI118" s="273"/>
      <c r="AJ118" s="140" t="str">
        <f t="shared" ref="AJ118:AJ121" si="222">AJ117</f>
        <v>WP</v>
      </c>
      <c r="AK118" s="273"/>
      <c r="AL118" s="140" t="str">
        <f t="shared" ref="AL118:AL121" si="223">AL117</f>
        <v>Operational</v>
      </c>
      <c r="AM118" s="277"/>
      <c r="AN118" s="140" t="str">
        <f t="shared" ref="AN118:AN121" si="224">AN117</f>
        <v>Toronto</v>
      </c>
      <c r="AO118" s="82" t="s">
        <v>7</v>
      </c>
      <c r="AP118" s="273"/>
      <c r="AQ118" s="140" t="str">
        <f t="shared" ref="AQ118:AQ121" si="225">AQ117</f>
        <v>ECH-21</v>
      </c>
      <c r="AR118" s="306"/>
    </row>
    <row r="119" spans="1:44" s="2" customFormat="1" x14ac:dyDescent="0.3">
      <c r="A119" s="283"/>
      <c r="B119" s="28" t="str">
        <f t="shared" si="218"/>
        <v>Med Aux 04</v>
      </c>
      <c r="C119" s="271" t="s">
        <v>663</v>
      </c>
      <c r="D119" s="38" t="s">
        <v>25</v>
      </c>
      <c r="E119" s="39">
        <v>1</v>
      </c>
      <c r="F119" s="39" t="s">
        <v>14</v>
      </c>
      <c r="G119" s="39">
        <v>0</v>
      </c>
      <c r="H119" s="39">
        <v>1</v>
      </c>
      <c r="I119" s="43"/>
      <c r="J119" s="43" t="s">
        <v>75</v>
      </c>
      <c r="K119" s="70" t="s">
        <v>163</v>
      </c>
      <c r="L119" s="71">
        <v>0</v>
      </c>
      <c r="M119" s="71" t="str">
        <f t="shared" si="198"/>
        <v>No</v>
      </c>
      <c r="N119" s="72">
        <v>1</v>
      </c>
      <c r="O119" s="72" t="str">
        <f t="shared" si="199"/>
        <v>Yes</v>
      </c>
      <c r="P119" s="73">
        <v>0</v>
      </c>
      <c r="Q119" s="73" t="str">
        <f t="shared" si="200"/>
        <v>No</v>
      </c>
      <c r="R119" s="71">
        <v>0</v>
      </c>
      <c r="S119" s="15" t="str">
        <f t="shared" si="201"/>
        <v>No</v>
      </c>
      <c r="T119" s="28" t="str">
        <f t="shared" si="219"/>
        <v>120/208 AC</v>
      </c>
      <c r="U119" s="273"/>
      <c r="V119" s="140" t="str">
        <f t="shared" si="220"/>
        <v>3+ Return and Earth</v>
      </c>
      <c r="W119" s="273"/>
      <c r="X119" s="39">
        <v>1</v>
      </c>
      <c r="Y119" s="39">
        <v>1</v>
      </c>
      <c r="Z119" s="39">
        <v>0</v>
      </c>
      <c r="AA119" s="205" t="s">
        <v>354</v>
      </c>
      <c r="AB119" s="152" t="s">
        <v>355</v>
      </c>
      <c r="AC119" s="39"/>
      <c r="AD119" s="39"/>
      <c r="AE119" s="39"/>
      <c r="AF119" s="39"/>
      <c r="AG119" s="39"/>
      <c r="AH119" s="140" t="str">
        <f t="shared" si="221"/>
        <v>GVV-Concord-WP</v>
      </c>
      <c r="AI119" s="273"/>
      <c r="AJ119" s="140" t="str">
        <f t="shared" si="222"/>
        <v>WP</v>
      </c>
      <c r="AK119" s="273"/>
      <c r="AL119" s="140" t="str">
        <f t="shared" si="223"/>
        <v>Operational</v>
      </c>
      <c r="AM119" s="277"/>
      <c r="AN119" s="140" t="str">
        <f t="shared" si="224"/>
        <v>Toronto</v>
      </c>
      <c r="AO119" s="82" t="s">
        <v>7</v>
      </c>
      <c r="AP119" s="273"/>
      <c r="AQ119" s="140" t="str">
        <f t="shared" si="225"/>
        <v>ECH-21</v>
      </c>
      <c r="AR119" s="306"/>
    </row>
    <row r="120" spans="1:44" s="2" customFormat="1" x14ac:dyDescent="0.3">
      <c r="A120" s="283"/>
      <c r="B120" s="28" t="str">
        <f t="shared" si="218"/>
        <v>Med Aux 04</v>
      </c>
      <c r="C120" s="271" t="s">
        <v>663</v>
      </c>
      <c r="D120" s="38" t="s">
        <v>31</v>
      </c>
      <c r="E120" s="39">
        <v>1</v>
      </c>
      <c r="F120" s="39" t="s">
        <v>14</v>
      </c>
      <c r="G120" s="39">
        <v>0</v>
      </c>
      <c r="H120" s="39">
        <v>1</v>
      </c>
      <c r="I120" s="43"/>
      <c r="J120" s="43" t="s">
        <v>75</v>
      </c>
      <c r="K120" s="70" t="s">
        <v>163</v>
      </c>
      <c r="L120" s="71">
        <v>0</v>
      </c>
      <c r="M120" s="71" t="str">
        <f t="shared" si="198"/>
        <v>No</v>
      </c>
      <c r="N120" s="72">
        <v>1</v>
      </c>
      <c r="O120" s="72" t="str">
        <f t="shared" si="199"/>
        <v>Yes</v>
      </c>
      <c r="P120" s="73">
        <v>0</v>
      </c>
      <c r="Q120" s="73" t="str">
        <f t="shared" si="200"/>
        <v>No</v>
      </c>
      <c r="R120" s="71">
        <v>0</v>
      </c>
      <c r="S120" s="15" t="str">
        <f t="shared" si="201"/>
        <v>No</v>
      </c>
      <c r="T120" s="28" t="str">
        <f t="shared" si="219"/>
        <v>120/208 AC</v>
      </c>
      <c r="U120" s="273"/>
      <c r="V120" s="140" t="str">
        <f t="shared" si="220"/>
        <v>3+ Return and Earth</v>
      </c>
      <c r="W120" s="273"/>
      <c r="X120" s="39">
        <v>1</v>
      </c>
      <c r="Y120" s="39">
        <v>1</v>
      </c>
      <c r="Z120" s="39">
        <v>0</v>
      </c>
      <c r="AA120" s="205" t="s">
        <v>356</v>
      </c>
      <c r="AB120" s="152" t="s">
        <v>357</v>
      </c>
      <c r="AC120" s="39"/>
      <c r="AD120" s="39"/>
      <c r="AE120" s="39"/>
      <c r="AF120" s="39"/>
      <c r="AG120" s="39"/>
      <c r="AH120" s="140" t="str">
        <f t="shared" si="221"/>
        <v>GVV-Concord-WP</v>
      </c>
      <c r="AI120" s="273"/>
      <c r="AJ120" s="140" t="str">
        <f t="shared" si="222"/>
        <v>WP</v>
      </c>
      <c r="AK120" s="273"/>
      <c r="AL120" s="140" t="str">
        <f t="shared" si="223"/>
        <v>Operational</v>
      </c>
      <c r="AM120" s="277"/>
      <c r="AN120" s="140" t="str">
        <f t="shared" si="224"/>
        <v>Toronto</v>
      </c>
      <c r="AO120" s="82" t="s">
        <v>7</v>
      </c>
      <c r="AP120" s="273"/>
      <c r="AQ120" s="140" t="str">
        <f t="shared" si="225"/>
        <v>ECH-21</v>
      </c>
      <c r="AR120" s="306"/>
    </row>
    <row r="121" spans="1:44" s="3" customFormat="1" ht="15" thickBot="1" x14ac:dyDescent="0.35">
      <c r="A121" s="284"/>
      <c r="B121" s="28" t="str">
        <f t="shared" si="218"/>
        <v>Med Aux 04</v>
      </c>
      <c r="C121" s="271" t="s">
        <v>663</v>
      </c>
      <c r="D121" s="38" t="s">
        <v>32</v>
      </c>
      <c r="E121" s="34">
        <v>1</v>
      </c>
      <c r="F121" s="34" t="s">
        <v>14</v>
      </c>
      <c r="G121" s="34">
        <v>0</v>
      </c>
      <c r="H121" s="34">
        <v>1</v>
      </c>
      <c r="I121" s="44"/>
      <c r="J121" s="44" t="s">
        <v>75</v>
      </c>
      <c r="K121" s="74" t="s">
        <v>163</v>
      </c>
      <c r="L121" s="66">
        <v>0</v>
      </c>
      <c r="M121" s="84" t="str">
        <f t="shared" si="198"/>
        <v>No</v>
      </c>
      <c r="N121" s="72">
        <v>1</v>
      </c>
      <c r="O121" s="85" t="str">
        <f t="shared" si="199"/>
        <v>Yes</v>
      </c>
      <c r="P121" s="68">
        <v>0</v>
      </c>
      <c r="Q121" s="68" t="str">
        <f t="shared" si="200"/>
        <v>No</v>
      </c>
      <c r="R121" s="66">
        <v>0</v>
      </c>
      <c r="S121" s="14" t="str">
        <f t="shared" si="201"/>
        <v>No</v>
      </c>
      <c r="T121" s="28" t="str">
        <f t="shared" si="219"/>
        <v>120/208 AC</v>
      </c>
      <c r="U121" s="274"/>
      <c r="V121" s="140" t="str">
        <f t="shared" si="220"/>
        <v>3+ Return and Earth</v>
      </c>
      <c r="W121" s="274"/>
      <c r="X121" s="39">
        <v>1</v>
      </c>
      <c r="Y121" s="49">
        <v>1</v>
      </c>
      <c r="Z121" s="49">
        <v>0</v>
      </c>
      <c r="AA121" s="205" t="s">
        <v>358</v>
      </c>
      <c r="AB121" s="152" t="s">
        <v>359</v>
      </c>
      <c r="AC121" s="49"/>
      <c r="AD121" s="49"/>
      <c r="AE121" s="49"/>
      <c r="AF121" s="49"/>
      <c r="AG121" s="49"/>
      <c r="AH121" s="140" t="str">
        <f t="shared" si="221"/>
        <v>GVV-Concord-WP</v>
      </c>
      <c r="AI121" s="288"/>
      <c r="AJ121" s="140" t="str">
        <f t="shared" si="222"/>
        <v>WP</v>
      </c>
      <c r="AK121" s="288"/>
      <c r="AL121" s="140" t="str">
        <f t="shared" si="223"/>
        <v>Operational</v>
      </c>
      <c r="AM121" s="302"/>
      <c r="AN121" s="140" t="str">
        <f t="shared" si="224"/>
        <v>Toronto</v>
      </c>
      <c r="AO121" s="46" t="s">
        <v>7</v>
      </c>
      <c r="AP121" s="288"/>
      <c r="AQ121" s="140" t="str">
        <f t="shared" si="225"/>
        <v>ECH-21</v>
      </c>
      <c r="AR121" s="307"/>
    </row>
    <row r="122" spans="1:44" s="1" customFormat="1" ht="15" thickTop="1" x14ac:dyDescent="0.3">
      <c r="A122" s="282">
        <f t="shared" si="128"/>
        <v>1</v>
      </c>
      <c r="B122" s="26" t="str">
        <f>C122</f>
        <v>Med Aux 05</v>
      </c>
      <c r="C122" s="271" t="s">
        <v>664</v>
      </c>
      <c r="D122" s="29" t="s">
        <v>22</v>
      </c>
      <c r="E122" s="30">
        <v>1</v>
      </c>
      <c r="F122" s="30" t="s">
        <v>74</v>
      </c>
      <c r="G122" s="30">
        <v>0</v>
      </c>
      <c r="H122" s="30">
        <v>1</v>
      </c>
      <c r="I122" s="42"/>
      <c r="J122" s="42" t="s">
        <v>164</v>
      </c>
      <c r="K122" s="69"/>
      <c r="L122" s="62">
        <v>0</v>
      </c>
      <c r="M122" s="62" t="str">
        <f t="shared" si="198"/>
        <v>No</v>
      </c>
      <c r="N122" s="63">
        <v>1</v>
      </c>
      <c r="O122" s="63" t="str">
        <f t="shared" si="199"/>
        <v>Yes</v>
      </c>
      <c r="P122" s="64">
        <v>0</v>
      </c>
      <c r="Q122" s="64" t="str">
        <f t="shared" si="200"/>
        <v>No</v>
      </c>
      <c r="R122" s="62">
        <v>0</v>
      </c>
      <c r="S122" s="13" t="str">
        <f t="shared" si="201"/>
        <v>No</v>
      </c>
      <c r="T122" s="26" t="str">
        <f>U122</f>
        <v>120/208 AC</v>
      </c>
      <c r="U122" s="272" t="s">
        <v>548</v>
      </c>
      <c r="V122" s="135" t="str">
        <f>W122</f>
        <v>3+ Return and Earth</v>
      </c>
      <c r="W122" s="272" t="s">
        <v>547</v>
      </c>
      <c r="X122" s="30">
        <v>0</v>
      </c>
      <c r="Y122" s="30">
        <v>1</v>
      </c>
      <c r="Z122" s="46">
        <v>0</v>
      </c>
      <c r="AA122" s="205" t="s">
        <v>374</v>
      </c>
      <c r="AB122" s="152" t="s">
        <v>375</v>
      </c>
      <c r="AC122" s="30"/>
      <c r="AD122" s="152" t="s">
        <v>386</v>
      </c>
      <c r="AE122" s="191" t="s">
        <v>469</v>
      </c>
      <c r="AF122" s="192" t="s">
        <v>470</v>
      </c>
      <c r="AG122" s="30"/>
      <c r="AH122" s="135" t="str">
        <f>AI122</f>
        <v>GVV-Concord-WP</v>
      </c>
      <c r="AI122" s="275" t="s">
        <v>6</v>
      </c>
      <c r="AJ122" s="135" t="str">
        <f>AK122</f>
        <v>WP</v>
      </c>
      <c r="AK122" s="275" t="s">
        <v>9</v>
      </c>
      <c r="AL122" s="135" t="str">
        <f>AM122</f>
        <v>Operational</v>
      </c>
      <c r="AM122" s="289" t="s">
        <v>5</v>
      </c>
      <c r="AN122" s="135" t="str">
        <f>AO122</f>
        <v>Toronto</v>
      </c>
      <c r="AO122" s="49" t="s">
        <v>7</v>
      </c>
      <c r="AP122" s="275" t="s">
        <v>8</v>
      </c>
      <c r="AQ122" s="135" t="str">
        <f>AR122</f>
        <v>ECH-06</v>
      </c>
      <c r="AR122" s="305" t="s">
        <v>181</v>
      </c>
    </row>
    <row r="123" spans="1:44" s="2" customFormat="1" x14ac:dyDescent="0.3">
      <c r="A123" s="283"/>
      <c r="B123" s="28" t="str">
        <f>B122</f>
        <v>Med Aux 05</v>
      </c>
      <c r="C123" s="271" t="s">
        <v>664</v>
      </c>
      <c r="D123" s="38" t="s">
        <v>23</v>
      </c>
      <c r="E123" s="39">
        <v>1</v>
      </c>
      <c r="F123" s="39" t="s">
        <v>74</v>
      </c>
      <c r="G123" s="39">
        <v>0</v>
      </c>
      <c r="H123" s="39">
        <v>0</v>
      </c>
      <c r="I123" s="43"/>
      <c r="J123" s="43" t="s">
        <v>164</v>
      </c>
      <c r="K123" s="70"/>
      <c r="L123" s="71">
        <v>0</v>
      </c>
      <c r="M123" s="71" t="str">
        <f t="shared" si="198"/>
        <v>No</v>
      </c>
      <c r="N123" s="72">
        <v>1</v>
      </c>
      <c r="O123" s="72" t="str">
        <f t="shared" si="199"/>
        <v>Yes</v>
      </c>
      <c r="P123" s="73">
        <v>0</v>
      </c>
      <c r="Q123" s="73" t="str">
        <f t="shared" si="200"/>
        <v>No</v>
      </c>
      <c r="R123" s="71">
        <v>0</v>
      </c>
      <c r="S123" s="15" t="str">
        <f t="shared" si="201"/>
        <v>No</v>
      </c>
      <c r="T123" s="28" t="str">
        <f>T122</f>
        <v>120/208 AC</v>
      </c>
      <c r="U123" s="273"/>
      <c r="V123" s="140" t="str">
        <f>V122</f>
        <v>3+ Return and Earth</v>
      </c>
      <c r="W123" s="273"/>
      <c r="X123" s="39">
        <v>0</v>
      </c>
      <c r="Y123" s="39">
        <v>1</v>
      </c>
      <c r="Z123" s="39">
        <v>0</v>
      </c>
      <c r="AA123" s="205" t="s">
        <v>376</v>
      </c>
      <c r="AB123" s="152" t="s">
        <v>377</v>
      </c>
      <c r="AC123" s="39"/>
      <c r="AD123" s="39"/>
      <c r="AE123" s="39"/>
      <c r="AF123" s="39"/>
      <c r="AG123" s="39"/>
      <c r="AH123" s="140" t="str">
        <f>AH122</f>
        <v>GVV-Concord-WP</v>
      </c>
      <c r="AI123" s="273"/>
      <c r="AJ123" s="140" t="str">
        <f>AJ122</f>
        <v>WP</v>
      </c>
      <c r="AK123" s="273"/>
      <c r="AL123" s="140" t="str">
        <f>AL122</f>
        <v>Operational</v>
      </c>
      <c r="AM123" s="277"/>
      <c r="AN123" s="140" t="str">
        <f>AN122</f>
        <v>Toronto</v>
      </c>
      <c r="AO123" s="82" t="s">
        <v>7</v>
      </c>
      <c r="AP123" s="273"/>
      <c r="AQ123" s="140" t="str">
        <f>AQ122</f>
        <v>ECH-06</v>
      </c>
      <c r="AR123" s="306"/>
    </row>
    <row r="124" spans="1:44" s="2" customFormat="1" x14ac:dyDescent="0.3">
      <c r="A124" s="283"/>
      <c r="B124" s="28" t="str">
        <f t="shared" ref="B124:B127" si="226">B123</f>
        <v>Med Aux 05</v>
      </c>
      <c r="C124" s="271" t="s">
        <v>664</v>
      </c>
      <c r="D124" s="38" t="s">
        <v>24</v>
      </c>
      <c r="E124" s="39">
        <v>1</v>
      </c>
      <c r="F124" s="39" t="s">
        <v>74</v>
      </c>
      <c r="G124" s="39">
        <v>0</v>
      </c>
      <c r="H124" s="39">
        <v>0</v>
      </c>
      <c r="I124" s="43"/>
      <c r="J124" s="43" t="s">
        <v>164</v>
      </c>
      <c r="K124" s="70"/>
      <c r="L124" s="71">
        <v>0</v>
      </c>
      <c r="M124" s="71" t="str">
        <f t="shared" si="198"/>
        <v>No</v>
      </c>
      <c r="N124" s="72">
        <v>1</v>
      </c>
      <c r="O124" s="72" t="str">
        <f t="shared" si="199"/>
        <v>Yes</v>
      </c>
      <c r="P124" s="73">
        <v>0</v>
      </c>
      <c r="Q124" s="73" t="str">
        <f t="shared" si="200"/>
        <v>No</v>
      </c>
      <c r="R124" s="71">
        <v>0</v>
      </c>
      <c r="S124" s="15" t="str">
        <f t="shared" si="201"/>
        <v>No</v>
      </c>
      <c r="T124" s="28" t="str">
        <f t="shared" ref="T124:T127" si="227">T123</f>
        <v>120/208 AC</v>
      </c>
      <c r="U124" s="273"/>
      <c r="V124" s="140" t="str">
        <f t="shared" ref="V124:V127" si="228">V123</f>
        <v>3+ Return and Earth</v>
      </c>
      <c r="W124" s="273"/>
      <c r="X124" s="39">
        <v>0</v>
      </c>
      <c r="Y124" s="39">
        <v>1</v>
      </c>
      <c r="Z124" s="39">
        <v>0</v>
      </c>
      <c r="AA124" s="205" t="s">
        <v>378</v>
      </c>
      <c r="AB124" s="152" t="s">
        <v>379</v>
      </c>
      <c r="AC124" s="39"/>
      <c r="AD124" s="39"/>
      <c r="AE124" s="39"/>
      <c r="AF124" s="39"/>
      <c r="AG124" s="39"/>
      <c r="AH124" s="140" t="str">
        <f t="shared" ref="AH124:AH127" si="229">AH123</f>
        <v>GVV-Concord-WP</v>
      </c>
      <c r="AI124" s="273"/>
      <c r="AJ124" s="140" t="str">
        <f t="shared" ref="AJ124:AJ127" si="230">AJ123</f>
        <v>WP</v>
      </c>
      <c r="AK124" s="273"/>
      <c r="AL124" s="140" t="str">
        <f t="shared" ref="AL124:AL127" si="231">AL123</f>
        <v>Operational</v>
      </c>
      <c r="AM124" s="277"/>
      <c r="AN124" s="140" t="str">
        <f t="shared" ref="AN124:AN127" si="232">AN123</f>
        <v>Toronto</v>
      </c>
      <c r="AO124" s="82" t="s">
        <v>7</v>
      </c>
      <c r="AP124" s="273"/>
      <c r="AQ124" s="140" t="str">
        <f t="shared" ref="AQ124:AQ127" si="233">AQ123</f>
        <v>ECH-06</v>
      </c>
      <c r="AR124" s="306"/>
    </row>
    <row r="125" spans="1:44" s="2" customFormat="1" x14ac:dyDescent="0.3">
      <c r="A125" s="283"/>
      <c r="B125" s="28" t="str">
        <f t="shared" si="226"/>
        <v>Med Aux 05</v>
      </c>
      <c r="C125" s="271" t="s">
        <v>664</v>
      </c>
      <c r="D125" s="38" t="s">
        <v>25</v>
      </c>
      <c r="E125" s="39">
        <v>1</v>
      </c>
      <c r="F125" s="39" t="s">
        <v>74</v>
      </c>
      <c r="G125" s="39">
        <v>0</v>
      </c>
      <c r="H125" s="39">
        <v>0</v>
      </c>
      <c r="I125" s="43"/>
      <c r="J125" s="43" t="s">
        <v>164</v>
      </c>
      <c r="K125" s="70"/>
      <c r="L125" s="71">
        <v>0</v>
      </c>
      <c r="M125" s="71" t="str">
        <f t="shared" si="198"/>
        <v>No</v>
      </c>
      <c r="N125" s="72">
        <v>1</v>
      </c>
      <c r="O125" s="72" t="str">
        <f t="shared" si="199"/>
        <v>Yes</v>
      </c>
      <c r="P125" s="73">
        <v>0</v>
      </c>
      <c r="Q125" s="73" t="str">
        <f t="shared" si="200"/>
        <v>No</v>
      </c>
      <c r="R125" s="71">
        <v>0</v>
      </c>
      <c r="S125" s="15" t="str">
        <f t="shared" si="201"/>
        <v>No</v>
      </c>
      <c r="T125" s="28" t="str">
        <f t="shared" si="227"/>
        <v>120/208 AC</v>
      </c>
      <c r="U125" s="273"/>
      <c r="V125" s="140" t="str">
        <f t="shared" si="228"/>
        <v>3+ Return and Earth</v>
      </c>
      <c r="W125" s="273"/>
      <c r="X125" s="39">
        <v>0</v>
      </c>
      <c r="Y125" s="39">
        <v>1</v>
      </c>
      <c r="Z125" s="39">
        <v>0</v>
      </c>
      <c r="AA125" s="205" t="s">
        <v>380</v>
      </c>
      <c r="AB125" s="152" t="s">
        <v>381</v>
      </c>
      <c r="AC125" s="39"/>
      <c r="AD125" s="39"/>
      <c r="AE125" s="39"/>
      <c r="AF125" s="39"/>
      <c r="AG125" s="39"/>
      <c r="AH125" s="140" t="str">
        <f t="shared" si="229"/>
        <v>GVV-Concord-WP</v>
      </c>
      <c r="AI125" s="273"/>
      <c r="AJ125" s="140" t="str">
        <f t="shared" si="230"/>
        <v>WP</v>
      </c>
      <c r="AK125" s="273"/>
      <c r="AL125" s="140" t="str">
        <f t="shared" si="231"/>
        <v>Operational</v>
      </c>
      <c r="AM125" s="277"/>
      <c r="AN125" s="140" t="str">
        <f t="shared" si="232"/>
        <v>Toronto</v>
      </c>
      <c r="AO125" s="82" t="s">
        <v>7</v>
      </c>
      <c r="AP125" s="273"/>
      <c r="AQ125" s="140" t="str">
        <f t="shared" si="233"/>
        <v>ECH-06</v>
      </c>
      <c r="AR125" s="306"/>
    </row>
    <row r="126" spans="1:44" s="2" customFormat="1" x14ac:dyDescent="0.3">
      <c r="A126" s="283"/>
      <c r="B126" s="28" t="str">
        <f t="shared" si="226"/>
        <v>Med Aux 05</v>
      </c>
      <c r="C126" s="271" t="s">
        <v>664</v>
      </c>
      <c r="D126" s="38" t="s">
        <v>31</v>
      </c>
      <c r="E126" s="39">
        <v>1</v>
      </c>
      <c r="F126" s="39" t="s">
        <v>74</v>
      </c>
      <c r="G126" s="39">
        <v>0</v>
      </c>
      <c r="H126" s="39">
        <v>0</v>
      </c>
      <c r="I126" s="43"/>
      <c r="J126" s="43" t="s">
        <v>164</v>
      </c>
      <c r="K126" s="70"/>
      <c r="L126" s="71">
        <v>0</v>
      </c>
      <c r="M126" s="71" t="str">
        <f t="shared" si="198"/>
        <v>No</v>
      </c>
      <c r="N126" s="72">
        <v>1</v>
      </c>
      <c r="O126" s="72" t="str">
        <f t="shared" si="199"/>
        <v>Yes</v>
      </c>
      <c r="P126" s="73">
        <v>0</v>
      </c>
      <c r="Q126" s="73" t="str">
        <f t="shared" si="200"/>
        <v>No</v>
      </c>
      <c r="R126" s="71">
        <v>0</v>
      </c>
      <c r="S126" s="15" t="str">
        <f t="shared" si="201"/>
        <v>No</v>
      </c>
      <c r="T126" s="28" t="str">
        <f t="shared" si="227"/>
        <v>120/208 AC</v>
      </c>
      <c r="U126" s="273"/>
      <c r="V126" s="140" t="str">
        <f t="shared" si="228"/>
        <v>3+ Return and Earth</v>
      </c>
      <c r="W126" s="273"/>
      <c r="X126" s="39">
        <v>0</v>
      </c>
      <c r="Y126" s="39">
        <v>1</v>
      </c>
      <c r="Z126" s="39">
        <v>0</v>
      </c>
      <c r="AA126" s="205" t="s">
        <v>382</v>
      </c>
      <c r="AB126" s="152" t="s">
        <v>383</v>
      </c>
      <c r="AC126" s="39"/>
      <c r="AD126" s="39"/>
      <c r="AE126" s="39"/>
      <c r="AF126" s="39"/>
      <c r="AG126" s="39"/>
      <c r="AH126" s="140" t="str">
        <f t="shared" si="229"/>
        <v>GVV-Concord-WP</v>
      </c>
      <c r="AI126" s="273"/>
      <c r="AJ126" s="140" t="str">
        <f t="shared" si="230"/>
        <v>WP</v>
      </c>
      <c r="AK126" s="273"/>
      <c r="AL126" s="140" t="str">
        <f t="shared" si="231"/>
        <v>Operational</v>
      </c>
      <c r="AM126" s="277"/>
      <c r="AN126" s="140" t="str">
        <f t="shared" si="232"/>
        <v>Toronto</v>
      </c>
      <c r="AO126" s="82" t="s">
        <v>7</v>
      </c>
      <c r="AP126" s="273"/>
      <c r="AQ126" s="140" t="str">
        <f t="shared" si="233"/>
        <v>ECH-06</v>
      </c>
      <c r="AR126" s="306"/>
    </row>
    <row r="127" spans="1:44" s="3" customFormat="1" ht="15" thickBot="1" x14ac:dyDescent="0.35">
      <c r="A127" s="284"/>
      <c r="B127" s="28" t="str">
        <f t="shared" si="226"/>
        <v>Med Aux 05</v>
      </c>
      <c r="C127" s="271" t="s">
        <v>664</v>
      </c>
      <c r="D127" s="38" t="s">
        <v>32</v>
      </c>
      <c r="E127" s="34">
        <v>1</v>
      </c>
      <c r="F127" s="34" t="s">
        <v>74</v>
      </c>
      <c r="G127" s="34">
        <v>0</v>
      </c>
      <c r="H127" s="34">
        <v>0</v>
      </c>
      <c r="I127" s="44"/>
      <c r="J127" s="44" t="s">
        <v>164</v>
      </c>
      <c r="K127" s="74"/>
      <c r="L127" s="66">
        <v>0</v>
      </c>
      <c r="M127" s="84" t="str">
        <f t="shared" si="198"/>
        <v>No</v>
      </c>
      <c r="N127" s="72">
        <v>1</v>
      </c>
      <c r="O127" s="85" t="str">
        <f t="shared" si="199"/>
        <v>Yes</v>
      </c>
      <c r="P127" s="68">
        <v>0</v>
      </c>
      <c r="Q127" s="68" t="str">
        <f t="shared" si="200"/>
        <v>No</v>
      </c>
      <c r="R127" s="66">
        <v>0</v>
      </c>
      <c r="S127" s="14" t="str">
        <f t="shared" si="201"/>
        <v>No</v>
      </c>
      <c r="T127" s="28" t="str">
        <f t="shared" si="227"/>
        <v>120/208 AC</v>
      </c>
      <c r="U127" s="274"/>
      <c r="V127" s="140" t="str">
        <f t="shared" si="228"/>
        <v>3+ Return and Earth</v>
      </c>
      <c r="W127" s="274"/>
      <c r="X127" s="39">
        <v>0</v>
      </c>
      <c r="Y127" s="49">
        <v>1</v>
      </c>
      <c r="Z127" s="49">
        <v>0</v>
      </c>
      <c r="AA127" s="205" t="s">
        <v>384</v>
      </c>
      <c r="AB127" s="152" t="s">
        <v>385</v>
      </c>
      <c r="AC127" s="49"/>
      <c r="AD127" s="49"/>
      <c r="AE127" s="49"/>
      <c r="AF127" s="49"/>
      <c r="AG127" s="49"/>
      <c r="AH127" s="140" t="str">
        <f t="shared" si="229"/>
        <v>GVV-Concord-WP</v>
      </c>
      <c r="AI127" s="288"/>
      <c r="AJ127" s="140" t="str">
        <f t="shared" si="230"/>
        <v>WP</v>
      </c>
      <c r="AK127" s="288"/>
      <c r="AL127" s="140" t="str">
        <f t="shared" si="231"/>
        <v>Operational</v>
      </c>
      <c r="AM127" s="302"/>
      <c r="AN127" s="140" t="str">
        <f t="shared" si="232"/>
        <v>Toronto</v>
      </c>
      <c r="AO127" s="46" t="s">
        <v>7</v>
      </c>
      <c r="AP127" s="288"/>
      <c r="AQ127" s="140" t="str">
        <f t="shared" si="233"/>
        <v>ECH-06</v>
      </c>
      <c r="AR127" s="307"/>
    </row>
    <row r="128" spans="1:44" s="1" customFormat="1" ht="15" thickTop="1" x14ac:dyDescent="0.3">
      <c r="A128" s="282">
        <f t="shared" si="128"/>
        <v>1</v>
      </c>
      <c r="B128" s="26" t="str">
        <f>C128</f>
        <v>Med Aux 06</v>
      </c>
      <c r="C128" s="271" t="s">
        <v>665</v>
      </c>
      <c r="D128" s="29" t="s">
        <v>22</v>
      </c>
      <c r="E128" s="30">
        <v>1</v>
      </c>
      <c r="F128" s="30" t="s">
        <v>74</v>
      </c>
      <c r="G128" s="30">
        <v>0</v>
      </c>
      <c r="H128" s="30">
        <v>1</v>
      </c>
      <c r="I128" s="42"/>
      <c r="J128" s="42" t="s">
        <v>164</v>
      </c>
      <c r="K128" s="69"/>
      <c r="L128" s="62">
        <v>0</v>
      </c>
      <c r="M128" s="62" t="str">
        <f t="shared" si="198"/>
        <v>No</v>
      </c>
      <c r="N128" s="63">
        <v>1</v>
      </c>
      <c r="O128" s="63" t="str">
        <f t="shared" si="199"/>
        <v>Yes</v>
      </c>
      <c r="P128" s="64">
        <v>0</v>
      </c>
      <c r="Q128" s="64" t="str">
        <f t="shared" si="200"/>
        <v>No</v>
      </c>
      <c r="R128" s="62">
        <v>0</v>
      </c>
      <c r="S128" s="13" t="str">
        <f t="shared" si="201"/>
        <v>No</v>
      </c>
      <c r="T128" s="26" t="str">
        <f>U128</f>
        <v>120/208 AC</v>
      </c>
      <c r="U128" s="272" t="s">
        <v>548</v>
      </c>
      <c r="V128" s="135" t="str">
        <f>W128</f>
        <v>3+ Return and Earth</v>
      </c>
      <c r="W128" s="272" t="s">
        <v>547</v>
      </c>
      <c r="X128" s="30">
        <v>0</v>
      </c>
      <c r="Y128" s="30">
        <v>1</v>
      </c>
      <c r="Z128" s="46">
        <v>0</v>
      </c>
      <c r="AA128" s="205" t="s">
        <v>387</v>
      </c>
      <c r="AB128" s="152" t="s">
        <v>388</v>
      </c>
      <c r="AC128" s="30"/>
      <c r="AD128" s="152" t="s">
        <v>399</v>
      </c>
      <c r="AE128" s="191" t="s">
        <v>471</v>
      </c>
      <c r="AF128" s="192" t="s">
        <v>472</v>
      </c>
      <c r="AG128" s="30"/>
      <c r="AH128" s="135" t="str">
        <f>AI128</f>
        <v>GVV-Concord-WP</v>
      </c>
      <c r="AI128" s="275" t="s">
        <v>6</v>
      </c>
      <c r="AJ128" s="135" t="str">
        <f>AK128</f>
        <v>WP</v>
      </c>
      <c r="AK128" s="275" t="s">
        <v>9</v>
      </c>
      <c r="AL128" s="135" t="str">
        <f>AM128</f>
        <v>Operational</v>
      </c>
      <c r="AM128" s="289" t="s">
        <v>5</v>
      </c>
      <c r="AN128" s="135" t="str">
        <f>AO128</f>
        <v>Toronto</v>
      </c>
      <c r="AO128" s="49" t="s">
        <v>7</v>
      </c>
      <c r="AP128" s="275" t="s">
        <v>8</v>
      </c>
      <c r="AQ128" s="135" t="str">
        <f>AR128</f>
        <v>ECH-05</v>
      </c>
      <c r="AR128" s="305" t="s">
        <v>180</v>
      </c>
    </row>
    <row r="129" spans="1:44" s="2" customFormat="1" x14ac:dyDescent="0.3">
      <c r="A129" s="283"/>
      <c r="B129" s="28" t="str">
        <f>B128</f>
        <v>Med Aux 06</v>
      </c>
      <c r="C129" s="271" t="s">
        <v>665</v>
      </c>
      <c r="D129" s="38" t="s">
        <v>23</v>
      </c>
      <c r="E129" s="39">
        <v>1</v>
      </c>
      <c r="F129" s="39" t="s">
        <v>74</v>
      </c>
      <c r="G129" s="39">
        <v>0</v>
      </c>
      <c r="H129" s="39">
        <v>0</v>
      </c>
      <c r="I129" s="43"/>
      <c r="J129" s="43" t="s">
        <v>164</v>
      </c>
      <c r="K129" s="70"/>
      <c r="L129" s="71">
        <v>0</v>
      </c>
      <c r="M129" s="71" t="str">
        <f t="shared" si="198"/>
        <v>No</v>
      </c>
      <c r="N129" s="72">
        <v>1</v>
      </c>
      <c r="O129" s="72" t="str">
        <f t="shared" si="199"/>
        <v>Yes</v>
      </c>
      <c r="P129" s="73">
        <v>0</v>
      </c>
      <c r="Q129" s="73" t="str">
        <f t="shared" si="200"/>
        <v>No</v>
      </c>
      <c r="R129" s="71">
        <v>0</v>
      </c>
      <c r="S129" s="15" t="str">
        <f t="shared" si="201"/>
        <v>No</v>
      </c>
      <c r="T129" s="28" t="str">
        <f>T128</f>
        <v>120/208 AC</v>
      </c>
      <c r="U129" s="273"/>
      <c r="V129" s="140" t="str">
        <f>V128</f>
        <v>3+ Return and Earth</v>
      </c>
      <c r="W129" s="273"/>
      <c r="X129" s="39">
        <v>0</v>
      </c>
      <c r="Y129" s="39">
        <v>1</v>
      </c>
      <c r="Z129" s="39">
        <v>0</v>
      </c>
      <c r="AA129" s="205" t="s">
        <v>389</v>
      </c>
      <c r="AB129" s="152" t="s">
        <v>390</v>
      </c>
      <c r="AC129" s="39"/>
      <c r="AD129" s="39"/>
      <c r="AE129" s="39"/>
      <c r="AF129" s="39"/>
      <c r="AG129" s="39"/>
      <c r="AH129" s="140" t="str">
        <f>AH128</f>
        <v>GVV-Concord-WP</v>
      </c>
      <c r="AI129" s="273"/>
      <c r="AJ129" s="140" t="str">
        <f>AJ128</f>
        <v>WP</v>
      </c>
      <c r="AK129" s="273"/>
      <c r="AL129" s="140" t="str">
        <f>AL128</f>
        <v>Operational</v>
      </c>
      <c r="AM129" s="277"/>
      <c r="AN129" s="140" t="str">
        <f>AN128</f>
        <v>Toronto</v>
      </c>
      <c r="AO129" s="82" t="s">
        <v>7</v>
      </c>
      <c r="AP129" s="273"/>
      <c r="AQ129" s="140" t="str">
        <f>AQ128</f>
        <v>ECH-05</v>
      </c>
      <c r="AR129" s="306"/>
    </row>
    <row r="130" spans="1:44" s="2" customFormat="1" x14ac:dyDescent="0.3">
      <c r="A130" s="283"/>
      <c r="B130" s="28" t="str">
        <f t="shared" ref="B130:B133" si="234">B129</f>
        <v>Med Aux 06</v>
      </c>
      <c r="C130" s="271" t="s">
        <v>665</v>
      </c>
      <c r="D130" s="38" t="s">
        <v>24</v>
      </c>
      <c r="E130" s="39">
        <v>1</v>
      </c>
      <c r="F130" s="39" t="s">
        <v>74</v>
      </c>
      <c r="G130" s="39">
        <v>0</v>
      </c>
      <c r="H130" s="39">
        <v>0</v>
      </c>
      <c r="I130" s="43"/>
      <c r="J130" s="43" t="s">
        <v>164</v>
      </c>
      <c r="K130" s="70"/>
      <c r="L130" s="71">
        <v>0</v>
      </c>
      <c r="M130" s="71" t="str">
        <f t="shared" si="198"/>
        <v>No</v>
      </c>
      <c r="N130" s="72">
        <v>1</v>
      </c>
      <c r="O130" s="72" t="str">
        <f t="shared" si="199"/>
        <v>Yes</v>
      </c>
      <c r="P130" s="73">
        <v>0</v>
      </c>
      <c r="Q130" s="73" t="str">
        <f t="shared" si="200"/>
        <v>No</v>
      </c>
      <c r="R130" s="71">
        <v>0</v>
      </c>
      <c r="S130" s="15" t="str">
        <f t="shared" si="201"/>
        <v>No</v>
      </c>
      <c r="T130" s="28" t="str">
        <f t="shared" ref="T130:T133" si="235">T129</f>
        <v>120/208 AC</v>
      </c>
      <c r="U130" s="273"/>
      <c r="V130" s="140" t="str">
        <f t="shared" ref="V130:V133" si="236">V129</f>
        <v>3+ Return and Earth</v>
      </c>
      <c r="W130" s="273"/>
      <c r="X130" s="39">
        <v>0</v>
      </c>
      <c r="Y130" s="39">
        <v>1</v>
      </c>
      <c r="Z130" s="39">
        <v>0</v>
      </c>
      <c r="AA130" s="205" t="s">
        <v>391</v>
      </c>
      <c r="AB130" s="152" t="s">
        <v>392</v>
      </c>
      <c r="AC130" s="39"/>
      <c r="AD130" s="39"/>
      <c r="AE130" s="39"/>
      <c r="AF130" s="39"/>
      <c r="AG130" s="39"/>
      <c r="AH130" s="140" t="str">
        <f t="shared" ref="AH130:AH133" si="237">AH129</f>
        <v>GVV-Concord-WP</v>
      </c>
      <c r="AI130" s="273"/>
      <c r="AJ130" s="140" t="str">
        <f t="shared" ref="AJ130:AJ133" si="238">AJ129</f>
        <v>WP</v>
      </c>
      <c r="AK130" s="273"/>
      <c r="AL130" s="140" t="str">
        <f t="shared" ref="AL130:AL133" si="239">AL129</f>
        <v>Operational</v>
      </c>
      <c r="AM130" s="277"/>
      <c r="AN130" s="140" t="str">
        <f t="shared" ref="AN130:AN133" si="240">AN129</f>
        <v>Toronto</v>
      </c>
      <c r="AO130" s="82" t="s">
        <v>7</v>
      </c>
      <c r="AP130" s="273"/>
      <c r="AQ130" s="140" t="str">
        <f t="shared" ref="AQ130:AQ133" si="241">AQ129</f>
        <v>ECH-05</v>
      </c>
      <c r="AR130" s="306"/>
    </row>
    <row r="131" spans="1:44" s="2" customFormat="1" x14ac:dyDescent="0.3">
      <c r="A131" s="283"/>
      <c r="B131" s="28" t="str">
        <f t="shared" si="234"/>
        <v>Med Aux 06</v>
      </c>
      <c r="C131" s="271" t="s">
        <v>665</v>
      </c>
      <c r="D131" s="38" t="s">
        <v>25</v>
      </c>
      <c r="E131" s="39">
        <v>1</v>
      </c>
      <c r="F131" s="39" t="s">
        <v>74</v>
      </c>
      <c r="G131" s="39">
        <v>0</v>
      </c>
      <c r="H131" s="39">
        <v>0</v>
      </c>
      <c r="I131" s="43"/>
      <c r="J131" s="43" t="s">
        <v>164</v>
      </c>
      <c r="K131" s="70"/>
      <c r="L131" s="71">
        <v>0</v>
      </c>
      <c r="M131" s="71" t="str">
        <f t="shared" si="198"/>
        <v>No</v>
      </c>
      <c r="N131" s="72">
        <v>1</v>
      </c>
      <c r="O131" s="72" t="str">
        <f t="shared" si="199"/>
        <v>Yes</v>
      </c>
      <c r="P131" s="73">
        <v>0</v>
      </c>
      <c r="Q131" s="73" t="str">
        <f t="shared" si="200"/>
        <v>No</v>
      </c>
      <c r="R131" s="71">
        <v>0</v>
      </c>
      <c r="S131" s="15" t="str">
        <f t="shared" si="201"/>
        <v>No</v>
      </c>
      <c r="T131" s="28" t="str">
        <f t="shared" si="235"/>
        <v>120/208 AC</v>
      </c>
      <c r="U131" s="273"/>
      <c r="V131" s="140" t="str">
        <f t="shared" si="236"/>
        <v>3+ Return and Earth</v>
      </c>
      <c r="W131" s="273"/>
      <c r="X131" s="39">
        <v>0</v>
      </c>
      <c r="Y131" s="39">
        <v>1</v>
      </c>
      <c r="Z131" s="39">
        <v>0</v>
      </c>
      <c r="AA131" s="205" t="s">
        <v>393</v>
      </c>
      <c r="AB131" s="152" t="s">
        <v>394</v>
      </c>
      <c r="AC131" s="39"/>
      <c r="AD131" s="39"/>
      <c r="AE131" s="39"/>
      <c r="AF131" s="39"/>
      <c r="AG131" s="39"/>
      <c r="AH131" s="140" t="str">
        <f t="shared" si="237"/>
        <v>GVV-Concord-WP</v>
      </c>
      <c r="AI131" s="273"/>
      <c r="AJ131" s="140" t="str">
        <f t="shared" si="238"/>
        <v>WP</v>
      </c>
      <c r="AK131" s="273"/>
      <c r="AL131" s="140" t="str">
        <f t="shared" si="239"/>
        <v>Operational</v>
      </c>
      <c r="AM131" s="277"/>
      <c r="AN131" s="140" t="str">
        <f t="shared" si="240"/>
        <v>Toronto</v>
      </c>
      <c r="AO131" s="82" t="s">
        <v>7</v>
      </c>
      <c r="AP131" s="273"/>
      <c r="AQ131" s="140" t="str">
        <f t="shared" si="241"/>
        <v>ECH-05</v>
      </c>
      <c r="AR131" s="306"/>
    </row>
    <row r="132" spans="1:44" s="2" customFormat="1" x14ac:dyDescent="0.3">
      <c r="A132" s="283"/>
      <c r="B132" s="28" t="str">
        <f t="shared" si="234"/>
        <v>Med Aux 06</v>
      </c>
      <c r="C132" s="271" t="s">
        <v>665</v>
      </c>
      <c r="D132" s="38" t="s">
        <v>31</v>
      </c>
      <c r="E132" s="39">
        <v>1</v>
      </c>
      <c r="F132" s="39" t="s">
        <v>74</v>
      </c>
      <c r="G132" s="39">
        <v>0</v>
      </c>
      <c r="H132" s="39">
        <v>0</v>
      </c>
      <c r="I132" s="43"/>
      <c r="J132" s="43" t="s">
        <v>164</v>
      </c>
      <c r="K132" s="70"/>
      <c r="L132" s="71">
        <v>0</v>
      </c>
      <c r="M132" s="71" t="str">
        <f t="shared" si="198"/>
        <v>No</v>
      </c>
      <c r="N132" s="72">
        <v>1</v>
      </c>
      <c r="O132" s="72" t="str">
        <f t="shared" si="199"/>
        <v>Yes</v>
      </c>
      <c r="P132" s="73">
        <v>0</v>
      </c>
      <c r="Q132" s="73" t="str">
        <f t="shared" si="200"/>
        <v>No</v>
      </c>
      <c r="R132" s="71">
        <v>0</v>
      </c>
      <c r="S132" s="15" t="str">
        <f t="shared" si="201"/>
        <v>No</v>
      </c>
      <c r="T132" s="28" t="str">
        <f t="shared" si="235"/>
        <v>120/208 AC</v>
      </c>
      <c r="U132" s="273"/>
      <c r="V132" s="140" t="str">
        <f t="shared" si="236"/>
        <v>3+ Return and Earth</v>
      </c>
      <c r="W132" s="273"/>
      <c r="X132" s="39">
        <v>0</v>
      </c>
      <c r="Y132" s="39">
        <v>1</v>
      </c>
      <c r="Z132" s="39">
        <v>0</v>
      </c>
      <c r="AA132" s="205" t="s">
        <v>395</v>
      </c>
      <c r="AB132" s="152" t="s">
        <v>396</v>
      </c>
      <c r="AC132" s="39"/>
      <c r="AD132" s="39"/>
      <c r="AE132" s="39"/>
      <c r="AF132" s="39"/>
      <c r="AG132" s="39"/>
      <c r="AH132" s="140" t="str">
        <f t="shared" si="237"/>
        <v>GVV-Concord-WP</v>
      </c>
      <c r="AI132" s="273"/>
      <c r="AJ132" s="140" t="str">
        <f t="shared" si="238"/>
        <v>WP</v>
      </c>
      <c r="AK132" s="273"/>
      <c r="AL132" s="140" t="str">
        <f t="shared" si="239"/>
        <v>Operational</v>
      </c>
      <c r="AM132" s="277"/>
      <c r="AN132" s="140" t="str">
        <f t="shared" si="240"/>
        <v>Toronto</v>
      </c>
      <c r="AO132" s="82" t="s">
        <v>7</v>
      </c>
      <c r="AP132" s="273"/>
      <c r="AQ132" s="140" t="str">
        <f t="shared" si="241"/>
        <v>ECH-05</v>
      </c>
      <c r="AR132" s="306"/>
    </row>
    <row r="133" spans="1:44" s="6" customFormat="1" ht="15" thickBot="1" x14ac:dyDescent="0.35">
      <c r="A133" s="284"/>
      <c r="B133" s="28" t="str">
        <f t="shared" si="234"/>
        <v>Med Aux 06</v>
      </c>
      <c r="C133" s="271" t="s">
        <v>665</v>
      </c>
      <c r="D133" s="48" t="s">
        <v>32</v>
      </c>
      <c r="E133" s="49">
        <v>1</v>
      </c>
      <c r="F133" s="49" t="s">
        <v>74</v>
      </c>
      <c r="G133" s="49">
        <v>0</v>
      </c>
      <c r="H133" s="49">
        <v>0</v>
      </c>
      <c r="I133" s="44"/>
      <c r="J133" s="44" t="s">
        <v>164</v>
      </c>
      <c r="K133" s="86"/>
      <c r="L133" s="84">
        <v>0</v>
      </c>
      <c r="M133" s="84" t="str">
        <f t="shared" si="198"/>
        <v>No</v>
      </c>
      <c r="N133" s="85">
        <v>1</v>
      </c>
      <c r="O133" s="85" t="str">
        <f t="shared" si="199"/>
        <v>Yes</v>
      </c>
      <c r="P133" s="87">
        <v>0</v>
      </c>
      <c r="Q133" s="87" t="str">
        <f t="shared" si="200"/>
        <v>No</v>
      </c>
      <c r="R133" s="84">
        <v>0</v>
      </c>
      <c r="S133" s="20" t="str">
        <f t="shared" si="201"/>
        <v>No</v>
      </c>
      <c r="T133" s="28" t="str">
        <f t="shared" si="235"/>
        <v>120/208 AC</v>
      </c>
      <c r="U133" s="274"/>
      <c r="V133" s="140" t="str">
        <f t="shared" si="236"/>
        <v>3+ Return and Earth</v>
      </c>
      <c r="W133" s="274"/>
      <c r="X133" s="49">
        <v>0</v>
      </c>
      <c r="Y133" s="49">
        <v>1</v>
      </c>
      <c r="Z133" s="49">
        <v>0</v>
      </c>
      <c r="AA133" s="205" t="s">
        <v>397</v>
      </c>
      <c r="AB133" s="152" t="s">
        <v>398</v>
      </c>
      <c r="AC133" s="49"/>
      <c r="AD133" s="49"/>
      <c r="AE133" s="49"/>
      <c r="AF133" s="49"/>
      <c r="AG133" s="49"/>
      <c r="AH133" s="140" t="str">
        <f t="shared" si="237"/>
        <v>GVV-Concord-WP</v>
      </c>
      <c r="AI133" s="288"/>
      <c r="AJ133" s="140" t="str">
        <f t="shared" si="238"/>
        <v>WP</v>
      </c>
      <c r="AK133" s="288"/>
      <c r="AL133" s="140" t="str">
        <f t="shared" si="239"/>
        <v>Operational</v>
      </c>
      <c r="AM133" s="302"/>
      <c r="AN133" s="140" t="str">
        <f t="shared" si="240"/>
        <v>Toronto</v>
      </c>
      <c r="AO133" s="46" t="s">
        <v>7</v>
      </c>
      <c r="AP133" s="288"/>
      <c r="AQ133" s="140" t="str">
        <f t="shared" si="241"/>
        <v>ECH-05</v>
      </c>
      <c r="AR133" s="307"/>
    </row>
    <row r="134" spans="1:44" s="4" customFormat="1" ht="15" thickTop="1" x14ac:dyDescent="0.3">
      <c r="A134" s="282">
        <f t="shared" si="128"/>
        <v>1</v>
      </c>
      <c r="B134" s="26" t="str">
        <f>C134</f>
        <v>Med Aux 07</v>
      </c>
      <c r="C134" s="271" t="s">
        <v>666</v>
      </c>
      <c r="D134" s="50" t="s">
        <v>22</v>
      </c>
      <c r="E134" s="30">
        <v>1</v>
      </c>
      <c r="F134" s="30" t="s">
        <v>14</v>
      </c>
      <c r="G134" s="30">
        <v>0</v>
      </c>
      <c r="H134" s="30">
        <v>1</v>
      </c>
      <c r="I134" s="42"/>
      <c r="J134" s="42" t="s">
        <v>75</v>
      </c>
      <c r="K134" s="88" t="s">
        <v>586</v>
      </c>
      <c r="L134" s="89">
        <v>0</v>
      </c>
      <c r="M134" s="90" t="str">
        <f t="shared" si="198"/>
        <v>No</v>
      </c>
      <c r="N134" s="91">
        <v>1</v>
      </c>
      <c r="O134" s="92" t="str">
        <f t="shared" si="199"/>
        <v>Yes</v>
      </c>
      <c r="P134" s="93">
        <v>0</v>
      </c>
      <c r="Q134" s="94" t="str">
        <f t="shared" si="200"/>
        <v>No</v>
      </c>
      <c r="R134" s="89">
        <v>0</v>
      </c>
      <c r="S134" s="9" t="str">
        <f t="shared" si="201"/>
        <v>No</v>
      </c>
      <c r="T134" s="26" t="str">
        <f>U134</f>
        <v>120/208 AC</v>
      </c>
      <c r="U134" s="272" t="s">
        <v>548</v>
      </c>
      <c r="V134" s="135" t="str">
        <f>W134</f>
        <v>3+ Return and Earth</v>
      </c>
      <c r="W134" s="272" t="s">
        <v>547</v>
      </c>
      <c r="X134" s="30">
        <v>1</v>
      </c>
      <c r="Y134" s="30">
        <v>1</v>
      </c>
      <c r="Z134" s="30">
        <v>0</v>
      </c>
      <c r="AA134" s="204" t="s">
        <v>521</v>
      </c>
      <c r="AB134" s="139" t="s">
        <v>527</v>
      </c>
      <c r="AC134" s="30" t="s">
        <v>478</v>
      </c>
      <c r="AD134" s="30" t="s">
        <v>312</v>
      </c>
      <c r="AE134" s="30" t="s">
        <v>477</v>
      </c>
      <c r="AF134" s="30" t="s">
        <v>476</v>
      </c>
      <c r="AG134" s="30"/>
      <c r="AH134" s="135" t="str">
        <f>AI134</f>
        <v>GVV-Concord-WP</v>
      </c>
      <c r="AI134" s="275" t="s">
        <v>6</v>
      </c>
      <c r="AJ134" s="135" t="str">
        <f>AK134</f>
        <v>WP</v>
      </c>
      <c r="AK134" s="275" t="s">
        <v>9</v>
      </c>
      <c r="AL134" s="135" t="str">
        <f>AM134</f>
        <v>Operational</v>
      </c>
      <c r="AM134" s="289" t="s">
        <v>5</v>
      </c>
      <c r="AN134" s="135" t="str">
        <f>AO134</f>
        <v>Toronto</v>
      </c>
      <c r="AO134" s="49" t="s">
        <v>7</v>
      </c>
      <c r="AP134" s="275" t="s">
        <v>8</v>
      </c>
      <c r="AQ134" s="135" t="str">
        <f>AR134</f>
        <v>ECH-25</v>
      </c>
      <c r="AR134" s="279" t="s">
        <v>195</v>
      </c>
    </row>
    <row r="135" spans="1:44" s="7" customFormat="1" x14ac:dyDescent="0.3">
      <c r="A135" s="283"/>
      <c r="B135" s="28" t="str">
        <f>B134</f>
        <v>Med Aux 07</v>
      </c>
      <c r="C135" s="271" t="s">
        <v>666</v>
      </c>
      <c r="D135" s="51" t="s">
        <v>23</v>
      </c>
      <c r="E135" s="39">
        <v>1</v>
      </c>
      <c r="F135" s="39" t="s">
        <v>14</v>
      </c>
      <c r="G135" s="39">
        <v>0</v>
      </c>
      <c r="H135" s="39">
        <v>1</v>
      </c>
      <c r="I135" s="43"/>
      <c r="J135" s="213" t="s">
        <v>75</v>
      </c>
      <c r="K135" s="95" t="s">
        <v>586</v>
      </c>
      <c r="L135" s="96">
        <v>0</v>
      </c>
      <c r="M135" s="97" t="str">
        <f t="shared" si="198"/>
        <v>No</v>
      </c>
      <c r="N135" s="98">
        <v>1</v>
      </c>
      <c r="O135" s="99" t="str">
        <f t="shared" si="199"/>
        <v>Yes</v>
      </c>
      <c r="P135" s="100">
        <v>0</v>
      </c>
      <c r="Q135" s="101" t="str">
        <f t="shared" si="200"/>
        <v>No</v>
      </c>
      <c r="R135" s="96">
        <v>0</v>
      </c>
      <c r="S135" s="11" t="str">
        <f t="shared" si="201"/>
        <v>No</v>
      </c>
      <c r="T135" s="28" t="str">
        <f>T134</f>
        <v>120/208 AC</v>
      </c>
      <c r="U135" s="273"/>
      <c r="V135" s="140" t="str">
        <f>V134</f>
        <v>3+ Return and Earth</v>
      </c>
      <c r="W135" s="273"/>
      <c r="X135" s="39">
        <v>1</v>
      </c>
      <c r="Y135" s="39">
        <v>1</v>
      </c>
      <c r="Z135" s="39">
        <v>0</v>
      </c>
      <c r="AA135" s="205" t="s">
        <v>522</v>
      </c>
      <c r="AB135" s="142" t="s">
        <v>528</v>
      </c>
      <c r="AC135" s="39"/>
      <c r="AD135" s="39"/>
      <c r="AE135" s="39"/>
      <c r="AF135" s="39"/>
      <c r="AG135" s="39"/>
      <c r="AH135" s="140" t="str">
        <f>AH134</f>
        <v>GVV-Concord-WP</v>
      </c>
      <c r="AI135" s="273"/>
      <c r="AJ135" s="140" t="str">
        <f>AJ134</f>
        <v>WP</v>
      </c>
      <c r="AK135" s="273"/>
      <c r="AL135" s="140" t="str">
        <f>AL134</f>
        <v>Operational</v>
      </c>
      <c r="AM135" s="277"/>
      <c r="AN135" s="140" t="str">
        <f>AN134</f>
        <v>Toronto</v>
      </c>
      <c r="AO135" s="82" t="s">
        <v>7</v>
      </c>
      <c r="AP135" s="273"/>
      <c r="AQ135" s="140" t="str">
        <f>AQ134</f>
        <v>ECH-25</v>
      </c>
      <c r="AR135" s="280"/>
    </row>
    <row r="136" spans="1:44" s="7" customFormat="1" x14ac:dyDescent="0.3">
      <c r="A136" s="283"/>
      <c r="B136" s="28" t="str">
        <f t="shared" ref="B136:B139" si="242">B135</f>
        <v>Med Aux 07</v>
      </c>
      <c r="C136" s="271" t="s">
        <v>666</v>
      </c>
      <c r="D136" s="51" t="s">
        <v>24</v>
      </c>
      <c r="E136" s="39">
        <v>1</v>
      </c>
      <c r="F136" s="39" t="s">
        <v>14</v>
      </c>
      <c r="G136" s="39">
        <v>0</v>
      </c>
      <c r="H136" s="39">
        <v>1</v>
      </c>
      <c r="I136" s="43"/>
      <c r="J136" s="213" t="s">
        <v>75</v>
      </c>
      <c r="K136" s="95" t="s">
        <v>586</v>
      </c>
      <c r="L136" s="96">
        <v>0</v>
      </c>
      <c r="M136" s="97" t="str">
        <f t="shared" si="198"/>
        <v>No</v>
      </c>
      <c r="N136" s="98">
        <v>1</v>
      </c>
      <c r="O136" s="99" t="str">
        <f t="shared" si="199"/>
        <v>Yes</v>
      </c>
      <c r="P136" s="100">
        <v>0</v>
      </c>
      <c r="Q136" s="101" t="str">
        <f t="shared" si="200"/>
        <v>No</v>
      </c>
      <c r="R136" s="96">
        <v>0</v>
      </c>
      <c r="S136" s="11" t="str">
        <f t="shared" si="201"/>
        <v>No</v>
      </c>
      <c r="T136" s="28" t="str">
        <f t="shared" ref="T136:T139" si="243">T135</f>
        <v>120/208 AC</v>
      </c>
      <c r="U136" s="273"/>
      <c r="V136" s="140" t="str">
        <f t="shared" ref="V136:V139" si="244">V135</f>
        <v>3+ Return and Earth</v>
      </c>
      <c r="W136" s="273"/>
      <c r="X136" s="39">
        <v>1</v>
      </c>
      <c r="Y136" s="39">
        <v>1</v>
      </c>
      <c r="Z136" s="39">
        <v>0</v>
      </c>
      <c r="AA136" s="205" t="s">
        <v>524</v>
      </c>
      <c r="AB136" s="142" t="s">
        <v>529</v>
      </c>
      <c r="AC136" s="39"/>
      <c r="AD136" s="39"/>
      <c r="AE136" s="39"/>
      <c r="AF136" s="39"/>
      <c r="AG136" s="39"/>
      <c r="AH136" s="140" t="str">
        <f t="shared" ref="AH136:AH139" si="245">AH135</f>
        <v>GVV-Concord-WP</v>
      </c>
      <c r="AI136" s="273"/>
      <c r="AJ136" s="140" t="str">
        <f t="shared" ref="AJ136:AJ139" si="246">AJ135</f>
        <v>WP</v>
      </c>
      <c r="AK136" s="273"/>
      <c r="AL136" s="140" t="str">
        <f t="shared" ref="AL136:AL139" si="247">AL135</f>
        <v>Operational</v>
      </c>
      <c r="AM136" s="277"/>
      <c r="AN136" s="140" t="str">
        <f t="shared" ref="AN136:AN139" si="248">AN135</f>
        <v>Toronto</v>
      </c>
      <c r="AO136" s="82" t="s">
        <v>7</v>
      </c>
      <c r="AP136" s="273"/>
      <c r="AQ136" s="140" t="str">
        <f t="shared" ref="AQ136:AQ139" si="249">AQ135</f>
        <v>ECH-25</v>
      </c>
      <c r="AR136" s="280"/>
    </row>
    <row r="137" spans="1:44" s="7" customFormat="1" x14ac:dyDescent="0.3">
      <c r="A137" s="283"/>
      <c r="B137" s="28" t="str">
        <f t="shared" si="242"/>
        <v>Med Aux 07</v>
      </c>
      <c r="C137" s="271" t="s">
        <v>666</v>
      </c>
      <c r="D137" s="51" t="s">
        <v>25</v>
      </c>
      <c r="E137" s="39">
        <v>1</v>
      </c>
      <c r="F137" s="39" t="s">
        <v>14</v>
      </c>
      <c r="G137" s="39">
        <v>0</v>
      </c>
      <c r="H137" s="39">
        <v>1</v>
      </c>
      <c r="I137" s="43"/>
      <c r="J137" s="213" t="s">
        <v>75</v>
      </c>
      <c r="K137" s="95" t="s">
        <v>586</v>
      </c>
      <c r="L137" s="96">
        <v>0</v>
      </c>
      <c r="M137" s="97" t="str">
        <f t="shared" si="198"/>
        <v>No</v>
      </c>
      <c r="N137" s="98">
        <v>1</v>
      </c>
      <c r="O137" s="99" t="str">
        <f t="shared" si="199"/>
        <v>Yes</v>
      </c>
      <c r="P137" s="100">
        <v>0</v>
      </c>
      <c r="Q137" s="101" t="str">
        <f t="shared" si="200"/>
        <v>No</v>
      </c>
      <c r="R137" s="96">
        <v>0</v>
      </c>
      <c r="S137" s="11" t="str">
        <f t="shared" si="201"/>
        <v>No</v>
      </c>
      <c r="T137" s="28" t="str">
        <f t="shared" si="243"/>
        <v>120/208 AC</v>
      </c>
      <c r="U137" s="273"/>
      <c r="V137" s="140" t="str">
        <f t="shared" si="244"/>
        <v>3+ Return and Earth</v>
      </c>
      <c r="W137" s="273"/>
      <c r="X137" s="39">
        <v>1</v>
      </c>
      <c r="Y137" s="39">
        <v>1</v>
      </c>
      <c r="Z137" s="39">
        <v>0</v>
      </c>
      <c r="AA137" s="205" t="s">
        <v>525</v>
      </c>
      <c r="AB137" s="142" t="s">
        <v>530</v>
      </c>
      <c r="AC137" s="39"/>
      <c r="AD137" s="39"/>
      <c r="AE137" s="39"/>
      <c r="AF137" s="39"/>
      <c r="AG137" s="39"/>
      <c r="AH137" s="140" t="str">
        <f t="shared" si="245"/>
        <v>GVV-Concord-WP</v>
      </c>
      <c r="AI137" s="273"/>
      <c r="AJ137" s="140" t="str">
        <f t="shared" si="246"/>
        <v>WP</v>
      </c>
      <c r="AK137" s="273"/>
      <c r="AL137" s="140" t="str">
        <f t="shared" si="247"/>
        <v>Operational</v>
      </c>
      <c r="AM137" s="277"/>
      <c r="AN137" s="140" t="str">
        <f t="shared" si="248"/>
        <v>Toronto</v>
      </c>
      <c r="AO137" s="82" t="s">
        <v>7</v>
      </c>
      <c r="AP137" s="273"/>
      <c r="AQ137" s="140" t="str">
        <f t="shared" si="249"/>
        <v>ECH-25</v>
      </c>
      <c r="AR137" s="280"/>
    </row>
    <row r="138" spans="1:44" s="7" customFormat="1" x14ac:dyDescent="0.3">
      <c r="A138" s="283"/>
      <c r="B138" s="28" t="str">
        <f t="shared" si="242"/>
        <v>Med Aux 07</v>
      </c>
      <c r="C138" s="271" t="s">
        <v>666</v>
      </c>
      <c r="D138" s="51" t="s">
        <v>31</v>
      </c>
      <c r="E138" s="39">
        <v>1</v>
      </c>
      <c r="F138" s="39" t="s">
        <v>14</v>
      </c>
      <c r="G138" s="39">
        <v>0</v>
      </c>
      <c r="H138" s="39">
        <v>1</v>
      </c>
      <c r="I138" s="43"/>
      <c r="J138" s="213" t="s">
        <v>75</v>
      </c>
      <c r="K138" s="95" t="s">
        <v>586</v>
      </c>
      <c r="L138" s="96">
        <v>0</v>
      </c>
      <c r="M138" s="97" t="str">
        <f t="shared" si="198"/>
        <v>No</v>
      </c>
      <c r="N138" s="98">
        <v>1</v>
      </c>
      <c r="O138" s="99" t="str">
        <f t="shared" si="199"/>
        <v>Yes</v>
      </c>
      <c r="P138" s="100">
        <v>0</v>
      </c>
      <c r="Q138" s="101" t="str">
        <f t="shared" si="200"/>
        <v>No</v>
      </c>
      <c r="R138" s="96">
        <v>0</v>
      </c>
      <c r="S138" s="11" t="str">
        <f t="shared" si="201"/>
        <v>No</v>
      </c>
      <c r="T138" s="28" t="str">
        <f t="shared" si="243"/>
        <v>120/208 AC</v>
      </c>
      <c r="U138" s="273"/>
      <c r="V138" s="140" t="str">
        <f t="shared" si="244"/>
        <v>3+ Return and Earth</v>
      </c>
      <c r="W138" s="273"/>
      <c r="X138" s="39">
        <v>1</v>
      </c>
      <c r="Y138" s="39">
        <v>1</v>
      </c>
      <c r="Z138" s="39">
        <v>0</v>
      </c>
      <c r="AA138" s="205" t="s">
        <v>526</v>
      </c>
      <c r="AB138" s="142"/>
      <c r="AC138" s="39"/>
      <c r="AD138" s="39"/>
      <c r="AE138" s="39"/>
      <c r="AF138" s="39"/>
      <c r="AG138" s="39"/>
      <c r="AH138" s="140" t="str">
        <f t="shared" si="245"/>
        <v>GVV-Concord-WP</v>
      </c>
      <c r="AI138" s="273"/>
      <c r="AJ138" s="140" t="str">
        <f t="shared" si="246"/>
        <v>WP</v>
      </c>
      <c r="AK138" s="273"/>
      <c r="AL138" s="140" t="str">
        <f t="shared" si="247"/>
        <v>Operational</v>
      </c>
      <c r="AM138" s="277"/>
      <c r="AN138" s="140" t="str">
        <f t="shared" si="248"/>
        <v>Toronto</v>
      </c>
      <c r="AO138" s="82" t="s">
        <v>7</v>
      </c>
      <c r="AP138" s="273"/>
      <c r="AQ138" s="140" t="str">
        <f t="shared" si="249"/>
        <v>ECH-25</v>
      </c>
      <c r="AR138" s="280"/>
    </row>
    <row r="139" spans="1:44" s="5" customFormat="1" ht="15" thickBot="1" x14ac:dyDescent="0.35">
      <c r="A139" s="284"/>
      <c r="B139" s="28" t="str">
        <f t="shared" si="242"/>
        <v>Med Aux 07</v>
      </c>
      <c r="C139" s="271" t="s">
        <v>666</v>
      </c>
      <c r="D139" s="52" t="s">
        <v>32</v>
      </c>
      <c r="E139" s="34">
        <v>1</v>
      </c>
      <c r="F139" s="34" t="s">
        <v>14</v>
      </c>
      <c r="G139" s="34">
        <v>0</v>
      </c>
      <c r="H139" s="34">
        <v>1</v>
      </c>
      <c r="I139" s="44"/>
      <c r="J139" s="214" t="s">
        <v>75</v>
      </c>
      <c r="K139" s="102" t="s">
        <v>586</v>
      </c>
      <c r="L139" s="103">
        <v>0</v>
      </c>
      <c r="M139" s="104" t="str">
        <f t="shared" si="198"/>
        <v>No</v>
      </c>
      <c r="N139" s="105">
        <v>1</v>
      </c>
      <c r="O139" s="106" t="str">
        <f t="shared" si="199"/>
        <v>Yes</v>
      </c>
      <c r="P139" s="107">
        <v>0</v>
      </c>
      <c r="Q139" s="108" t="str">
        <f t="shared" si="200"/>
        <v>No</v>
      </c>
      <c r="R139" s="103">
        <v>0</v>
      </c>
      <c r="S139" s="10" t="str">
        <f t="shared" si="201"/>
        <v>No</v>
      </c>
      <c r="T139" s="28" t="str">
        <f t="shared" si="243"/>
        <v>120/208 AC</v>
      </c>
      <c r="U139" s="274"/>
      <c r="V139" s="140" t="str">
        <f t="shared" si="244"/>
        <v>3+ Return and Earth</v>
      </c>
      <c r="W139" s="274"/>
      <c r="X139" s="34">
        <v>1</v>
      </c>
      <c r="Y139" s="34">
        <v>1</v>
      </c>
      <c r="Z139" s="34">
        <v>0</v>
      </c>
      <c r="AA139" s="210" t="s">
        <v>523</v>
      </c>
      <c r="AB139" s="144"/>
      <c r="AC139" s="34"/>
      <c r="AD139" s="34"/>
      <c r="AE139" s="34"/>
      <c r="AF139" s="34"/>
      <c r="AG139" s="34"/>
      <c r="AH139" s="140" t="str">
        <f t="shared" si="245"/>
        <v>GVV-Concord-WP</v>
      </c>
      <c r="AI139" s="288"/>
      <c r="AJ139" s="140" t="str">
        <f t="shared" si="246"/>
        <v>WP</v>
      </c>
      <c r="AK139" s="274"/>
      <c r="AL139" s="140" t="str">
        <f t="shared" si="247"/>
        <v>Operational</v>
      </c>
      <c r="AM139" s="302"/>
      <c r="AN139" s="140" t="str">
        <f t="shared" si="248"/>
        <v>Toronto</v>
      </c>
      <c r="AO139" s="83" t="s">
        <v>7</v>
      </c>
      <c r="AP139" s="274"/>
      <c r="AQ139" s="140" t="str">
        <f t="shared" si="249"/>
        <v>ECH-25</v>
      </c>
      <c r="AR139" s="281"/>
    </row>
    <row r="140" spans="1:44" s="1" customFormat="1" ht="15" thickTop="1" x14ac:dyDescent="0.3">
      <c r="A140" s="282">
        <f t="shared" si="128"/>
        <v>1</v>
      </c>
      <c r="B140" s="26" t="str">
        <f>C140</f>
        <v>Med Aux 10</v>
      </c>
      <c r="C140" s="271" t="s">
        <v>667</v>
      </c>
      <c r="D140" s="29" t="s">
        <v>22</v>
      </c>
      <c r="E140" s="30">
        <v>1</v>
      </c>
      <c r="F140" s="30" t="s">
        <v>74</v>
      </c>
      <c r="G140" s="30">
        <v>0</v>
      </c>
      <c r="H140" s="30">
        <v>1</v>
      </c>
      <c r="I140" s="42"/>
      <c r="J140" s="42" t="s">
        <v>165</v>
      </c>
      <c r="K140" s="88"/>
      <c r="L140" s="89">
        <v>0</v>
      </c>
      <c r="M140" s="90" t="str">
        <f t="shared" si="198"/>
        <v>No</v>
      </c>
      <c r="N140" s="91">
        <v>1</v>
      </c>
      <c r="O140" s="92" t="str">
        <f t="shared" si="199"/>
        <v>Yes</v>
      </c>
      <c r="P140" s="93">
        <v>0</v>
      </c>
      <c r="Q140" s="94" t="str">
        <f t="shared" si="200"/>
        <v>No</v>
      </c>
      <c r="R140" s="89">
        <v>0</v>
      </c>
      <c r="S140" s="9" t="str">
        <f t="shared" si="201"/>
        <v>No</v>
      </c>
      <c r="T140" s="26">
        <f>U140</f>
        <v>0</v>
      </c>
      <c r="U140" s="168"/>
      <c r="V140" s="135">
        <f>W140</f>
        <v>3</v>
      </c>
      <c r="W140" s="272">
        <v>3</v>
      </c>
      <c r="X140" s="30">
        <v>1</v>
      </c>
      <c r="Y140" s="30">
        <v>0</v>
      </c>
      <c r="Z140" s="30">
        <v>0</v>
      </c>
      <c r="AA140" s="30"/>
      <c r="AB140" s="30"/>
      <c r="AC140" s="30"/>
      <c r="AD140" s="30"/>
      <c r="AE140" s="30"/>
      <c r="AF140" s="30"/>
      <c r="AG140" s="30"/>
      <c r="AH140" s="135" t="str">
        <f>AI140</f>
        <v>GVV-Concord-WP</v>
      </c>
      <c r="AI140" s="272" t="s">
        <v>6</v>
      </c>
      <c r="AJ140" s="135" t="str">
        <f>AK140</f>
        <v>WP</v>
      </c>
      <c r="AK140" s="272" t="s">
        <v>9</v>
      </c>
      <c r="AL140" s="135" t="str">
        <f>AM140</f>
        <v>Operational</v>
      </c>
      <c r="AM140" s="276" t="s">
        <v>5</v>
      </c>
      <c r="AN140" s="135" t="str">
        <f>AO140</f>
        <v>Toronto</v>
      </c>
      <c r="AO140" s="136" t="s">
        <v>7</v>
      </c>
      <c r="AP140" s="272" t="s">
        <v>8</v>
      </c>
      <c r="AQ140" s="135" t="str">
        <f>AR140</f>
        <v>ECH-02</v>
      </c>
      <c r="AR140" s="305" t="s">
        <v>143</v>
      </c>
    </row>
    <row r="141" spans="1:44" s="2" customFormat="1" x14ac:dyDescent="0.3">
      <c r="A141" s="283"/>
      <c r="B141" s="28" t="str">
        <f>B140</f>
        <v>Med Aux 10</v>
      </c>
      <c r="C141" s="271" t="s">
        <v>667</v>
      </c>
      <c r="D141" s="38" t="s">
        <v>23</v>
      </c>
      <c r="E141" s="39">
        <v>1</v>
      </c>
      <c r="F141" s="39" t="s">
        <v>74</v>
      </c>
      <c r="G141" s="39">
        <v>0</v>
      </c>
      <c r="H141" s="39">
        <v>1</v>
      </c>
      <c r="I141" s="43"/>
      <c r="J141" s="43" t="s">
        <v>165</v>
      </c>
      <c r="K141" s="95"/>
      <c r="L141" s="96">
        <v>0</v>
      </c>
      <c r="M141" s="97" t="str">
        <f t="shared" si="198"/>
        <v>No</v>
      </c>
      <c r="N141" s="98">
        <v>1</v>
      </c>
      <c r="O141" s="99" t="str">
        <f t="shared" si="199"/>
        <v>Yes</v>
      </c>
      <c r="P141" s="100">
        <v>0</v>
      </c>
      <c r="Q141" s="101" t="str">
        <f t="shared" si="200"/>
        <v>No</v>
      </c>
      <c r="R141" s="96">
        <v>0</v>
      </c>
      <c r="S141" s="11" t="str">
        <f t="shared" si="201"/>
        <v>No</v>
      </c>
      <c r="T141" s="28">
        <f>T140</f>
        <v>0</v>
      </c>
      <c r="U141" s="169"/>
      <c r="V141" s="140">
        <f>V140</f>
        <v>3</v>
      </c>
      <c r="W141" s="273"/>
      <c r="X141" s="39">
        <v>1</v>
      </c>
      <c r="Y141" s="39">
        <v>0</v>
      </c>
      <c r="Z141" s="39">
        <v>0</v>
      </c>
      <c r="AA141" s="39"/>
      <c r="AB141" s="39"/>
      <c r="AC141" s="39"/>
      <c r="AD141" s="39"/>
      <c r="AE141" s="39"/>
      <c r="AF141" s="39"/>
      <c r="AG141" s="39"/>
      <c r="AH141" s="140" t="str">
        <f>AH140</f>
        <v>GVV-Concord-WP</v>
      </c>
      <c r="AI141" s="273"/>
      <c r="AJ141" s="140" t="str">
        <f>AJ140</f>
        <v>WP</v>
      </c>
      <c r="AK141" s="273"/>
      <c r="AL141" s="140" t="str">
        <f>AL140</f>
        <v>Operational</v>
      </c>
      <c r="AM141" s="277"/>
      <c r="AN141" s="140" t="str">
        <f>AN140</f>
        <v>Toronto</v>
      </c>
      <c r="AO141" s="82" t="s">
        <v>7</v>
      </c>
      <c r="AP141" s="273"/>
      <c r="AQ141" s="140" t="str">
        <f>AQ140</f>
        <v>ECH-02</v>
      </c>
      <c r="AR141" s="306"/>
    </row>
    <row r="142" spans="1:44" s="2" customFormat="1" x14ac:dyDescent="0.3">
      <c r="A142" s="283"/>
      <c r="B142" s="28" t="str">
        <f t="shared" ref="B142:B149" si="250">B141</f>
        <v>Med Aux 10</v>
      </c>
      <c r="C142" s="271" t="s">
        <v>667</v>
      </c>
      <c r="D142" s="38" t="s">
        <v>24</v>
      </c>
      <c r="E142" s="39">
        <v>1</v>
      </c>
      <c r="F142" s="39" t="s">
        <v>74</v>
      </c>
      <c r="G142" s="39">
        <v>0</v>
      </c>
      <c r="H142" s="39">
        <v>1</v>
      </c>
      <c r="I142" s="43"/>
      <c r="J142" s="43" t="s">
        <v>165</v>
      </c>
      <c r="K142" s="95"/>
      <c r="L142" s="96">
        <v>0</v>
      </c>
      <c r="M142" s="97" t="str">
        <f t="shared" si="198"/>
        <v>No</v>
      </c>
      <c r="N142" s="98">
        <v>1</v>
      </c>
      <c r="O142" s="99" t="str">
        <f t="shared" si="199"/>
        <v>Yes</v>
      </c>
      <c r="P142" s="100">
        <v>0</v>
      </c>
      <c r="Q142" s="101" t="str">
        <f t="shared" si="200"/>
        <v>No</v>
      </c>
      <c r="R142" s="96">
        <v>0</v>
      </c>
      <c r="S142" s="11" t="str">
        <f t="shared" si="201"/>
        <v>No</v>
      </c>
      <c r="T142" s="28">
        <f t="shared" ref="T142:T149" si="251">T141</f>
        <v>0</v>
      </c>
      <c r="U142" s="169"/>
      <c r="V142" s="140">
        <f t="shared" ref="V142:V149" si="252">V141</f>
        <v>3</v>
      </c>
      <c r="W142" s="273"/>
      <c r="X142" s="39">
        <v>1</v>
      </c>
      <c r="Y142" s="39">
        <v>0</v>
      </c>
      <c r="Z142" s="39">
        <v>0</v>
      </c>
      <c r="AA142" s="39"/>
      <c r="AB142" s="39"/>
      <c r="AC142" s="39"/>
      <c r="AD142" s="39"/>
      <c r="AE142" s="39"/>
      <c r="AF142" s="39"/>
      <c r="AG142" s="39"/>
      <c r="AH142" s="140" t="str">
        <f t="shared" ref="AH142:AH149" si="253">AH141</f>
        <v>GVV-Concord-WP</v>
      </c>
      <c r="AI142" s="273"/>
      <c r="AJ142" s="140" t="str">
        <f t="shared" ref="AJ142:AJ149" si="254">AJ141</f>
        <v>WP</v>
      </c>
      <c r="AK142" s="273"/>
      <c r="AL142" s="140" t="str">
        <f t="shared" ref="AL142:AL149" si="255">AL141</f>
        <v>Operational</v>
      </c>
      <c r="AM142" s="277"/>
      <c r="AN142" s="140" t="str">
        <f t="shared" ref="AN142:AN149" si="256">AN141</f>
        <v>Toronto</v>
      </c>
      <c r="AO142" s="82" t="s">
        <v>7</v>
      </c>
      <c r="AP142" s="273"/>
      <c r="AQ142" s="140" t="str">
        <f t="shared" ref="AQ142:AQ149" si="257">AQ141</f>
        <v>ECH-02</v>
      </c>
      <c r="AR142" s="306"/>
    </row>
    <row r="143" spans="1:44" s="2" customFormat="1" x14ac:dyDescent="0.3">
      <c r="A143" s="283"/>
      <c r="B143" s="28" t="str">
        <f t="shared" si="250"/>
        <v>Med Aux 10</v>
      </c>
      <c r="C143" s="271" t="s">
        <v>667</v>
      </c>
      <c r="D143" s="38" t="s">
        <v>25</v>
      </c>
      <c r="E143" s="39">
        <v>1</v>
      </c>
      <c r="F143" s="39" t="s">
        <v>74</v>
      </c>
      <c r="G143" s="39">
        <v>0</v>
      </c>
      <c r="H143" s="39">
        <v>1</v>
      </c>
      <c r="I143" s="43"/>
      <c r="J143" s="43" t="s">
        <v>165</v>
      </c>
      <c r="K143" s="95"/>
      <c r="L143" s="96">
        <v>0</v>
      </c>
      <c r="M143" s="97" t="str">
        <f t="shared" si="198"/>
        <v>No</v>
      </c>
      <c r="N143" s="98">
        <v>1</v>
      </c>
      <c r="O143" s="99" t="str">
        <f t="shared" si="199"/>
        <v>Yes</v>
      </c>
      <c r="P143" s="100">
        <v>0</v>
      </c>
      <c r="Q143" s="101" t="str">
        <f t="shared" si="200"/>
        <v>No</v>
      </c>
      <c r="R143" s="96">
        <v>0</v>
      </c>
      <c r="S143" s="11" t="str">
        <f t="shared" si="201"/>
        <v>No</v>
      </c>
      <c r="T143" s="28">
        <f t="shared" si="251"/>
        <v>0</v>
      </c>
      <c r="U143" s="169"/>
      <c r="V143" s="140">
        <f t="shared" si="252"/>
        <v>3</v>
      </c>
      <c r="W143" s="273"/>
      <c r="X143" s="39">
        <v>1</v>
      </c>
      <c r="Y143" s="39">
        <v>0</v>
      </c>
      <c r="Z143" s="39">
        <v>0</v>
      </c>
      <c r="AA143" s="39"/>
      <c r="AB143" s="39"/>
      <c r="AC143" s="39"/>
      <c r="AD143" s="39"/>
      <c r="AE143" s="39"/>
      <c r="AF143" s="39"/>
      <c r="AG143" s="39"/>
      <c r="AH143" s="140" t="str">
        <f t="shared" si="253"/>
        <v>GVV-Concord-WP</v>
      </c>
      <c r="AI143" s="273"/>
      <c r="AJ143" s="140" t="str">
        <f t="shared" si="254"/>
        <v>WP</v>
      </c>
      <c r="AK143" s="273"/>
      <c r="AL143" s="140" t="str">
        <f t="shared" si="255"/>
        <v>Operational</v>
      </c>
      <c r="AM143" s="277"/>
      <c r="AN143" s="140" t="str">
        <f t="shared" si="256"/>
        <v>Toronto</v>
      </c>
      <c r="AO143" s="82" t="s">
        <v>7</v>
      </c>
      <c r="AP143" s="273"/>
      <c r="AQ143" s="140" t="str">
        <f t="shared" si="257"/>
        <v>ECH-02</v>
      </c>
      <c r="AR143" s="306"/>
    </row>
    <row r="144" spans="1:44" s="2" customFormat="1" x14ac:dyDescent="0.3">
      <c r="A144" s="283"/>
      <c r="B144" s="28" t="str">
        <f t="shared" si="250"/>
        <v>Med Aux 10</v>
      </c>
      <c r="C144" s="271" t="s">
        <v>667</v>
      </c>
      <c r="D144" s="38" t="s">
        <v>31</v>
      </c>
      <c r="E144" s="39">
        <v>1</v>
      </c>
      <c r="F144" s="39" t="s">
        <v>74</v>
      </c>
      <c r="G144" s="39">
        <v>0</v>
      </c>
      <c r="H144" s="39">
        <v>1</v>
      </c>
      <c r="I144" s="43"/>
      <c r="J144" s="43" t="s">
        <v>165</v>
      </c>
      <c r="K144" s="95"/>
      <c r="L144" s="96">
        <v>0</v>
      </c>
      <c r="M144" s="97" t="str">
        <f t="shared" si="198"/>
        <v>No</v>
      </c>
      <c r="N144" s="98">
        <v>1</v>
      </c>
      <c r="O144" s="99" t="str">
        <f t="shared" si="199"/>
        <v>Yes</v>
      </c>
      <c r="P144" s="100">
        <v>0</v>
      </c>
      <c r="Q144" s="101" t="str">
        <f t="shared" si="200"/>
        <v>No</v>
      </c>
      <c r="R144" s="96">
        <v>0</v>
      </c>
      <c r="S144" s="11" t="str">
        <f t="shared" si="201"/>
        <v>No</v>
      </c>
      <c r="T144" s="28">
        <f t="shared" si="251"/>
        <v>0</v>
      </c>
      <c r="U144" s="169"/>
      <c r="V144" s="140">
        <f t="shared" si="252"/>
        <v>3</v>
      </c>
      <c r="W144" s="273"/>
      <c r="X144" s="39">
        <v>1</v>
      </c>
      <c r="Y144" s="39">
        <v>0</v>
      </c>
      <c r="Z144" s="39">
        <v>0</v>
      </c>
      <c r="AA144" s="39"/>
      <c r="AB144" s="39"/>
      <c r="AC144" s="39"/>
      <c r="AD144" s="39"/>
      <c r="AE144" s="39"/>
      <c r="AF144" s="39"/>
      <c r="AG144" s="39"/>
      <c r="AH144" s="140" t="str">
        <f t="shared" si="253"/>
        <v>GVV-Concord-WP</v>
      </c>
      <c r="AI144" s="273"/>
      <c r="AJ144" s="140" t="str">
        <f t="shared" si="254"/>
        <v>WP</v>
      </c>
      <c r="AK144" s="273"/>
      <c r="AL144" s="140" t="str">
        <f t="shared" si="255"/>
        <v>Operational</v>
      </c>
      <c r="AM144" s="277"/>
      <c r="AN144" s="140" t="str">
        <f t="shared" si="256"/>
        <v>Toronto</v>
      </c>
      <c r="AO144" s="82" t="s">
        <v>7</v>
      </c>
      <c r="AP144" s="273"/>
      <c r="AQ144" s="140" t="str">
        <f t="shared" si="257"/>
        <v>ECH-02</v>
      </c>
      <c r="AR144" s="306"/>
    </row>
    <row r="145" spans="1:44" s="2" customFormat="1" x14ac:dyDescent="0.3">
      <c r="A145" s="283"/>
      <c r="B145" s="28" t="str">
        <f t="shared" si="250"/>
        <v>Med Aux 10</v>
      </c>
      <c r="C145" s="271" t="s">
        <v>667</v>
      </c>
      <c r="D145" s="38" t="s">
        <v>32</v>
      </c>
      <c r="E145" s="39">
        <v>1</v>
      </c>
      <c r="F145" s="39" t="s">
        <v>74</v>
      </c>
      <c r="G145" s="39">
        <v>0</v>
      </c>
      <c r="H145" s="39">
        <v>1</v>
      </c>
      <c r="I145" s="43"/>
      <c r="J145" s="43" t="s">
        <v>165</v>
      </c>
      <c r="K145" s="95"/>
      <c r="L145" s="96">
        <v>0</v>
      </c>
      <c r="M145" s="97" t="str">
        <f t="shared" si="198"/>
        <v>No</v>
      </c>
      <c r="N145" s="98">
        <v>1</v>
      </c>
      <c r="O145" s="99" t="str">
        <f t="shared" si="199"/>
        <v>Yes</v>
      </c>
      <c r="P145" s="100">
        <v>0</v>
      </c>
      <c r="Q145" s="101" t="str">
        <f t="shared" si="200"/>
        <v>No</v>
      </c>
      <c r="R145" s="96">
        <v>0</v>
      </c>
      <c r="S145" s="11" t="str">
        <f t="shared" si="201"/>
        <v>No</v>
      </c>
      <c r="T145" s="28">
        <f t="shared" si="251"/>
        <v>0</v>
      </c>
      <c r="U145" s="169"/>
      <c r="V145" s="140">
        <f t="shared" si="252"/>
        <v>3</v>
      </c>
      <c r="W145" s="273"/>
      <c r="X145" s="39">
        <v>1</v>
      </c>
      <c r="Y145" s="39">
        <v>0</v>
      </c>
      <c r="Z145" s="39">
        <v>0</v>
      </c>
      <c r="AA145" s="39"/>
      <c r="AB145" s="39"/>
      <c r="AC145" s="39"/>
      <c r="AD145" s="39"/>
      <c r="AE145" s="39"/>
      <c r="AF145" s="39"/>
      <c r="AG145" s="39"/>
      <c r="AH145" s="140" t="str">
        <f t="shared" si="253"/>
        <v>GVV-Concord-WP</v>
      </c>
      <c r="AI145" s="273"/>
      <c r="AJ145" s="140" t="str">
        <f t="shared" si="254"/>
        <v>WP</v>
      </c>
      <c r="AK145" s="273"/>
      <c r="AL145" s="140" t="str">
        <f t="shared" si="255"/>
        <v>Operational</v>
      </c>
      <c r="AM145" s="277"/>
      <c r="AN145" s="140" t="str">
        <f t="shared" si="256"/>
        <v>Toronto</v>
      </c>
      <c r="AO145" s="82" t="s">
        <v>7</v>
      </c>
      <c r="AP145" s="273"/>
      <c r="AQ145" s="140" t="str">
        <f t="shared" si="257"/>
        <v>ECH-02</v>
      </c>
      <c r="AR145" s="306"/>
    </row>
    <row r="146" spans="1:44" s="2" customFormat="1" x14ac:dyDescent="0.3">
      <c r="A146" s="283"/>
      <c r="B146" s="28" t="str">
        <f t="shared" si="250"/>
        <v>Med Aux 10</v>
      </c>
      <c r="C146" s="271" t="s">
        <v>667</v>
      </c>
      <c r="D146" s="38" t="s">
        <v>33</v>
      </c>
      <c r="E146" s="39">
        <v>1</v>
      </c>
      <c r="F146" s="39" t="s">
        <v>74</v>
      </c>
      <c r="G146" s="39">
        <v>0</v>
      </c>
      <c r="H146" s="39">
        <v>1</v>
      </c>
      <c r="I146" s="43"/>
      <c r="J146" s="43" t="s">
        <v>165</v>
      </c>
      <c r="K146" s="95"/>
      <c r="L146" s="96">
        <v>0</v>
      </c>
      <c r="M146" s="97" t="str">
        <f t="shared" si="198"/>
        <v>No</v>
      </c>
      <c r="N146" s="98">
        <v>1</v>
      </c>
      <c r="O146" s="99" t="str">
        <f t="shared" si="199"/>
        <v>Yes</v>
      </c>
      <c r="P146" s="100">
        <v>0</v>
      </c>
      <c r="Q146" s="101" t="str">
        <f t="shared" si="200"/>
        <v>No</v>
      </c>
      <c r="R146" s="96">
        <v>0</v>
      </c>
      <c r="S146" s="11" t="str">
        <f t="shared" si="201"/>
        <v>No</v>
      </c>
      <c r="T146" s="28">
        <f t="shared" si="251"/>
        <v>0</v>
      </c>
      <c r="U146" s="169"/>
      <c r="V146" s="140">
        <f t="shared" si="252"/>
        <v>3</v>
      </c>
      <c r="W146" s="273"/>
      <c r="X146" s="39">
        <v>1</v>
      </c>
      <c r="Y146" s="39">
        <v>0</v>
      </c>
      <c r="Z146" s="39">
        <v>0</v>
      </c>
      <c r="AA146" s="39"/>
      <c r="AB146" s="39"/>
      <c r="AC146" s="39"/>
      <c r="AD146" s="39"/>
      <c r="AE146" s="39"/>
      <c r="AF146" s="39"/>
      <c r="AG146" s="39"/>
      <c r="AH146" s="140" t="str">
        <f t="shared" si="253"/>
        <v>GVV-Concord-WP</v>
      </c>
      <c r="AI146" s="273"/>
      <c r="AJ146" s="140" t="str">
        <f t="shared" si="254"/>
        <v>WP</v>
      </c>
      <c r="AK146" s="273"/>
      <c r="AL146" s="140" t="str">
        <f t="shared" si="255"/>
        <v>Operational</v>
      </c>
      <c r="AM146" s="277"/>
      <c r="AN146" s="140" t="str">
        <f t="shared" si="256"/>
        <v>Toronto</v>
      </c>
      <c r="AO146" s="82" t="s">
        <v>7</v>
      </c>
      <c r="AP146" s="273"/>
      <c r="AQ146" s="140" t="str">
        <f t="shared" si="257"/>
        <v>ECH-02</v>
      </c>
      <c r="AR146" s="306"/>
    </row>
    <row r="147" spans="1:44" s="2" customFormat="1" x14ac:dyDescent="0.3">
      <c r="A147" s="283"/>
      <c r="B147" s="28" t="str">
        <f t="shared" si="250"/>
        <v>Med Aux 10</v>
      </c>
      <c r="C147" s="271" t="s">
        <v>667</v>
      </c>
      <c r="D147" s="38" t="s">
        <v>34</v>
      </c>
      <c r="E147" s="39">
        <v>1</v>
      </c>
      <c r="F147" s="39" t="s">
        <v>74</v>
      </c>
      <c r="G147" s="39">
        <v>0</v>
      </c>
      <c r="H147" s="39">
        <v>1</v>
      </c>
      <c r="I147" s="43"/>
      <c r="J147" s="43" t="s">
        <v>165</v>
      </c>
      <c r="K147" s="95"/>
      <c r="L147" s="96">
        <v>0</v>
      </c>
      <c r="M147" s="97" t="str">
        <f t="shared" si="198"/>
        <v>No</v>
      </c>
      <c r="N147" s="98">
        <v>1</v>
      </c>
      <c r="O147" s="99" t="str">
        <f t="shared" si="199"/>
        <v>Yes</v>
      </c>
      <c r="P147" s="100">
        <v>0</v>
      </c>
      <c r="Q147" s="101" t="str">
        <f t="shared" si="200"/>
        <v>No</v>
      </c>
      <c r="R147" s="96">
        <v>0</v>
      </c>
      <c r="S147" s="11" t="str">
        <f t="shared" si="201"/>
        <v>No</v>
      </c>
      <c r="T147" s="28">
        <f t="shared" si="251"/>
        <v>0</v>
      </c>
      <c r="U147" s="169"/>
      <c r="V147" s="140">
        <f t="shared" si="252"/>
        <v>3</v>
      </c>
      <c r="W147" s="273"/>
      <c r="X147" s="39">
        <v>1</v>
      </c>
      <c r="Y147" s="39">
        <v>0</v>
      </c>
      <c r="Z147" s="39">
        <v>0</v>
      </c>
      <c r="AA147" s="39"/>
      <c r="AB147" s="39"/>
      <c r="AC147" s="39"/>
      <c r="AD147" s="39"/>
      <c r="AE147" s="39"/>
      <c r="AF147" s="39"/>
      <c r="AG147" s="39"/>
      <c r="AH147" s="140" t="str">
        <f t="shared" si="253"/>
        <v>GVV-Concord-WP</v>
      </c>
      <c r="AI147" s="273"/>
      <c r="AJ147" s="140" t="str">
        <f t="shared" si="254"/>
        <v>WP</v>
      </c>
      <c r="AK147" s="273"/>
      <c r="AL147" s="140" t="str">
        <f t="shared" si="255"/>
        <v>Operational</v>
      </c>
      <c r="AM147" s="277"/>
      <c r="AN147" s="140" t="str">
        <f t="shared" si="256"/>
        <v>Toronto</v>
      </c>
      <c r="AO147" s="82" t="s">
        <v>7</v>
      </c>
      <c r="AP147" s="273"/>
      <c r="AQ147" s="140" t="str">
        <f t="shared" si="257"/>
        <v>ECH-02</v>
      </c>
      <c r="AR147" s="306"/>
    </row>
    <row r="148" spans="1:44" s="2" customFormat="1" x14ac:dyDescent="0.3">
      <c r="A148" s="283"/>
      <c r="B148" s="28" t="str">
        <f t="shared" si="250"/>
        <v>Med Aux 10</v>
      </c>
      <c r="C148" s="271" t="s">
        <v>667</v>
      </c>
      <c r="D148" s="38" t="s">
        <v>35</v>
      </c>
      <c r="E148" s="39">
        <v>1</v>
      </c>
      <c r="F148" s="39" t="s">
        <v>74</v>
      </c>
      <c r="G148" s="39">
        <v>0</v>
      </c>
      <c r="H148" s="39">
        <v>1</v>
      </c>
      <c r="I148" s="43"/>
      <c r="J148" s="43" t="s">
        <v>165</v>
      </c>
      <c r="K148" s="95"/>
      <c r="L148" s="96">
        <v>0</v>
      </c>
      <c r="M148" s="97" t="str">
        <f t="shared" si="198"/>
        <v>No</v>
      </c>
      <c r="N148" s="98">
        <v>1</v>
      </c>
      <c r="O148" s="99" t="str">
        <f t="shared" si="199"/>
        <v>Yes</v>
      </c>
      <c r="P148" s="100">
        <v>0</v>
      </c>
      <c r="Q148" s="101" t="str">
        <f t="shared" si="200"/>
        <v>No</v>
      </c>
      <c r="R148" s="96">
        <v>0</v>
      </c>
      <c r="S148" s="11" t="str">
        <f t="shared" si="201"/>
        <v>No</v>
      </c>
      <c r="T148" s="28">
        <f t="shared" si="251"/>
        <v>0</v>
      </c>
      <c r="U148" s="169"/>
      <c r="V148" s="140">
        <f t="shared" si="252"/>
        <v>3</v>
      </c>
      <c r="W148" s="273"/>
      <c r="X148" s="39">
        <v>1</v>
      </c>
      <c r="Y148" s="39">
        <v>0</v>
      </c>
      <c r="Z148" s="39">
        <v>0</v>
      </c>
      <c r="AA148" s="39"/>
      <c r="AB148" s="39"/>
      <c r="AC148" s="39"/>
      <c r="AD148" s="39"/>
      <c r="AE148" s="39"/>
      <c r="AF148" s="39"/>
      <c r="AG148" s="39"/>
      <c r="AH148" s="140" t="str">
        <f t="shared" si="253"/>
        <v>GVV-Concord-WP</v>
      </c>
      <c r="AI148" s="273"/>
      <c r="AJ148" s="140" t="str">
        <f t="shared" si="254"/>
        <v>WP</v>
      </c>
      <c r="AK148" s="273"/>
      <c r="AL148" s="140" t="str">
        <f t="shared" si="255"/>
        <v>Operational</v>
      </c>
      <c r="AM148" s="277"/>
      <c r="AN148" s="140" t="str">
        <f t="shared" si="256"/>
        <v>Toronto</v>
      </c>
      <c r="AO148" s="82" t="s">
        <v>7</v>
      </c>
      <c r="AP148" s="273"/>
      <c r="AQ148" s="140" t="str">
        <f t="shared" si="257"/>
        <v>ECH-02</v>
      </c>
      <c r="AR148" s="306"/>
    </row>
    <row r="149" spans="1:44" s="3" customFormat="1" ht="15" thickBot="1" x14ac:dyDescent="0.35">
      <c r="A149" s="284"/>
      <c r="B149" s="28" t="str">
        <f t="shared" si="250"/>
        <v>Med Aux 10</v>
      </c>
      <c r="C149" s="271" t="s">
        <v>667</v>
      </c>
      <c r="D149" s="33" t="s">
        <v>36</v>
      </c>
      <c r="E149" s="34">
        <v>1</v>
      </c>
      <c r="F149" s="34" t="s">
        <v>74</v>
      </c>
      <c r="G149" s="34">
        <v>0</v>
      </c>
      <c r="H149" s="34">
        <v>1</v>
      </c>
      <c r="I149" s="44"/>
      <c r="J149" s="44" t="s">
        <v>165</v>
      </c>
      <c r="K149" s="102"/>
      <c r="L149" s="103">
        <v>0</v>
      </c>
      <c r="M149" s="104" t="str">
        <f t="shared" si="198"/>
        <v>No</v>
      </c>
      <c r="N149" s="105">
        <v>1</v>
      </c>
      <c r="O149" s="106" t="str">
        <f t="shared" si="199"/>
        <v>Yes</v>
      </c>
      <c r="P149" s="107">
        <v>0</v>
      </c>
      <c r="Q149" s="108" t="str">
        <f t="shared" si="200"/>
        <v>No</v>
      </c>
      <c r="R149" s="103">
        <v>0</v>
      </c>
      <c r="S149" s="10" t="str">
        <f t="shared" si="201"/>
        <v>No</v>
      </c>
      <c r="T149" s="28">
        <f t="shared" si="251"/>
        <v>0</v>
      </c>
      <c r="U149" s="170"/>
      <c r="V149" s="140">
        <f t="shared" si="252"/>
        <v>3</v>
      </c>
      <c r="W149" s="274"/>
      <c r="X149" s="34">
        <v>1</v>
      </c>
      <c r="Y149" s="34">
        <v>0</v>
      </c>
      <c r="Z149" s="34">
        <v>0</v>
      </c>
      <c r="AA149" s="34"/>
      <c r="AB149" s="34"/>
      <c r="AC149" s="34"/>
      <c r="AD149" s="34"/>
      <c r="AE149" s="34"/>
      <c r="AF149" s="34"/>
      <c r="AG149" s="34"/>
      <c r="AH149" s="140" t="str">
        <f t="shared" si="253"/>
        <v>GVV-Concord-WP</v>
      </c>
      <c r="AI149" s="274"/>
      <c r="AJ149" s="140" t="str">
        <f t="shared" si="254"/>
        <v>WP</v>
      </c>
      <c r="AK149" s="274"/>
      <c r="AL149" s="140" t="str">
        <f t="shared" si="255"/>
        <v>Operational</v>
      </c>
      <c r="AM149" s="278"/>
      <c r="AN149" s="140" t="str">
        <f t="shared" si="256"/>
        <v>Toronto</v>
      </c>
      <c r="AO149" s="83" t="s">
        <v>7</v>
      </c>
      <c r="AP149" s="274"/>
      <c r="AQ149" s="140" t="str">
        <f t="shared" si="257"/>
        <v>ECH-02</v>
      </c>
      <c r="AR149" s="307"/>
    </row>
    <row r="150" spans="1:44" s="4" customFormat="1" ht="15" thickTop="1" x14ac:dyDescent="0.3">
      <c r="A150" s="282">
        <f t="shared" ref="A150" si="258">IF(AM150="Operational",1,0)</f>
        <v>1</v>
      </c>
      <c r="B150" s="26" t="str">
        <f>C150</f>
        <v>Med Aux 20</v>
      </c>
      <c r="C150" s="271" t="s">
        <v>668</v>
      </c>
      <c r="D150" s="50" t="s">
        <v>22</v>
      </c>
      <c r="E150" s="30">
        <v>1</v>
      </c>
      <c r="F150" s="30" t="s">
        <v>14</v>
      </c>
      <c r="G150" s="30">
        <v>0</v>
      </c>
      <c r="H150" s="30">
        <v>1</v>
      </c>
      <c r="I150" s="42"/>
      <c r="J150" s="42" t="s">
        <v>75</v>
      </c>
      <c r="K150" s="88" t="s">
        <v>585</v>
      </c>
      <c r="L150" s="89">
        <v>0</v>
      </c>
      <c r="M150" s="90" t="str">
        <f t="shared" ref="M150:M155" si="259">IF(L150&gt;=1,"Yes","No")</f>
        <v>No</v>
      </c>
      <c r="N150" s="91">
        <v>1</v>
      </c>
      <c r="O150" s="92" t="str">
        <f t="shared" ref="O150:O155" si="260">IF(N150&gt;=1,"Yes","No")</f>
        <v>Yes</v>
      </c>
      <c r="P150" s="93">
        <v>0</v>
      </c>
      <c r="Q150" s="94" t="str">
        <f t="shared" ref="Q150:Q155" si="261">IF(P150&gt;=1,"Yes","No")</f>
        <v>No</v>
      </c>
      <c r="R150" s="89">
        <v>0</v>
      </c>
      <c r="S150" s="9" t="str">
        <f t="shared" ref="S150:S155" si="262">IF(R150&gt;=1,"Yes","No")</f>
        <v>No</v>
      </c>
      <c r="T150" s="26" t="str">
        <f>U150</f>
        <v>120/208 AC</v>
      </c>
      <c r="U150" s="272" t="s">
        <v>548</v>
      </c>
      <c r="V150" s="135">
        <f>W150</f>
        <v>3</v>
      </c>
      <c r="W150" s="272">
        <v>3</v>
      </c>
      <c r="X150" s="30">
        <v>1</v>
      </c>
      <c r="Y150" s="30">
        <v>1</v>
      </c>
      <c r="Z150" s="30">
        <v>0</v>
      </c>
      <c r="AA150" s="30"/>
      <c r="AB150" s="30"/>
      <c r="AC150" s="30" t="s">
        <v>478</v>
      </c>
      <c r="AD150" s="221" t="s">
        <v>624</v>
      </c>
      <c r="AE150" s="220" t="s">
        <v>606</v>
      </c>
      <c r="AF150" s="222" t="s">
        <v>625</v>
      </c>
      <c r="AG150" s="30"/>
      <c r="AH150" s="135" t="str">
        <f>AI150</f>
        <v>GVV-Concord-WP</v>
      </c>
      <c r="AI150" s="275" t="s">
        <v>6</v>
      </c>
      <c r="AJ150" s="135" t="str">
        <f>AK150</f>
        <v>WP</v>
      </c>
      <c r="AK150" s="275" t="s">
        <v>9</v>
      </c>
      <c r="AL150" s="135" t="str">
        <f>AM150</f>
        <v>Operational</v>
      </c>
      <c r="AM150" s="289" t="s">
        <v>5</v>
      </c>
      <c r="AN150" s="135" t="str">
        <f>AO150</f>
        <v>Toronto</v>
      </c>
      <c r="AO150" s="49" t="s">
        <v>7</v>
      </c>
      <c r="AP150" s="275" t="s">
        <v>8</v>
      </c>
      <c r="AQ150" s="135" t="str">
        <f>AR150</f>
        <v>NA</v>
      </c>
      <c r="AR150" s="279" t="s">
        <v>400</v>
      </c>
    </row>
    <row r="151" spans="1:44" s="7" customFormat="1" x14ac:dyDescent="0.3">
      <c r="A151" s="283"/>
      <c r="B151" s="28" t="str">
        <f>B150</f>
        <v>Med Aux 20</v>
      </c>
      <c r="C151" s="271" t="s">
        <v>668</v>
      </c>
      <c r="D151" s="51" t="s">
        <v>23</v>
      </c>
      <c r="E151" s="39">
        <v>1</v>
      </c>
      <c r="F151" s="39" t="s">
        <v>14</v>
      </c>
      <c r="G151" s="39">
        <v>0</v>
      </c>
      <c r="H151" s="39">
        <v>1</v>
      </c>
      <c r="I151" s="196"/>
      <c r="J151" s="213" t="s">
        <v>75</v>
      </c>
      <c r="K151" s="70" t="s">
        <v>585</v>
      </c>
      <c r="L151" s="217">
        <v>0</v>
      </c>
      <c r="M151" s="97" t="str">
        <f t="shared" si="259"/>
        <v>No</v>
      </c>
      <c r="N151" s="98">
        <v>1</v>
      </c>
      <c r="O151" s="99" t="str">
        <f t="shared" si="260"/>
        <v>Yes</v>
      </c>
      <c r="P151" s="100">
        <v>0</v>
      </c>
      <c r="Q151" s="101" t="str">
        <f t="shared" si="261"/>
        <v>No</v>
      </c>
      <c r="R151" s="96">
        <v>0</v>
      </c>
      <c r="S151" s="11" t="str">
        <f t="shared" si="262"/>
        <v>No</v>
      </c>
      <c r="T151" s="28" t="str">
        <f>T150</f>
        <v>120/208 AC</v>
      </c>
      <c r="U151" s="273"/>
      <c r="V151" s="140">
        <f>V150</f>
        <v>3</v>
      </c>
      <c r="W151" s="273"/>
      <c r="X151" s="39">
        <v>1</v>
      </c>
      <c r="Y151" s="39">
        <v>1</v>
      </c>
      <c r="Z151" s="39">
        <v>0</v>
      </c>
      <c r="AA151" s="39"/>
      <c r="AB151" s="39"/>
      <c r="AC151" s="39"/>
      <c r="AD151" s="39"/>
      <c r="AE151" s="39"/>
      <c r="AF151" s="39"/>
      <c r="AG151" s="39"/>
      <c r="AH151" s="140" t="str">
        <f>AH150</f>
        <v>GVV-Concord-WP</v>
      </c>
      <c r="AI151" s="273"/>
      <c r="AJ151" s="140" t="str">
        <f>AJ150</f>
        <v>WP</v>
      </c>
      <c r="AK151" s="273"/>
      <c r="AL151" s="140" t="str">
        <f>AL150</f>
        <v>Operational</v>
      </c>
      <c r="AM151" s="277"/>
      <c r="AN151" s="140" t="str">
        <f>AN150</f>
        <v>Toronto</v>
      </c>
      <c r="AO151" s="82" t="s">
        <v>7</v>
      </c>
      <c r="AP151" s="273"/>
      <c r="AQ151" s="140" t="str">
        <f>AQ150</f>
        <v>NA</v>
      </c>
      <c r="AR151" s="280"/>
    </row>
    <row r="152" spans="1:44" s="7" customFormat="1" x14ac:dyDescent="0.3">
      <c r="A152" s="283"/>
      <c r="B152" s="28" t="str">
        <f t="shared" ref="B152:B155" si="263">B151</f>
        <v>Med Aux 20</v>
      </c>
      <c r="C152" s="271" t="s">
        <v>668</v>
      </c>
      <c r="D152" s="51" t="s">
        <v>24</v>
      </c>
      <c r="E152" s="39">
        <v>1</v>
      </c>
      <c r="F152" s="39" t="s">
        <v>14</v>
      </c>
      <c r="G152" s="39">
        <v>0</v>
      </c>
      <c r="H152" s="39">
        <v>1</v>
      </c>
      <c r="I152" s="196"/>
      <c r="J152" s="213" t="s">
        <v>75</v>
      </c>
      <c r="K152" s="70" t="s">
        <v>585</v>
      </c>
      <c r="L152" s="217">
        <v>0</v>
      </c>
      <c r="M152" s="97" t="str">
        <f t="shared" si="259"/>
        <v>No</v>
      </c>
      <c r="N152" s="98">
        <v>1</v>
      </c>
      <c r="O152" s="99" t="str">
        <f t="shared" si="260"/>
        <v>Yes</v>
      </c>
      <c r="P152" s="100">
        <v>0</v>
      </c>
      <c r="Q152" s="101" t="str">
        <f t="shared" si="261"/>
        <v>No</v>
      </c>
      <c r="R152" s="96">
        <v>0</v>
      </c>
      <c r="S152" s="11" t="str">
        <f t="shared" si="262"/>
        <v>No</v>
      </c>
      <c r="T152" s="28" t="str">
        <f t="shared" ref="T152:T155" si="264">T151</f>
        <v>120/208 AC</v>
      </c>
      <c r="U152" s="273"/>
      <c r="V152" s="140">
        <f t="shared" ref="V152:V155" si="265">V151</f>
        <v>3</v>
      </c>
      <c r="W152" s="273"/>
      <c r="X152" s="39">
        <v>1</v>
      </c>
      <c r="Y152" s="39">
        <v>1</v>
      </c>
      <c r="Z152" s="39">
        <v>0</v>
      </c>
      <c r="AA152" s="39"/>
      <c r="AB152" s="39"/>
      <c r="AC152" s="39"/>
      <c r="AD152" s="39"/>
      <c r="AE152" s="39"/>
      <c r="AF152" s="39"/>
      <c r="AG152" s="39"/>
      <c r="AH152" s="140" t="str">
        <f t="shared" ref="AH152:AH155" si="266">AH151</f>
        <v>GVV-Concord-WP</v>
      </c>
      <c r="AI152" s="273"/>
      <c r="AJ152" s="140" t="str">
        <f t="shared" ref="AJ152:AJ155" si="267">AJ151</f>
        <v>WP</v>
      </c>
      <c r="AK152" s="273"/>
      <c r="AL152" s="140" t="str">
        <f t="shared" ref="AL152:AL155" si="268">AL151</f>
        <v>Operational</v>
      </c>
      <c r="AM152" s="277"/>
      <c r="AN152" s="140" t="str">
        <f t="shared" ref="AN152:AN155" si="269">AN151</f>
        <v>Toronto</v>
      </c>
      <c r="AO152" s="82" t="s">
        <v>7</v>
      </c>
      <c r="AP152" s="273"/>
      <c r="AQ152" s="140" t="str">
        <f t="shared" ref="AQ152:AQ155" si="270">AQ151</f>
        <v>NA</v>
      </c>
      <c r="AR152" s="280"/>
    </row>
    <row r="153" spans="1:44" s="7" customFormat="1" x14ac:dyDescent="0.3">
      <c r="A153" s="283"/>
      <c r="B153" s="28" t="str">
        <f t="shared" si="263"/>
        <v>Med Aux 20</v>
      </c>
      <c r="C153" s="271" t="s">
        <v>668</v>
      </c>
      <c r="D153" s="51" t="s">
        <v>25</v>
      </c>
      <c r="E153" s="39">
        <v>1</v>
      </c>
      <c r="F153" s="39" t="s">
        <v>14</v>
      </c>
      <c r="G153" s="39">
        <v>0</v>
      </c>
      <c r="H153" s="39">
        <v>1</v>
      </c>
      <c r="I153" s="196"/>
      <c r="J153" s="213" t="s">
        <v>75</v>
      </c>
      <c r="K153" s="70" t="s">
        <v>585</v>
      </c>
      <c r="L153" s="217">
        <v>0</v>
      </c>
      <c r="M153" s="97" t="str">
        <f t="shared" si="259"/>
        <v>No</v>
      </c>
      <c r="N153" s="98">
        <v>1</v>
      </c>
      <c r="O153" s="99" t="str">
        <f t="shared" si="260"/>
        <v>Yes</v>
      </c>
      <c r="P153" s="100">
        <v>0</v>
      </c>
      <c r="Q153" s="101" t="str">
        <f t="shared" si="261"/>
        <v>No</v>
      </c>
      <c r="R153" s="96">
        <v>0</v>
      </c>
      <c r="S153" s="11" t="str">
        <f t="shared" si="262"/>
        <v>No</v>
      </c>
      <c r="T153" s="28" t="str">
        <f t="shared" si="264"/>
        <v>120/208 AC</v>
      </c>
      <c r="U153" s="273"/>
      <c r="V153" s="140">
        <f t="shared" si="265"/>
        <v>3</v>
      </c>
      <c r="W153" s="273"/>
      <c r="X153" s="39">
        <v>1</v>
      </c>
      <c r="Y153" s="39">
        <v>1</v>
      </c>
      <c r="Z153" s="39">
        <v>0</v>
      </c>
      <c r="AA153" s="39"/>
      <c r="AB153" s="39"/>
      <c r="AC153" s="39"/>
      <c r="AD153" s="39"/>
      <c r="AE153" s="39"/>
      <c r="AF153" s="39"/>
      <c r="AG153" s="39"/>
      <c r="AH153" s="140" t="str">
        <f t="shared" si="266"/>
        <v>GVV-Concord-WP</v>
      </c>
      <c r="AI153" s="273"/>
      <c r="AJ153" s="140" t="str">
        <f t="shared" si="267"/>
        <v>WP</v>
      </c>
      <c r="AK153" s="273"/>
      <c r="AL153" s="140" t="str">
        <f t="shared" si="268"/>
        <v>Operational</v>
      </c>
      <c r="AM153" s="277"/>
      <c r="AN153" s="140" t="str">
        <f t="shared" si="269"/>
        <v>Toronto</v>
      </c>
      <c r="AO153" s="82" t="s">
        <v>7</v>
      </c>
      <c r="AP153" s="273"/>
      <c r="AQ153" s="140" t="str">
        <f t="shared" si="270"/>
        <v>NA</v>
      </c>
      <c r="AR153" s="280"/>
    </row>
    <row r="154" spans="1:44" s="7" customFormat="1" x14ac:dyDescent="0.3">
      <c r="A154" s="283"/>
      <c r="B154" s="28" t="str">
        <f t="shared" si="263"/>
        <v>Med Aux 20</v>
      </c>
      <c r="C154" s="271" t="s">
        <v>668</v>
      </c>
      <c r="D154" s="51" t="s">
        <v>31</v>
      </c>
      <c r="E154" s="39">
        <v>1</v>
      </c>
      <c r="F154" s="39" t="s">
        <v>14</v>
      </c>
      <c r="G154" s="39">
        <v>0</v>
      </c>
      <c r="H154" s="39">
        <v>1</v>
      </c>
      <c r="I154" s="196"/>
      <c r="J154" s="213" t="s">
        <v>75</v>
      </c>
      <c r="K154" s="70" t="s">
        <v>585</v>
      </c>
      <c r="L154" s="217">
        <v>0</v>
      </c>
      <c r="M154" s="97" t="str">
        <f t="shared" si="259"/>
        <v>No</v>
      </c>
      <c r="N154" s="98">
        <v>1</v>
      </c>
      <c r="O154" s="99" t="str">
        <f t="shared" si="260"/>
        <v>Yes</v>
      </c>
      <c r="P154" s="100">
        <v>0</v>
      </c>
      <c r="Q154" s="101" t="str">
        <f t="shared" si="261"/>
        <v>No</v>
      </c>
      <c r="R154" s="96">
        <v>0</v>
      </c>
      <c r="S154" s="11" t="str">
        <f t="shared" si="262"/>
        <v>No</v>
      </c>
      <c r="T154" s="28" t="str">
        <f t="shared" si="264"/>
        <v>120/208 AC</v>
      </c>
      <c r="U154" s="273"/>
      <c r="V154" s="140">
        <f t="shared" si="265"/>
        <v>3</v>
      </c>
      <c r="W154" s="273"/>
      <c r="X154" s="39">
        <v>1</v>
      </c>
      <c r="Y154" s="39">
        <v>1</v>
      </c>
      <c r="Z154" s="39">
        <v>0</v>
      </c>
      <c r="AA154" s="39"/>
      <c r="AB154" s="39"/>
      <c r="AC154" s="39"/>
      <c r="AD154" s="39"/>
      <c r="AE154" s="39"/>
      <c r="AF154" s="39"/>
      <c r="AG154" s="39"/>
      <c r="AH154" s="140" t="str">
        <f t="shared" si="266"/>
        <v>GVV-Concord-WP</v>
      </c>
      <c r="AI154" s="273"/>
      <c r="AJ154" s="140" t="str">
        <f t="shared" si="267"/>
        <v>WP</v>
      </c>
      <c r="AK154" s="273"/>
      <c r="AL154" s="140" t="str">
        <f t="shared" si="268"/>
        <v>Operational</v>
      </c>
      <c r="AM154" s="277"/>
      <c r="AN154" s="140" t="str">
        <f t="shared" si="269"/>
        <v>Toronto</v>
      </c>
      <c r="AO154" s="82" t="s">
        <v>7</v>
      </c>
      <c r="AP154" s="273"/>
      <c r="AQ154" s="140" t="str">
        <f t="shared" si="270"/>
        <v>NA</v>
      </c>
      <c r="AR154" s="280"/>
    </row>
    <row r="155" spans="1:44" s="5" customFormat="1" ht="15" thickBot="1" x14ac:dyDescent="0.35">
      <c r="A155" s="284"/>
      <c r="B155" s="28" t="str">
        <f t="shared" si="263"/>
        <v>Med Aux 20</v>
      </c>
      <c r="C155" s="271" t="s">
        <v>668</v>
      </c>
      <c r="D155" s="52" t="s">
        <v>32</v>
      </c>
      <c r="E155" s="34">
        <v>1</v>
      </c>
      <c r="F155" s="34" t="s">
        <v>14</v>
      </c>
      <c r="G155" s="34">
        <v>0</v>
      </c>
      <c r="H155" s="34">
        <v>1</v>
      </c>
      <c r="I155" s="195"/>
      <c r="J155" s="214" t="s">
        <v>75</v>
      </c>
      <c r="K155" s="95" t="s">
        <v>585</v>
      </c>
      <c r="L155" s="103">
        <v>0</v>
      </c>
      <c r="M155" s="104" t="str">
        <f t="shared" si="259"/>
        <v>No</v>
      </c>
      <c r="N155" s="105">
        <v>1</v>
      </c>
      <c r="O155" s="106" t="str">
        <f t="shared" si="260"/>
        <v>Yes</v>
      </c>
      <c r="P155" s="107">
        <v>0</v>
      </c>
      <c r="Q155" s="108" t="str">
        <f t="shared" si="261"/>
        <v>No</v>
      </c>
      <c r="R155" s="103">
        <v>0</v>
      </c>
      <c r="S155" s="10" t="str">
        <f t="shared" si="262"/>
        <v>No</v>
      </c>
      <c r="T155" s="28" t="str">
        <f t="shared" si="264"/>
        <v>120/208 AC</v>
      </c>
      <c r="U155" s="274"/>
      <c r="V155" s="140">
        <f t="shared" si="265"/>
        <v>3</v>
      </c>
      <c r="W155" s="274"/>
      <c r="X155" s="34">
        <v>1</v>
      </c>
      <c r="Y155" s="34">
        <v>1</v>
      </c>
      <c r="Z155" s="34">
        <v>0</v>
      </c>
      <c r="AA155" s="34"/>
      <c r="AB155" s="34"/>
      <c r="AC155" s="34"/>
      <c r="AD155" s="34"/>
      <c r="AE155" s="34"/>
      <c r="AF155" s="34"/>
      <c r="AG155" s="34"/>
      <c r="AH155" s="140" t="str">
        <f t="shared" si="266"/>
        <v>GVV-Concord-WP</v>
      </c>
      <c r="AI155" s="288"/>
      <c r="AJ155" s="140" t="str">
        <f t="shared" si="267"/>
        <v>WP</v>
      </c>
      <c r="AK155" s="274"/>
      <c r="AL155" s="140" t="str">
        <f t="shared" si="268"/>
        <v>Operational</v>
      </c>
      <c r="AM155" s="278"/>
      <c r="AN155" s="140" t="str">
        <f t="shared" si="269"/>
        <v>Toronto</v>
      </c>
      <c r="AO155" s="83" t="s">
        <v>7</v>
      </c>
      <c r="AP155" s="274"/>
      <c r="AQ155" s="140" t="str">
        <f t="shared" si="270"/>
        <v>NA</v>
      </c>
      <c r="AR155" s="281"/>
    </row>
    <row r="156" spans="1:44" s="4" customFormat="1" ht="15" thickTop="1" x14ac:dyDescent="0.3">
      <c r="A156" s="282">
        <f t="shared" ref="A156" si="271">IF(AM156="Operational",1,0)</f>
        <v>1</v>
      </c>
      <c r="B156" s="26" t="str">
        <f>C156</f>
        <v>Med Aux 21</v>
      </c>
      <c r="C156" s="271" t="s">
        <v>669</v>
      </c>
      <c r="D156" s="50" t="s">
        <v>22</v>
      </c>
      <c r="E156" s="30">
        <v>1</v>
      </c>
      <c r="F156" s="30" t="s">
        <v>14</v>
      </c>
      <c r="G156" s="30">
        <v>0</v>
      </c>
      <c r="H156" s="30">
        <v>1</v>
      </c>
      <c r="I156" s="42"/>
      <c r="J156" s="213" t="s">
        <v>75</v>
      </c>
      <c r="K156" s="88" t="s">
        <v>585</v>
      </c>
      <c r="L156" s="89">
        <v>0</v>
      </c>
      <c r="M156" s="90" t="str">
        <f t="shared" ref="M156:M163" si="272">IF(L156&gt;=1,"Yes","No")</f>
        <v>No</v>
      </c>
      <c r="N156" s="91">
        <v>1</v>
      </c>
      <c r="O156" s="92" t="str">
        <f t="shared" ref="O156:O163" si="273">IF(N156&gt;=1,"Yes","No")</f>
        <v>Yes</v>
      </c>
      <c r="P156" s="93">
        <v>0</v>
      </c>
      <c r="Q156" s="94" t="str">
        <f t="shared" ref="Q156:Q163" si="274">IF(P156&gt;=1,"Yes","No")</f>
        <v>No</v>
      </c>
      <c r="R156" s="89">
        <v>0</v>
      </c>
      <c r="S156" s="9" t="str">
        <f t="shared" ref="S156:S163" si="275">IF(R156&gt;=1,"Yes","No")</f>
        <v>No</v>
      </c>
      <c r="T156" s="26" t="e">
        <f>#REF!</f>
        <v>#REF!</v>
      </c>
      <c r="U156" s="299" t="s">
        <v>548</v>
      </c>
      <c r="V156" s="135">
        <f>W156</f>
        <v>3</v>
      </c>
      <c r="W156" s="272">
        <v>3</v>
      </c>
      <c r="X156" s="30">
        <v>1</v>
      </c>
      <c r="Y156" s="30">
        <v>1</v>
      </c>
      <c r="Z156" s="30">
        <v>0</v>
      </c>
      <c r="AA156" s="218" t="s">
        <v>607</v>
      </c>
      <c r="AB156" s="218" t="s">
        <v>608</v>
      </c>
      <c r="AC156" s="30" t="s">
        <v>478</v>
      </c>
      <c r="AD156" s="221" t="s">
        <v>623</v>
      </c>
      <c r="AE156" s="220" t="s">
        <v>606</v>
      </c>
      <c r="AF156" s="30"/>
      <c r="AG156" s="30"/>
      <c r="AH156" s="135" t="str">
        <f>AI156</f>
        <v>GVV-Concord-WP</v>
      </c>
      <c r="AI156" s="275" t="s">
        <v>6</v>
      </c>
      <c r="AJ156" s="135" t="str">
        <f>AK156</f>
        <v>WP</v>
      </c>
      <c r="AK156" s="275" t="s">
        <v>9</v>
      </c>
      <c r="AL156" s="135" t="str">
        <f>AM156</f>
        <v>Operational</v>
      </c>
      <c r="AM156" s="289" t="s">
        <v>5</v>
      </c>
      <c r="AN156" s="135" t="str">
        <f>AO156</f>
        <v>Toronto</v>
      </c>
      <c r="AO156" s="49" t="s">
        <v>7</v>
      </c>
      <c r="AP156" s="275" t="s">
        <v>8</v>
      </c>
      <c r="AQ156" s="135" t="str">
        <f>AR156</f>
        <v>NA</v>
      </c>
      <c r="AR156" s="279" t="s">
        <v>400</v>
      </c>
    </row>
    <row r="157" spans="1:44" s="7" customFormat="1" x14ac:dyDescent="0.3">
      <c r="A157" s="283"/>
      <c r="B157" s="28" t="str">
        <f>B156</f>
        <v>Med Aux 21</v>
      </c>
      <c r="C157" s="271" t="s">
        <v>669</v>
      </c>
      <c r="D157" s="51" t="s">
        <v>23</v>
      </c>
      <c r="E157" s="39">
        <v>1</v>
      </c>
      <c r="F157" s="39" t="s">
        <v>14</v>
      </c>
      <c r="G157" s="39">
        <v>0</v>
      </c>
      <c r="H157" s="39">
        <v>1</v>
      </c>
      <c r="I157" s="196"/>
      <c r="J157" s="213" t="s">
        <v>75</v>
      </c>
      <c r="K157" s="70" t="s">
        <v>585</v>
      </c>
      <c r="L157" s="96">
        <v>0</v>
      </c>
      <c r="M157" s="97" t="str">
        <f t="shared" si="272"/>
        <v>No</v>
      </c>
      <c r="N157" s="98">
        <v>1</v>
      </c>
      <c r="O157" s="99" t="str">
        <f t="shared" si="273"/>
        <v>Yes</v>
      </c>
      <c r="P157" s="100">
        <v>0</v>
      </c>
      <c r="Q157" s="101" t="str">
        <f t="shared" si="274"/>
        <v>No</v>
      </c>
      <c r="R157" s="96">
        <v>0</v>
      </c>
      <c r="S157" s="11" t="str">
        <f t="shared" si="275"/>
        <v>No</v>
      </c>
      <c r="T157" s="28" t="e">
        <f>T156</f>
        <v>#REF!</v>
      </c>
      <c r="U157" s="300"/>
      <c r="V157" s="140">
        <f>V156</f>
        <v>3</v>
      </c>
      <c r="W157" s="273"/>
      <c r="X157" s="39">
        <v>1</v>
      </c>
      <c r="Y157" s="39">
        <v>1</v>
      </c>
      <c r="Z157" s="39">
        <v>0</v>
      </c>
      <c r="AA157" s="218" t="s">
        <v>609</v>
      </c>
      <c r="AB157" s="218" t="s">
        <v>610</v>
      </c>
      <c r="AC157" s="39"/>
      <c r="AD157" s="39"/>
      <c r="AE157" s="39"/>
      <c r="AF157" s="39"/>
      <c r="AG157" s="39"/>
      <c r="AH157" s="140" t="str">
        <f>AH156</f>
        <v>GVV-Concord-WP</v>
      </c>
      <c r="AI157" s="273"/>
      <c r="AJ157" s="140" t="str">
        <f>AJ156</f>
        <v>WP</v>
      </c>
      <c r="AK157" s="273"/>
      <c r="AL157" s="140" t="str">
        <f>AL156</f>
        <v>Operational</v>
      </c>
      <c r="AM157" s="277"/>
      <c r="AN157" s="140" t="str">
        <f>AN156</f>
        <v>Toronto</v>
      </c>
      <c r="AO157" s="82" t="s">
        <v>7</v>
      </c>
      <c r="AP157" s="273"/>
      <c r="AQ157" s="140" t="str">
        <f>AQ156</f>
        <v>NA</v>
      </c>
      <c r="AR157" s="280"/>
    </row>
    <row r="158" spans="1:44" s="7" customFormat="1" x14ac:dyDescent="0.3">
      <c r="A158" s="283"/>
      <c r="B158" s="28" t="str">
        <f t="shared" ref="B158:B163" si="276">B157</f>
        <v>Med Aux 21</v>
      </c>
      <c r="C158" s="271" t="s">
        <v>669</v>
      </c>
      <c r="D158" s="51" t="s">
        <v>24</v>
      </c>
      <c r="E158" s="39">
        <v>1</v>
      </c>
      <c r="F158" s="39" t="s">
        <v>14</v>
      </c>
      <c r="G158" s="39">
        <v>0</v>
      </c>
      <c r="H158" s="39">
        <v>1</v>
      </c>
      <c r="I158" s="196"/>
      <c r="J158" s="213" t="s">
        <v>75</v>
      </c>
      <c r="K158" s="70" t="s">
        <v>585</v>
      </c>
      <c r="L158" s="96">
        <v>0</v>
      </c>
      <c r="M158" s="97" t="str">
        <f t="shared" si="272"/>
        <v>No</v>
      </c>
      <c r="N158" s="98">
        <v>1</v>
      </c>
      <c r="O158" s="99" t="str">
        <f t="shared" si="273"/>
        <v>Yes</v>
      </c>
      <c r="P158" s="100">
        <v>0</v>
      </c>
      <c r="Q158" s="101" t="str">
        <f t="shared" si="274"/>
        <v>No</v>
      </c>
      <c r="R158" s="96">
        <v>0</v>
      </c>
      <c r="S158" s="11" t="str">
        <f t="shared" si="275"/>
        <v>No</v>
      </c>
      <c r="T158" s="28" t="e">
        <f t="shared" ref="T158:T163" si="277">T157</f>
        <v>#REF!</v>
      </c>
      <c r="U158" s="300"/>
      <c r="V158" s="140">
        <f t="shared" ref="V158:V163" si="278">V157</f>
        <v>3</v>
      </c>
      <c r="W158" s="273"/>
      <c r="X158" s="39">
        <v>1</v>
      </c>
      <c r="Y158" s="39">
        <v>1</v>
      </c>
      <c r="Z158" s="39">
        <v>0</v>
      </c>
      <c r="AA158" s="218" t="s">
        <v>611</v>
      </c>
      <c r="AB158" s="218" t="s">
        <v>612</v>
      </c>
      <c r="AC158" s="39"/>
      <c r="AD158" s="39"/>
      <c r="AE158" s="39"/>
      <c r="AF158" s="39"/>
      <c r="AG158" s="39"/>
      <c r="AH158" s="140" t="str">
        <f t="shared" ref="AH158:AH163" si="279">AH157</f>
        <v>GVV-Concord-WP</v>
      </c>
      <c r="AI158" s="273"/>
      <c r="AJ158" s="140" t="str">
        <f t="shared" ref="AJ158:AJ163" si="280">AJ157</f>
        <v>WP</v>
      </c>
      <c r="AK158" s="273"/>
      <c r="AL158" s="140" t="str">
        <f t="shared" ref="AL158:AL163" si="281">AL157</f>
        <v>Operational</v>
      </c>
      <c r="AM158" s="277"/>
      <c r="AN158" s="140" t="str">
        <f t="shared" ref="AN158:AN163" si="282">AN157</f>
        <v>Toronto</v>
      </c>
      <c r="AO158" s="82" t="s">
        <v>7</v>
      </c>
      <c r="AP158" s="273"/>
      <c r="AQ158" s="140" t="str">
        <f t="shared" ref="AQ158:AQ163" si="283">AQ157</f>
        <v>NA</v>
      </c>
      <c r="AR158" s="280"/>
    </row>
    <row r="159" spans="1:44" s="7" customFormat="1" x14ac:dyDescent="0.3">
      <c r="A159" s="283"/>
      <c r="B159" s="28" t="str">
        <f>B156</f>
        <v>Med Aux 21</v>
      </c>
      <c r="C159" s="271" t="s">
        <v>669</v>
      </c>
      <c r="D159" s="51" t="s">
        <v>25</v>
      </c>
      <c r="E159" s="39">
        <v>1</v>
      </c>
      <c r="F159" s="39" t="s">
        <v>14</v>
      </c>
      <c r="G159" s="39">
        <v>0</v>
      </c>
      <c r="H159" s="39">
        <v>1</v>
      </c>
      <c r="I159" s="211"/>
      <c r="J159" s="213" t="s">
        <v>75</v>
      </c>
      <c r="K159" s="70" t="s">
        <v>585</v>
      </c>
      <c r="L159" s="96">
        <v>0</v>
      </c>
      <c r="M159" s="97" t="str">
        <f t="shared" ref="M159:M160" si="284">IF(L159&gt;=1,"Yes","No")</f>
        <v>No</v>
      </c>
      <c r="N159" s="98">
        <v>1</v>
      </c>
      <c r="O159" s="99" t="str">
        <f t="shared" ref="O159:O160" si="285">IF(N159&gt;=1,"Yes","No")</f>
        <v>Yes</v>
      </c>
      <c r="P159" s="100">
        <v>0</v>
      </c>
      <c r="Q159" s="101" t="str">
        <f t="shared" ref="Q159:Q160" si="286">IF(P159&gt;=1,"Yes","No")</f>
        <v>No</v>
      </c>
      <c r="R159" s="96">
        <v>0</v>
      </c>
      <c r="S159" s="11" t="str">
        <f t="shared" ref="S159:S160" si="287">IF(R159&gt;=1,"Yes","No")</f>
        <v>No</v>
      </c>
      <c r="T159" s="28" t="e">
        <f>T156</f>
        <v>#REF!</v>
      </c>
      <c r="U159" s="300"/>
      <c r="V159" s="140">
        <f>V156</f>
        <v>3</v>
      </c>
      <c r="W159" s="273"/>
      <c r="X159" s="39">
        <v>1</v>
      </c>
      <c r="Y159" s="39">
        <v>1</v>
      </c>
      <c r="Z159" s="39">
        <v>0</v>
      </c>
      <c r="AA159" s="218" t="s">
        <v>613</v>
      </c>
      <c r="AB159" s="218" t="s">
        <v>614</v>
      </c>
      <c r="AC159" s="39"/>
      <c r="AD159" s="39"/>
      <c r="AE159" s="39"/>
      <c r="AF159" s="39"/>
      <c r="AG159" s="39"/>
      <c r="AH159" s="140" t="str">
        <f>AH156</f>
        <v>GVV-Concord-WP</v>
      </c>
      <c r="AI159" s="273"/>
      <c r="AJ159" s="140" t="str">
        <f>AJ156</f>
        <v>WP</v>
      </c>
      <c r="AK159" s="273"/>
      <c r="AL159" s="140" t="str">
        <f>AL156</f>
        <v>Operational</v>
      </c>
      <c r="AM159" s="277"/>
      <c r="AN159" s="140" t="str">
        <f>AN156</f>
        <v>Toronto</v>
      </c>
      <c r="AO159" s="82" t="s">
        <v>7</v>
      </c>
      <c r="AP159" s="273"/>
      <c r="AQ159" s="140" t="str">
        <f>AQ156</f>
        <v>NA</v>
      </c>
      <c r="AR159" s="280"/>
    </row>
    <row r="160" spans="1:44" s="7" customFormat="1" x14ac:dyDescent="0.3">
      <c r="A160" s="283"/>
      <c r="B160" s="28" t="str">
        <f t="shared" si="276"/>
        <v>Med Aux 21</v>
      </c>
      <c r="C160" s="271" t="s">
        <v>669</v>
      </c>
      <c r="D160" s="51" t="s">
        <v>31</v>
      </c>
      <c r="E160" s="39">
        <v>1</v>
      </c>
      <c r="F160" s="39" t="s">
        <v>14</v>
      </c>
      <c r="G160" s="39">
        <v>0</v>
      </c>
      <c r="H160" s="39">
        <v>1</v>
      </c>
      <c r="I160" s="211"/>
      <c r="J160" s="213" t="s">
        <v>75</v>
      </c>
      <c r="K160" s="70" t="s">
        <v>585</v>
      </c>
      <c r="L160" s="96">
        <v>0</v>
      </c>
      <c r="M160" s="97" t="str">
        <f t="shared" si="284"/>
        <v>No</v>
      </c>
      <c r="N160" s="98">
        <v>1</v>
      </c>
      <c r="O160" s="99" t="str">
        <f t="shared" si="285"/>
        <v>Yes</v>
      </c>
      <c r="P160" s="100">
        <v>0</v>
      </c>
      <c r="Q160" s="101" t="str">
        <f t="shared" si="286"/>
        <v>No</v>
      </c>
      <c r="R160" s="96">
        <v>0</v>
      </c>
      <c r="S160" s="11" t="str">
        <f t="shared" si="287"/>
        <v>No</v>
      </c>
      <c r="T160" s="28" t="e">
        <f t="shared" si="277"/>
        <v>#REF!</v>
      </c>
      <c r="U160" s="300"/>
      <c r="V160" s="140">
        <f t="shared" si="278"/>
        <v>3</v>
      </c>
      <c r="W160" s="273"/>
      <c r="X160" s="39">
        <v>1</v>
      </c>
      <c r="Y160" s="39">
        <v>1</v>
      </c>
      <c r="Z160" s="39">
        <v>0</v>
      </c>
      <c r="AA160" s="218" t="s">
        <v>615</v>
      </c>
      <c r="AB160" s="218" t="s">
        <v>616</v>
      </c>
      <c r="AC160" s="39"/>
      <c r="AD160" s="39"/>
      <c r="AE160" s="39"/>
      <c r="AF160" s="39"/>
      <c r="AG160" s="39"/>
      <c r="AH160" s="140" t="str">
        <f t="shared" si="279"/>
        <v>GVV-Concord-WP</v>
      </c>
      <c r="AI160" s="273"/>
      <c r="AJ160" s="140" t="str">
        <f t="shared" si="280"/>
        <v>WP</v>
      </c>
      <c r="AK160" s="273"/>
      <c r="AL160" s="140" t="str">
        <f t="shared" si="281"/>
        <v>Operational</v>
      </c>
      <c r="AM160" s="277"/>
      <c r="AN160" s="140" t="str">
        <f t="shared" si="282"/>
        <v>Toronto</v>
      </c>
      <c r="AO160" s="82" t="s">
        <v>7</v>
      </c>
      <c r="AP160" s="273"/>
      <c r="AQ160" s="140" t="str">
        <f t="shared" si="283"/>
        <v>NA</v>
      </c>
      <c r="AR160" s="280"/>
    </row>
    <row r="161" spans="1:44" s="7" customFormat="1" x14ac:dyDescent="0.3">
      <c r="A161" s="283"/>
      <c r="B161" s="28" t="str">
        <f>B158</f>
        <v>Med Aux 21</v>
      </c>
      <c r="C161" s="271" t="s">
        <v>669</v>
      </c>
      <c r="D161" s="51" t="s">
        <v>32</v>
      </c>
      <c r="E161" s="39">
        <v>1</v>
      </c>
      <c r="F161" s="39" t="s">
        <v>14</v>
      </c>
      <c r="G161" s="39">
        <v>0</v>
      </c>
      <c r="H161" s="39">
        <v>1</v>
      </c>
      <c r="I161" s="196"/>
      <c r="J161" s="213" t="s">
        <v>75</v>
      </c>
      <c r="K161" s="95" t="s">
        <v>585</v>
      </c>
      <c r="L161" s="96">
        <v>0</v>
      </c>
      <c r="M161" s="97" t="str">
        <f t="shared" si="272"/>
        <v>No</v>
      </c>
      <c r="N161" s="98">
        <v>1</v>
      </c>
      <c r="O161" s="99" t="str">
        <f t="shared" si="273"/>
        <v>Yes</v>
      </c>
      <c r="P161" s="100">
        <v>0</v>
      </c>
      <c r="Q161" s="101" t="str">
        <f t="shared" si="274"/>
        <v>No</v>
      </c>
      <c r="R161" s="96">
        <v>0</v>
      </c>
      <c r="S161" s="11" t="str">
        <f t="shared" si="275"/>
        <v>No</v>
      </c>
      <c r="T161" s="28" t="e">
        <f>T158</f>
        <v>#REF!</v>
      </c>
      <c r="U161" s="300"/>
      <c r="V161" s="140">
        <f>V158</f>
        <v>3</v>
      </c>
      <c r="W161" s="273"/>
      <c r="X161" s="39">
        <v>1</v>
      </c>
      <c r="Y161" s="39">
        <v>1</v>
      </c>
      <c r="Z161" s="39">
        <v>0</v>
      </c>
      <c r="AA161" s="218" t="s">
        <v>617</v>
      </c>
      <c r="AB161" s="218" t="s">
        <v>618</v>
      </c>
      <c r="AC161" s="39"/>
      <c r="AD161" s="39"/>
      <c r="AE161" s="39"/>
      <c r="AF161" s="39"/>
      <c r="AG161" s="39"/>
      <c r="AH161" s="140" t="str">
        <f>AH158</f>
        <v>GVV-Concord-WP</v>
      </c>
      <c r="AI161" s="273"/>
      <c r="AJ161" s="140" t="str">
        <f>AJ158</f>
        <v>WP</v>
      </c>
      <c r="AK161" s="273"/>
      <c r="AL161" s="140" t="str">
        <f>AL158</f>
        <v>Operational</v>
      </c>
      <c r="AM161" s="277"/>
      <c r="AN161" s="140" t="str">
        <f>AN158</f>
        <v>Toronto</v>
      </c>
      <c r="AO161" s="82" t="s">
        <v>7</v>
      </c>
      <c r="AP161" s="273"/>
      <c r="AQ161" s="140" t="str">
        <f>AQ158</f>
        <v>NA</v>
      </c>
      <c r="AR161" s="280"/>
    </row>
    <row r="162" spans="1:44" s="7" customFormat="1" x14ac:dyDescent="0.3">
      <c r="A162" s="283"/>
      <c r="B162" s="28" t="str">
        <f t="shared" si="276"/>
        <v>Med Aux 21</v>
      </c>
      <c r="C162" s="271" t="s">
        <v>669</v>
      </c>
      <c r="D162" s="51" t="s">
        <v>33</v>
      </c>
      <c r="E162" s="39">
        <v>1</v>
      </c>
      <c r="F162" s="39" t="s">
        <v>14</v>
      </c>
      <c r="G162" s="39">
        <v>0</v>
      </c>
      <c r="H162" s="39">
        <v>1</v>
      </c>
      <c r="I162" s="196"/>
      <c r="J162" s="213" t="s">
        <v>75</v>
      </c>
      <c r="K162" s="70" t="s">
        <v>585</v>
      </c>
      <c r="L162" s="96">
        <v>0</v>
      </c>
      <c r="M162" s="97" t="str">
        <f t="shared" si="272"/>
        <v>No</v>
      </c>
      <c r="N162" s="98">
        <v>1</v>
      </c>
      <c r="O162" s="99" t="str">
        <f t="shared" si="273"/>
        <v>Yes</v>
      </c>
      <c r="P162" s="100">
        <v>0</v>
      </c>
      <c r="Q162" s="101" t="str">
        <f t="shared" si="274"/>
        <v>No</v>
      </c>
      <c r="R162" s="96">
        <v>0</v>
      </c>
      <c r="S162" s="11" t="str">
        <f t="shared" si="275"/>
        <v>No</v>
      </c>
      <c r="T162" s="28" t="e">
        <f t="shared" si="277"/>
        <v>#REF!</v>
      </c>
      <c r="U162" s="300"/>
      <c r="V162" s="140">
        <f t="shared" si="278"/>
        <v>3</v>
      </c>
      <c r="W162" s="273"/>
      <c r="X162" s="39">
        <v>1</v>
      </c>
      <c r="Y162" s="39">
        <v>1</v>
      </c>
      <c r="Z162" s="39">
        <v>0</v>
      </c>
      <c r="AA162" s="218" t="s">
        <v>619</v>
      </c>
      <c r="AB162" s="218" t="s">
        <v>620</v>
      </c>
      <c r="AC162" s="39"/>
      <c r="AD162" s="39"/>
      <c r="AE162" s="39"/>
      <c r="AF162" s="39"/>
      <c r="AG162" s="39"/>
      <c r="AH162" s="140" t="str">
        <f t="shared" si="279"/>
        <v>GVV-Concord-WP</v>
      </c>
      <c r="AI162" s="273"/>
      <c r="AJ162" s="140" t="str">
        <f t="shared" si="280"/>
        <v>WP</v>
      </c>
      <c r="AK162" s="273"/>
      <c r="AL162" s="140" t="str">
        <f t="shared" si="281"/>
        <v>Operational</v>
      </c>
      <c r="AM162" s="277"/>
      <c r="AN162" s="140" t="str">
        <f t="shared" si="282"/>
        <v>Toronto</v>
      </c>
      <c r="AO162" s="82" t="s">
        <v>7</v>
      </c>
      <c r="AP162" s="273"/>
      <c r="AQ162" s="140" t="str">
        <f t="shared" si="283"/>
        <v>NA</v>
      </c>
      <c r="AR162" s="280"/>
    </row>
    <row r="163" spans="1:44" s="5" customFormat="1" ht="15" thickBot="1" x14ac:dyDescent="0.35">
      <c r="A163" s="284"/>
      <c r="B163" s="28" t="str">
        <f t="shared" si="276"/>
        <v>Med Aux 21</v>
      </c>
      <c r="C163" s="271" t="s">
        <v>669</v>
      </c>
      <c r="D163" s="52" t="s">
        <v>34</v>
      </c>
      <c r="E163" s="34">
        <v>1</v>
      </c>
      <c r="F163" s="34" t="s">
        <v>14</v>
      </c>
      <c r="G163" s="34">
        <v>0</v>
      </c>
      <c r="H163" s="34">
        <v>1</v>
      </c>
      <c r="I163" s="195"/>
      <c r="J163" s="212" t="s">
        <v>75</v>
      </c>
      <c r="K163" s="70" t="s">
        <v>585</v>
      </c>
      <c r="L163" s="103">
        <v>0</v>
      </c>
      <c r="M163" s="104" t="str">
        <f t="shared" si="272"/>
        <v>No</v>
      </c>
      <c r="N163" s="105">
        <v>1</v>
      </c>
      <c r="O163" s="106" t="str">
        <f t="shared" si="273"/>
        <v>Yes</v>
      </c>
      <c r="P163" s="107">
        <v>0</v>
      </c>
      <c r="Q163" s="108" t="str">
        <f t="shared" si="274"/>
        <v>No</v>
      </c>
      <c r="R163" s="103">
        <v>0</v>
      </c>
      <c r="S163" s="10" t="str">
        <f t="shared" si="275"/>
        <v>No</v>
      </c>
      <c r="T163" s="28" t="e">
        <f t="shared" si="277"/>
        <v>#REF!</v>
      </c>
      <c r="U163" s="301"/>
      <c r="V163" s="140">
        <f t="shared" si="278"/>
        <v>3</v>
      </c>
      <c r="W163" s="274"/>
      <c r="X163" s="34">
        <v>1</v>
      </c>
      <c r="Y163" s="34">
        <v>1</v>
      </c>
      <c r="Z163" s="34">
        <v>0</v>
      </c>
      <c r="AA163" s="218" t="s">
        <v>621</v>
      </c>
      <c r="AB163" s="218" t="s">
        <v>622</v>
      </c>
      <c r="AC163" s="34"/>
      <c r="AD163" s="34"/>
      <c r="AE163" s="34"/>
      <c r="AF163" s="34"/>
      <c r="AG163" s="34"/>
      <c r="AH163" s="140" t="str">
        <f t="shared" si="279"/>
        <v>GVV-Concord-WP</v>
      </c>
      <c r="AI163" s="288"/>
      <c r="AJ163" s="140" t="str">
        <f t="shared" si="280"/>
        <v>WP</v>
      </c>
      <c r="AK163" s="274"/>
      <c r="AL163" s="140" t="str">
        <f t="shared" si="281"/>
        <v>Operational</v>
      </c>
      <c r="AM163" s="278"/>
      <c r="AN163" s="140" t="str">
        <f t="shared" si="282"/>
        <v>Toronto</v>
      </c>
      <c r="AO163" s="83" t="s">
        <v>7</v>
      </c>
      <c r="AP163" s="274"/>
      <c r="AQ163" s="140" t="str">
        <f t="shared" si="283"/>
        <v>NA</v>
      </c>
      <c r="AR163" s="281"/>
    </row>
    <row r="164" spans="1:44" s="4" customFormat="1" ht="15" thickTop="1" x14ac:dyDescent="0.3">
      <c r="A164" s="282">
        <f t="shared" ref="A164" si="288">IF(AM164="Operational",1,0)</f>
        <v>1</v>
      </c>
      <c r="B164" s="26" t="str">
        <f>C164</f>
        <v>Med Aux 22</v>
      </c>
      <c r="C164" s="271" t="s">
        <v>670</v>
      </c>
      <c r="D164" s="50" t="s">
        <v>22</v>
      </c>
      <c r="E164" s="30">
        <v>1</v>
      </c>
      <c r="F164" s="30" t="s">
        <v>14</v>
      </c>
      <c r="G164" s="30">
        <v>0</v>
      </c>
      <c r="H164" s="30">
        <v>1</v>
      </c>
      <c r="I164" s="42"/>
      <c r="J164" s="213" t="s">
        <v>75</v>
      </c>
      <c r="K164" s="88" t="s">
        <v>585</v>
      </c>
      <c r="L164" s="89">
        <v>0</v>
      </c>
      <c r="M164" s="90" t="str">
        <f t="shared" ref="M164:M171" si="289">IF(L164&gt;=1,"Yes","No")</f>
        <v>No</v>
      </c>
      <c r="N164" s="91">
        <v>1</v>
      </c>
      <c r="O164" s="92" t="str">
        <f t="shared" ref="O164:O171" si="290">IF(N164&gt;=1,"Yes","No")</f>
        <v>Yes</v>
      </c>
      <c r="P164" s="93">
        <v>0</v>
      </c>
      <c r="Q164" s="94" t="str">
        <f t="shared" ref="Q164:Q171" si="291">IF(P164&gt;=1,"Yes","No")</f>
        <v>No</v>
      </c>
      <c r="R164" s="89">
        <v>0</v>
      </c>
      <c r="S164" s="9" t="str">
        <f t="shared" ref="S164:S171" si="292">IF(R164&gt;=1,"Yes","No")</f>
        <v>No</v>
      </c>
      <c r="T164" s="26" t="str">
        <f>U164</f>
        <v>120/208 AC</v>
      </c>
      <c r="U164" s="299" t="s">
        <v>548</v>
      </c>
      <c r="V164" s="135">
        <f>W164</f>
        <v>3</v>
      </c>
      <c r="W164" s="272">
        <v>3</v>
      </c>
      <c r="X164" s="30">
        <v>1</v>
      </c>
      <c r="Y164" s="30">
        <v>1</v>
      </c>
      <c r="Z164" s="30">
        <v>0</v>
      </c>
      <c r="AA164" s="218" t="s">
        <v>589</v>
      </c>
      <c r="AB164" s="218" t="s">
        <v>590</v>
      </c>
      <c r="AC164" s="30" t="s">
        <v>478</v>
      </c>
      <c r="AD164" s="219" t="s">
        <v>605</v>
      </c>
      <c r="AE164" s="220" t="s">
        <v>606</v>
      </c>
      <c r="AF164" s="30"/>
      <c r="AG164" s="30"/>
      <c r="AH164" s="135" t="str">
        <f>AI164</f>
        <v>GVV-Concord-WP</v>
      </c>
      <c r="AI164" s="275" t="s">
        <v>6</v>
      </c>
      <c r="AJ164" s="135" t="str">
        <f>AK164</f>
        <v>WP</v>
      </c>
      <c r="AK164" s="275" t="s">
        <v>9</v>
      </c>
      <c r="AL164" s="135" t="str">
        <f>AM164</f>
        <v>Operational</v>
      </c>
      <c r="AM164" s="289" t="s">
        <v>5</v>
      </c>
      <c r="AN164" s="135" t="str">
        <f>AO164</f>
        <v>Toronto</v>
      </c>
      <c r="AO164" s="49" t="s">
        <v>7</v>
      </c>
      <c r="AP164" s="275" t="s">
        <v>8</v>
      </c>
      <c r="AQ164" s="135" t="str">
        <f>AR164</f>
        <v>NA</v>
      </c>
      <c r="AR164" s="279" t="s">
        <v>400</v>
      </c>
    </row>
    <row r="165" spans="1:44" s="7" customFormat="1" x14ac:dyDescent="0.3">
      <c r="A165" s="283"/>
      <c r="B165" s="28" t="str">
        <f>B164</f>
        <v>Med Aux 22</v>
      </c>
      <c r="C165" s="271" t="s">
        <v>670</v>
      </c>
      <c r="D165" s="51" t="s">
        <v>23</v>
      </c>
      <c r="E165" s="39">
        <v>1</v>
      </c>
      <c r="F165" s="39" t="s">
        <v>14</v>
      </c>
      <c r="G165" s="39">
        <v>0</v>
      </c>
      <c r="H165" s="39">
        <v>1</v>
      </c>
      <c r="I165" s="211"/>
      <c r="J165" s="213" t="s">
        <v>75</v>
      </c>
      <c r="K165" s="70" t="s">
        <v>585</v>
      </c>
      <c r="L165" s="96">
        <v>0</v>
      </c>
      <c r="M165" s="97" t="str">
        <f t="shared" si="289"/>
        <v>No</v>
      </c>
      <c r="N165" s="98">
        <v>1</v>
      </c>
      <c r="O165" s="99" t="str">
        <f t="shared" si="290"/>
        <v>Yes</v>
      </c>
      <c r="P165" s="100">
        <v>0</v>
      </c>
      <c r="Q165" s="101" t="str">
        <f t="shared" si="291"/>
        <v>No</v>
      </c>
      <c r="R165" s="96">
        <v>0</v>
      </c>
      <c r="S165" s="11" t="str">
        <f t="shared" si="292"/>
        <v>No</v>
      </c>
      <c r="T165" s="28" t="str">
        <f>T164</f>
        <v>120/208 AC</v>
      </c>
      <c r="U165" s="300"/>
      <c r="V165" s="140">
        <f>V164</f>
        <v>3</v>
      </c>
      <c r="W165" s="273"/>
      <c r="X165" s="39">
        <v>1</v>
      </c>
      <c r="Y165" s="39">
        <v>1</v>
      </c>
      <c r="Z165" s="39">
        <v>0</v>
      </c>
      <c r="AA165" s="218" t="s">
        <v>591</v>
      </c>
      <c r="AB165" s="218" t="s">
        <v>592</v>
      </c>
      <c r="AC165" s="39"/>
      <c r="AD165" s="39"/>
      <c r="AE165" s="39"/>
      <c r="AF165" s="39"/>
      <c r="AG165" s="39"/>
      <c r="AH165" s="140" t="str">
        <f>AH164</f>
        <v>GVV-Concord-WP</v>
      </c>
      <c r="AI165" s="273"/>
      <c r="AJ165" s="140" t="str">
        <f>AJ164</f>
        <v>WP</v>
      </c>
      <c r="AK165" s="273"/>
      <c r="AL165" s="140" t="str">
        <f>AL164</f>
        <v>Operational</v>
      </c>
      <c r="AM165" s="277"/>
      <c r="AN165" s="140" t="str">
        <f>AN164</f>
        <v>Toronto</v>
      </c>
      <c r="AO165" s="82" t="s">
        <v>7</v>
      </c>
      <c r="AP165" s="273"/>
      <c r="AQ165" s="140" t="str">
        <f>AQ164</f>
        <v>NA</v>
      </c>
      <c r="AR165" s="280"/>
    </row>
    <row r="166" spans="1:44" s="7" customFormat="1" x14ac:dyDescent="0.3">
      <c r="A166" s="283"/>
      <c r="B166" s="28" t="str">
        <f t="shared" ref="B166:B171" si="293">B165</f>
        <v>Med Aux 22</v>
      </c>
      <c r="C166" s="271" t="s">
        <v>670</v>
      </c>
      <c r="D166" s="51" t="s">
        <v>24</v>
      </c>
      <c r="E166" s="39">
        <v>1</v>
      </c>
      <c r="F166" s="39" t="s">
        <v>14</v>
      </c>
      <c r="G166" s="39">
        <v>0</v>
      </c>
      <c r="H166" s="39">
        <v>1</v>
      </c>
      <c r="I166" s="211"/>
      <c r="J166" s="213" t="s">
        <v>75</v>
      </c>
      <c r="K166" s="70" t="s">
        <v>585</v>
      </c>
      <c r="L166" s="96">
        <v>0</v>
      </c>
      <c r="M166" s="97" t="str">
        <f t="shared" si="289"/>
        <v>No</v>
      </c>
      <c r="N166" s="98">
        <v>1</v>
      </c>
      <c r="O166" s="99" t="str">
        <f t="shared" si="290"/>
        <v>Yes</v>
      </c>
      <c r="P166" s="100">
        <v>0</v>
      </c>
      <c r="Q166" s="101" t="str">
        <f t="shared" si="291"/>
        <v>No</v>
      </c>
      <c r="R166" s="96">
        <v>0</v>
      </c>
      <c r="S166" s="11" t="str">
        <f t="shared" si="292"/>
        <v>No</v>
      </c>
      <c r="T166" s="28" t="str">
        <f t="shared" ref="T166:T171" si="294">T165</f>
        <v>120/208 AC</v>
      </c>
      <c r="U166" s="300"/>
      <c r="V166" s="140">
        <f t="shared" ref="V166:V171" si="295">V165</f>
        <v>3</v>
      </c>
      <c r="W166" s="273"/>
      <c r="X166" s="39">
        <v>1</v>
      </c>
      <c r="Y166" s="39">
        <v>1</v>
      </c>
      <c r="Z166" s="39">
        <v>0</v>
      </c>
      <c r="AA166" s="218" t="s">
        <v>593</v>
      </c>
      <c r="AB166" s="218" t="s">
        <v>594</v>
      </c>
      <c r="AC166" s="39"/>
      <c r="AD166" s="39"/>
      <c r="AE166" s="39"/>
      <c r="AF166" s="39"/>
      <c r="AG166" s="39"/>
      <c r="AH166" s="140" t="str">
        <f t="shared" ref="AH166:AH171" si="296">AH165</f>
        <v>GVV-Concord-WP</v>
      </c>
      <c r="AI166" s="273"/>
      <c r="AJ166" s="140" t="str">
        <f t="shared" ref="AJ166:AJ171" si="297">AJ165</f>
        <v>WP</v>
      </c>
      <c r="AK166" s="273"/>
      <c r="AL166" s="140" t="str">
        <f t="shared" ref="AL166:AL171" si="298">AL165</f>
        <v>Operational</v>
      </c>
      <c r="AM166" s="277"/>
      <c r="AN166" s="140" t="str">
        <f t="shared" ref="AN166:AN171" si="299">AN165</f>
        <v>Toronto</v>
      </c>
      <c r="AO166" s="82" t="s">
        <v>7</v>
      </c>
      <c r="AP166" s="273"/>
      <c r="AQ166" s="140" t="str">
        <f t="shared" ref="AQ166:AQ171" si="300">AQ165</f>
        <v>NA</v>
      </c>
      <c r="AR166" s="280"/>
    </row>
    <row r="167" spans="1:44" s="7" customFormat="1" x14ac:dyDescent="0.3">
      <c r="A167" s="283"/>
      <c r="B167" s="28" t="str">
        <f>B164</f>
        <v>Med Aux 22</v>
      </c>
      <c r="C167" s="271" t="s">
        <v>670</v>
      </c>
      <c r="D167" s="51" t="s">
        <v>25</v>
      </c>
      <c r="E167" s="39">
        <v>1</v>
      </c>
      <c r="F167" s="39" t="s">
        <v>14</v>
      </c>
      <c r="G167" s="39">
        <v>0</v>
      </c>
      <c r="H167" s="39">
        <v>1</v>
      </c>
      <c r="I167" s="211"/>
      <c r="J167" s="213" t="s">
        <v>75</v>
      </c>
      <c r="K167" s="70" t="s">
        <v>585</v>
      </c>
      <c r="L167" s="96">
        <v>0</v>
      </c>
      <c r="M167" s="97" t="str">
        <f t="shared" ref="M167:M168" si="301">IF(L167&gt;=1,"Yes","No")</f>
        <v>No</v>
      </c>
      <c r="N167" s="98">
        <v>1</v>
      </c>
      <c r="O167" s="99" t="str">
        <f t="shared" ref="O167:O168" si="302">IF(N167&gt;=1,"Yes","No")</f>
        <v>Yes</v>
      </c>
      <c r="P167" s="100">
        <v>0</v>
      </c>
      <c r="Q167" s="101" t="str">
        <f t="shared" ref="Q167:Q168" si="303">IF(P167&gt;=1,"Yes","No")</f>
        <v>No</v>
      </c>
      <c r="R167" s="96">
        <v>0</v>
      </c>
      <c r="S167" s="11" t="str">
        <f t="shared" ref="S167:S168" si="304">IF(R167&gt;=1,"Yes","No")</f>
        <v>No</v>
      </c>
      <c r="T167" s="28" t="str">
        <f>T164</f>
        <v>120/208 AC</v>
      </c>
      <c r="U167" s="300"/>
      <c r="V167" s="140">
        <f>V164</f>
        <v>3</v>
      </c>
      <c r="W167" s="273"/>
      <c r="X167" s="39">
        <v>1</v>
      </c>
      <c r="Y167" s="39">
        <v>1</v>
      </c>
      <c r="Z167" s="39">
        <v>0</v>
      </c>
      <c r="AA167" s="218" t="s">
        <v>595</v>
      </c>
      <c r="AB167" s="218" t="s">
        <v>596</v>
      </c>
      <c r="AC167" s="39"/>
      <c r="AD167" s="39"/>
      <c r="AE167" s="39"/>
      <c r="AF167" s="39"/>
      <c r="AG167" s="39"/>
      <c r="AH167" s="140" t="str">
        <f>AH164</f>
        <v>GVV-Concord-WP</v>
      </c>
      <c r="AI167" s="273"/>
      <c r="AJ167" s="140" t="str">
        <f>AJ164</f>
        <v>WP</v>
      </c>
      <c r="AK167" s="273"/>
      <c r="AL167" s="140" t="str">
        <f>AL164</f>
        <v>Operational</v>
      </c>
      <c r="AM167" s="277"/>
      <c r="AN167" s="140" t="str">
        <f>AN164</f>
        <v>Toronto</v>
      </c>
      <c r="AO167" s="82" t="s">
        <v>7</v>
      </c>
      <c r="AP167" s="273"/>
      <c r="AQ167" s="140" t="str">
        <f>AQ164</f>
        <v>NA</v>
      </c>
      <c r="AR167" s="280"/>
    </row>
    <row r="168" spans="1:44" s="7" customFormat="1" x14ac:dyDescent="0.3">
      <c r="A168" s="283"/>
      <c r="B168" s="28" t="str">
        <f t="shared" si="293"/>
        <v>Med Aux 22</v>
      </c>
      <c r="C168" s="271" t="s">
        <v>670</v>
      </c>
      <c r="D168" s="51" t="s">
        <v>31</v>
      </c>
      <c r="E168" s="39">
        <v>1</v>
      </c>
      <c r="F168" s="39" t="s">
        <v>14</v>
      </c>
      <c r="G168" s="39">
        <v>0</v>
      </c>
      <c r="H168" s="39">
        <v>1</v>
      </c>
      <c r="I168" s="211"/>
      <c r="J168" s="213" t="s">
        <v>75</v>
      </c>
      <c r="K168" s="70" t="s">
        <v>585</v>
      </c>
      <c r="L168" s="96">
        <v>0</v>
      </c>
      <c r="M168" s="97" t="str">
        <f t="shared" si="301"/>
        <v>No</v>
      </c>
      <c r="N168" s="98">
        <v>1</v>
      </c>
      <c r="O168" s="99" t="str">
        <f t="shared" si="302"/>
        <v>Yes</v>
      </c>
      <c r="P168" s="100">
        <v>0</v>
      </c>
      <c r="Q168" s="101" t="str">
        <f t="shared" si="303"/>
        <v>No</v>
      </c>
      <c r="R168" s="96">
        <v>0</v>
      </c>
      <c r="S168" s="11" t="str">
        <f t="shared" si="304"/>
        <v>No</v>
      </c>
      <c r="T168" s="28" t="str">
        <f t="shared" si="294"/>
        <v>120/208 AC</v>
      </c>
      <c r="U168" s="300"/>
      <c r="V168" s="140">
        <f t="shared" si="295"/>
        <v>3</v>
      </c>
      <c r="W168" s="273"/>
      <c r="X168" s="39">
        <v>1</v>
      </c>
      <c r="Y168" s="39">
        <v>1</v>
      </c>
      <c r="Z168" s="39">
        <v>0</v>
      </c>
      <c r="AA168" s="218" t="s">
        <v>597</v>
      </c>
      <c r="AB168" s="218" t="s">
        <v>598</v>
      </c>
      <c r="AC168" s="39"/>
      <c r="AD168" s="39"/>
      <c r="AE168" s="39"/>
      <c r="AF168" s="39"/>
      <c r="AG168" s="39"/>
      <c r="AH168" s="140" t="str">
        <f t="shared" si="296"/>
        <v>GVV-Concord-WP</v>
      </c>
      <c r="AI168" s="273"/>
      <c r="AJ168" s="140" t="str">
        <f t="shared" si="297"/>
        <v>WP</v>
      </c>
      <c r="AK168" s="273"/>
      <c r="AL168" s="140" t="str">
        <f t="shared" si="298"/>
        <v>Operational</v>
      </c>
      <c r="AM168" s="277"/>
      <c r="AN168" s="140" t="str">
        <f t="shared" si="299"/>
        <v>Toronto</v>
      </c>
      <c r="AO168" s="82" t="s">
        <v>7</v>
      </c>
      <c r="AP168" s="273"/>
      <c r="AQ168" s="140" t="str">
        <f t="shared" si="300"/>
        <v>NA</v>
      </c>
      <c r="AR168" s="280"/>
    </row>
    <row r="169" spans="1:44" s="7" customFormat="1" x14ac:dyDescent="0.3">
      <c r="A169" s="283"/>
      <c r="B169" s="28" t="str">
        <f>B166</f>
        <v>Med Aux 22</v>
      </c>
      <c r="C169" s="271" t="s">
        <v>670</v>
      </c>
      <c r="D169" s="51" t="s">
        <v>32</v>
      </c>
      <c r="E169" s="39">
        <v>1</v>
      </c>
      <c r="F169" s="39" t="s">
        <v>14</v>
      </c>
      <c r="G169" s="39">
        <v>0</v>
      </c>
      <c r="H169" s="39">
        <v>1</v>
      </c>
      <c r="I169" s="211"/>
      <c r="J169" s="213" t="s">
        <v>75</v>
      </c>
      <c r="K169" s="95" t="s">
        <v>585</v>
      </c>
      <c r="L169" s="96">
        <v>0</v>
      </c>
      <c r="M169" s="97" t="str">
        <f t="shared" si="289"/>
        <v>No</v>
      </c>
      <c r="N169" s="98">
        <v>1</v>
      </c>
      <c r="O169" s="99" t="str">
        <f t="shared" si="290"/>
        <v>Yes</v>
      </c>
      <c r="P169" s="100">
        <v>0</v>
      </c>
      <c r="Q169" s="101" t="str">
        <f t="shared" si="291"/>
        <v>No</v>
      </c>
      <c r="R169" s="96">
        <v>0</v>
      </c>
      <c r="S169" s="11" t="str">
        <f t="shared" si="292"/>
        <v>No</v>
      </c>
      <c r="T169" s="28" t="str">
        <f>T166</f>
        <v>120/208 AC</v>
      </c>
      <c r="U169" s="300"/>
      <c r="V169" s="140">
        <f>V166</f>
        <v>3</v>
      </c>
      <c r="W169" s="273"/>
      <c r="X169" s="39">
        <v>1</v>
      </c>
      <c r="Y169" s="39">
        <v>1</v>
      </c>
      <c r="Z169" s="39">
        <v>0</v>
      </c>
      <c r="AA169" s="218" t="s">
        <v>599</v>
      </c>
      <c r="AB169" s="218" t="s">
        <v>600</v>
      </c>
      <c r="AC169" s="39"/>
      <c r="AD169" s="39"/>
      <c r="AE169" s="39"/>
      <c r="AF169" s="39"/>
      <c r="AG169" s="39"/>
      <c r="AH169" s="140" t="str">
        <f>AH166</f>
        <v>GVV-Concord-WP</v>
      </c>
      <c r="AI169" s="273"/>
      <c r="AJ169" s="140" t="str">
        <f>AJ166</f>
        <v>WP</v>
      </c>
      <c r="AK169" s="273"/>
      <c r="AL169" s="140" t="str">
        <f>AL166</f>
        <v>Operational</v>
      </c>
      <c r="AM169" s="277"/>
      <c r="AN169" s="140" t="str">
        <f>AN166</f>
        <v>Toronto</v>
      </c>
      <c r="AO169" s="82" t="s">
        <v>7</v>
      </c>
      <c r="AP169" s="273"/>
      <c r="AQ169" s="140" t="str">
        <f>AQ166</f>
        <v>NA</v>
      </c>
      <c r="AR169" s="280"/>
    </row>
    <row r="170" spans="1:44" s="7" customFormat="1" x14ac:dyDescent="0.3">
      <c r="A170" s="283"/>
      <c r="B170" s="28" t="str">
        <f t="shared" si="293"/>
        <v>Med Aux 22</v>
      </c>
      <c r="C170" s="271" t="s">
        <v>670</v>
      </c>
      <c r="D170" s="51" t="s">
        <v>33</v>
      </c>
      <c r="E170" s="39">
        <v>1</v>
      </c>
      <c r="F170" s="39" t="s">
        <v>14</v>
      </c>
      <c r="G170" s="39">
        <v>0</v>
      </c>
      <c r="H170" s="39">
        <v>1</v>
      </c>
      <c r="I170" s="211"/>
      <c r="J170" s="213" t="s">
        <v>75</v>
      </c>
      <c r="K170" s="70" t="s">
        <v>585</v>
      </c>
      <c r="L170" s="96">
        <v>0</v>
      </c>
      <c r="M170" s="97" t="str">
        <f t="shared" si="289"/>
        <v>No</v>
      </c>
      <c r="N170" s="98">
        <v>1</v>
      </c>
      <c r="O170" s="99" t="str">
        <f t="shared" si="290"/>
        <v>Yes</v>
      </c>
      <c r="P170" s="100">
        <v>0</v>
      </c>
      <c r="Q170" s="101" t="str">
        <f t="shared" si="291"/>
        <v>No</v>
      </c>
      <c r="R170" s="96">
        <v>0</v>
      </c>
      <c r="S170" s="11" t="str">
        <f t="shared" si="292"/>
        <v>No</v>
      </c>
      <c r="T170" s="28" t="str">
        <f t="shared" si="294"/>
        <v>120/208 AC</v>
      </c>
      <c r="U170" s="300"/>
      <c r="V170" s="140">
        <f t="shared" si="295"/>
        <v>3</v>
      </c>
      <c r="W170" s="273"/>
      <c r="X170" s="39">
        <v>1</v>
      </c>
      <c r="Y170" s="39">
        <v>1</v>
      </c>
      <c r="Z170" s="39">
        <v>0</v>
      </c>
      <c r="AA170" s="218" t="s">
        <v>601</v>
      </c>
      <c r="AB170" s="218" t="s">
        <v>602</v>
      </c>
      <c r="AC170" s="39"/>
      <c r="AD170" s="39"/>
      <c r="AE170" s="39"/>
      <c r="AF170" s="39"/>
      <c r="AG170" s="39"/>
      <c r="AH170" s="140" t="str">
        <f t="shared" si="296"/>
        <v>GVV-Concord-WP</v>
      </c>
      <c r="AI170" s="273"/>
      <c r="AJ170" s="140" t="str">
        <f t="shared" si="297"/>
        <v>WP</v>
      </c>
      <c r="AK170" s="273"/>
      <c r="AL170" s="140" t="str">
        <f t="shared" si="298"/>
        <v>Operational</v>
      </c>
      <c r="AM170" s="277"/>
      <c r="AN170" s="140" t="str">
        <f t="shared" si="299"/>
        <v>Toronto</v>
      </c>
      <c r="AO170" s="82" t="s">
        <v>7</v>
      </c>
      <c r="AP170" s="273"/>
      <c r="AQ170" s="140" t="str">
        <f t="shared" si="300"/>
        <v>NA</v>
      </c>
      <c r="AR170" s="280"/>
    </row>
    <row r="171" spans="1:44" s="5" customFormat="1" ht="15" thickBot="1" x14ac:dyDescent="0.35">
      <c r="A171" s="284"/>
      <c r="B171" s="28" t="str">
        <f t="shared" si="293"/>
        <v>Med Aux 22</v>
      </c>
      <c r="C171" s="271" t="s">
        <v>670</v>
      </c>
      <c r="D171" s="52" t="s">
        <v>34</v>
      </c>
      <c r="E171" s="34">
        <v>1</v>
      </c>
      <c r="F171" s="34" t="s">
        <v>14</v>
      </c>
      <c r="G171" s="34">
        <v>0</v>
      </c>
      <c r="H171" s="34">
        <v>1</v>
      </c>
      <c r="I171" s="212"/>
      <c r="J171" s="214" t="s">
        <v>75</v>
      </c>
      <c r="K171" s="70" t="s">
        <v>585</v>
      </c>
      <c r="L171" s="103">
        <v>0</v>
      </c>
      <c r="M171" s="104" t="str">
        <f t="shared" si="289"/>
        <v>No</v>
      </c>
      <c r="N171" s="105">
        <v>1</v>
      </c>
      <c r="O171" s="106" t="str">
        <f t="shared" si="290"/>
        <v>Yes</v>
      </c>
      <c r="P171" s="107">
        <v>0</v>
      </c>
      <c r="Q171" s="108" t="str">
        <f t="shared" si="291"/>
        <v>No</v>
      </c>
      <c r="R171" s="103">
        <v>0</v>
      </c>
      <c r="S171" s="10" t="str">
        <f t="shared" si="292"/>
        <v>No</v>
      </c>
      <c r="T171" s="28" t="str">
        <f t="shared" si="294"/>
        <v>120/208 AC</v>
      </c>
      <c r="U171" s="301"/>
      <c r="V171" s="140">
        <f t="shared" si="295"/>
        <v>3</v>
      </c>
      <c r="W171" s="274"/>
      <c r="X171" s="34">
        <v>1</v>
      </c>
      <c r="Y171" s="34">
        <v>1</v>
      </c>
      <c r="Z171" s="34">
        <v>0</v>
      </c>
      <c r="AA171" s="218" t="s">
        <v>603</v>
      </c>
      <c r="AB171" s="218" t="s">
        <v>604</v>
      </c>
      <c r="AC171" s="34"/>
      <c r="AD171" s="34"/>
      <c r="AE171" s="34"/>
      <c r="AF171" s="34"/>
      <c r="AG171" s="34"/>
      <c r="AH171" s="140" t="str">
        <f t="shared" si="296"/>
        <v>GVV-Concord-WP</v>
      </c>
      <c r="AI171" s="288"/>
      <c r="AJ171" s="140" t="str">
        <f t="shared" si="297"/>
        <v>WP</v>
      </c>
      <c r="AK171" s="274"/>
      <c r="AL171" s="140" t="str">
        <f t="shared" si="298"/>
        <v>Operational</v>
      </c>
      <c r="AM171" s="278"/>
      <c r="AN171" s="140" t="str">
        <f t="shared" si="299"/>
        <v>Toronto</v>
      </c>
      <c r="AO171" s="83" t="s">
        <v>7</v>
      </c>
      <c r="AP171" s="274"/>
      <c r="AQ171" s="140" t="str">
        <f t="shared" si="300"/>
        <v>NA</v>
      </c>
      <c r="AR171" s="281"/>
    </row>
    <row r="172" spans="1:44" s="1" customFormat="1" ht="15" thickTop="1" x14ac:dyDescent="0.3">
      <c r="A172" s="282">
        <f t="shared" ref="A172:A228" si="305">IF(AM172="Operational",1,0)</f>
        <v>1</v>
      </c>
      <c r="B172" s="26" t="str">
        <f>C172</f>
        <v>ETS 00</v>
      </c>
      <c r="C172" s="271" t="s">
        <v>41</v>
      </c>
      <c r="D172" s="29" t="s">
        <v>22</v>
      </c>
      <c r="E172" s="30">
        <v>1</v>
      </c>
      <c r="F172" s="30" t="s">
        <v>14</v>
      </c>
      <c r="G172" s="30">
        <v>0</v>
      </c>
      <c r="H172" s="30">
        <v>1</v>
      </c>
      <c r="I172" s="42"/>
      <c r="J172" s="42" t="s">
        <v>161</v>
      </c>
      <c r="K172" s="88" t="s">
        <v>83</v>
      </c>
      <c r="L172" s="89">
        <v>0</v>
      </c>
      <c r="M172" s="90" t="str">
        <f t="shared" si="198"/>
        <v>No</v>
      </c>
      <c r="N172" s="91">
        <v>0</v>
      </c>
      <c r="O172" s="92" t="str">
        <f t="shared" si="199"/>
        <v>No</v>
      </c>
      <c r="P172" s="93">
        <v>3</v>
      </c>
      <c r="Q172" s="94" t="str">
        <f t="shared" si="200"/>
        <v>Yes</v>
      </c>
      <c r="R172" s="89">
        <v>0</v>
      </c>
      <c r="S172" s="9" t="str">
        <f t="shared" si="201"/>
        <v>No</v>
      </c>
      <c r="T172" s="26" t="str">
        <f>U172</f>
        <v>115 VAC</v>
      </c>
      <c r="U172" s="296" t="s">
        <v>118</v>
      </c>
      <c r="V172" s="135">
        <f>W172</f>
        <v>1</v>
      </c>
      <c r="W172" s="272">
        <v>1</v>
      </c>
      <c r="X172" s="30">
        <v>0</v>
      </c>
      <c r="Y172" s="30">
        <v>1</v>
      </c>
      <c r="Z172" s="30">
        <v>0</v>
      </c>
      <c r="AA172" s="30"/>
      <c r="AB172" s="30"/>
      <c r="AC172" s="30" t="s">
        <v>85</v>
      </c>
      <c r="AD172" s="30" t="s">
        <v>84</v>
      </c>
      <c r="AE172" s="30" t="s">
        <v>86</v>
      </c>
      <c r="AF172" s="30" t="s">
        <v>88</v>
      </c>
      <c r="AG172" s="30">
        <v>418871459</v>
      </c>
      <c r="AH172" s="135" t="str">
        <f>AI172</f>
        <v>GVV-Concord-OP</v>
      </c>
      <c r="AI172" s="272" t="s">
        <v>42</v>
      </c>
      <c r="AJ172" s="135" t="str">
        <f>AK172</f>
        <v>OP</v>
      </c>
      <c r="AK172" s="272" t="s">
        <v>43</v>
      </c>
      <c r="AL172" s="135" t="str">
        <f>AM172</f>
        <v>Operational</v>
      </c>
      <c r="AM172" s="276" t="s">
        <v>5</v>
      </c>
      <c r="AN172" s="135" t="str">
        <f>AO172</f>
        <v>Toronto</v>
      </c>
      <c r="AO172" s="136" t="s">
        <v>7</v>
      </c>
      <c r="AP172" s="272" t="s">
        <v>8</v>
      </c>
      <c r="AQ172" s="135" t="str">
        <f>AR172</f>
        <v>Storage</v>
      </c>
      <c r="AR172" s="305" t="s">
        <v>92</v>
      </c>
    </row>
    <row r="173" spans="1:44" s="2" customFormat="1" x14ac:dyDescent="0.3">
      <c r="A173" s="283"/>
      <c r="B173" s="28" t="str">
        <f>B172</f>
        <v>ETS 00</v>
      </c>
      <c r="C173" s="271" t="s">
        <v>41</v>
      </c>
      <c r="D173" s="38" t="s">
        <v>23</v>
      </c>
      <c r="E173" s="39">
        <v>1</v>
      </c>
      <c r="F173" s="39" t="s">
        <v>14</v>
      </c>
      <c r="G173" s="39">
        <v>0</v>
      </c>
      <c r="H173" s="39">
        <v>0</v>
      </c>
      <c r="I173" s="43"/>
      <c r="J173" s="43" t="s">
        <v>161</v>
      </c>
      <c r="K173" s="95" t="s">
        <v>83</v>
      </c>
      <c r="L173" s="96">
        <v>0</v>
      </c>
      <c r="M173" s="97" t="str">
        <f t="shared" si="198"/>
        <v>No</v>
      </c>
      <c r="N173" s="98">
        <v>0</v>
      </c>
      <c r="O173" s="99" t="str">
        <f t="shared" si="199"/>
        <v>No</v>
      </c>
      <c r="P173" s="100">
        <v>0</v>
      </c>
      <c r="Q173" s="101" t="str">
        <f t="shared" si="200"/>
        <v>No</v>
      </c>
      <c r="R173" s="96">
        <v>0</v>
      </c>
      <c r="S173" s="11" t="str">
        <f t="shared" si="201"/>
        <v>No</v>
      </c>
      <c r="T173" s="28" t="str">
        <f>T172</f>
        <v>115 VAC</v>
      </c>
      <c r="U173" s="297"/>
      <c r="V173" s="140">
        <f>V172</f>
        <v>1</v>
      </c>
      <c r="W173" s="273"/>
      <c r="X173" s="39">
        <v>0</v>
      </c>
      <c r="Y173" s="39">
        <v>1</v>
      </c>
      <c r="Z173" s="39">
        <v>0</v>
      </c>
      <c r="AA173" s="39"/>
      <c r="AB173" s="39"/>
      <c r="AC173" s="39" t="s">
        <v>85</v>
      </c>
      <c r="AD173" s="39" t="s">
        <v>84</v>
      </c>
      <c r="AE173" s="39" t="s">
        <v>86</v>
      </c>
      <c r="AF173" s="39" t="s">
        <v>88</v>
      </c>
      <c r="AG173" s="39">
        <v>418871459</v>
      </c>
      <c r="AH173" s="140" t="str">
        <f>AH172</f>
        <v>GVV-Concord-OP</v>
      </c>
      <c r="AI173" s="273"/>
      <c r="AJ173" s="140" t="str">
        <f>AJ172</f>
        <v>OP</v>
      </c>
      <c r="AK173" s="273"/>
      <c r="AL173" s="140" t="str">
        <f>AL172</f>
        <v>Operational</v>
      </c>
      <c r="AM173" s="277"/>
      <c r="AN173" s="140" t="str">
        <f>AN172</f>
        <v>Toronto</v>
      </c>
      <c r="AO173" s="82" t="s">
        <v>7</v>
      </c>
      <c r="AP173" s="273"/>
      <c r="AQ173" s="140" t="str">
        <f>AQ172</f>
        <v>Storage</v>
      </c>
      <c r="AR173" s="306"/>
    </row>
    <row r="174" spans="1:44" s="2" customFormat="1" ht="15" thickBot="1" x14ac:dyDescent="0.35">
      <c r="A174" s="284"/>
      <c r="B174" s="28" t="str">
        <f>B173</f>
        <v>ETS 00</v>
      </c>
      <c r="C174" s="271" t="s">
        <v>41</v>
      </c>
      <c r="D174" s="38" t="s">
        <v>24</v>
      </c>
      <c r="E174" s="39">
        <v>1</v>
      </c>
      <c r="F174" s="39" t="s">
        <v>14</v>
      </c>
      <c r="G174" s="39">
        <v>0</v>
      </c>
      <c r="H174" s="39">
        <v>0</v>
      </c>
      <c r="I174" s="44"/>
      <c r="J174" s="44" t="s">
        <v>161</v>
      </c>
      <c r="K174" s="95" t="s">
        <v>83</v>
      </c>
      <c r="L174" s="96">
        <v>0</v>
      </c>
      <c r="M174" s="97" t="str">
        <f t="shared" si="198"/>
        <v>No</v>
      </c>
      <c r="N174" s="98">
        <v>0</v>
      </c>
      <c r="O174" s="99" t="str">
        <f t="shared" si="199"/>
        <v>No</v>
      </c>
      <c r="P174" s="100">
        <v>0</v>
      </c>
      <c r="Q174" s="101" t="str">
        <f t="shared" si="200"/>
        <v>No</v>
      </c>
      <c r="R174" s="96">
        <v>0</v>
      </c>
      <c r="S174" s="11" t="str">
        <f t="shared" si="201"/>
        <v>No</v>
      </c>
      <c r="T174" s="28" t="str">
        <f>T173</f>
        <v>115 VAC</v>
      </c>
      <c r="U174" s="298"/>
      <c r="V174" s="140">
        <f>V173</f>
        <v>1</v>
      </c>
      <c r="W174" s="274"/>
      <c r="X174" s="39">
        <v>0</v>
      </c>
      <c r="Y174" s="39">
        <v>1</v>
      </c>
      <c r="Z174" s="39">
        <v>0</v>
      </c>
      <c r="AA174" s="39"/>
      <c r="AB174" s="39"/>
      <c r="AC174" s="39" t="s">
        <v>85</v>
      </c>
      <c r="AD174" s="39" t="s">
        <v>84</v>
      </c>
      <c r="AE174" s="39" t="s">
        <v>86</v>
      </c>
      <c r="AF174" s="39" t="s">
        <v>88</v>
      </c>
      <c r="AG174" s="39">
        <v>418871459</v>
      </c>
      <c r="AH174" s="140" t="str">
        <f>AH173</f>
        <v>GVV-Concord-OP</v>
      </c>
      <c r="AI174" s="274"/>
      <c r="AJ174" s="140" t="str">
        <f>AJ173</f>
        <v>OP</v>
      </c>
      <c r="AK174" s="274"/>
      <c r="AL174" s="140" t="str">
        <f>AL173</f>
        <v>Operational</v>
      </c>
      <c r="AM174" s="278"/>
      <c r="AN174" s="140" t="str">
        <f>AN173</f>
        <v>Toronto</v>
      </c>
      <c r="AO174" s="83" t="s">
        <v>7</v>
      </c>
      <c r="AP174" s="274"/>
      <c r="AQ174" s="140" t="str">
        <f>AQ173</f>
        <v>Storage</v>
      </c>
      <c r="AR174" s="307"/>
    </row>
    <row r="175" spans="1:44" s="1" customFormat="1" ht="15.6" thickTop="1" thickBot="1" x14ac:dyDescent="0.35">
      <c r="A175" s="26">
        <f t="shared" si="305"/>
        <v>0</v>
      </c>
      <c r="B175" s="26" t="str">
        <f>C175</f>
        <v>ETS 01</v>
      </c>
      <c r="C175" s="271" t="s">
        <v>44</v>
      </c>
      <c r="D175" s="29" t="s">
        <v>22</v>
      </c>
      <c r="E175" s="30">
        <v>1</v>
      </c>
      <c r="F175" s="30" t="s">
        <v>14</v>
      </c>
      <c r="G175" s="30">
        <v>0</v>
      </c>
      <c r="H175" s="30">
        <v>1</v>
      </c>
      <c r="I175" s="53"/>
      <c r="J175" s="88" t="s">
        <v>564</v>
      </c>
      <c r="K175" s="88" t="s">
        <v>91</v>
      </c>
      <c r="L175" s="89">
        <v>0</v>
      </c>
      <c r="M175" s="90" t="str">
        <f t="shared" si="198"/>
        <v>No</v>
      </c>
      <c r="N175" s="91">
        <v>0</v>
      </c>
      <c r="O175" s="92" t="str">
        <f t="shared" si="199"/>
        <v>No</v>
      </c>
      <c r="P175" s="93">
        <v>1</v>
      </c>
      <c r="Q175" s="94" t="str">
        <f t="shared" si="200"/>
        <v>Yes</v>
      </c>
      <c r="R175" s="89">
        <v>0</v>
      </c>
      <c r="S175" s="9" t="str">
        <f t="shared" si="201"/>
        <v>No</v>
      </c>
      <c r="T175" s="26" t="str">
        <f>U175</f>
        <v>208 VAC</v>
      </c>
      <c r="U175" s="168" t="s">
        <v>93</v>
      </c>
      <c r="V175" s="135">
        <f>W175</f>
        <v>3</v>
      </c>
      <c r="W175" s="61">
        <v>3</v>
      </c>
      <c r="X175" s="30">
        <v>0</v>
      </c>
      <c r="Y175" s="30">
        <v>1</v>
      </c>
      <c r="Z175" s="30">
        <v>0</v>
      </c>
      <c r="AA175" s="30"/>
      <c r="AB175" s="30"/>
      <c r="AC175" s="30" t="s">
        <v>565</v>
      </c>
      <c r="AD175" s="30"/>
      <c r="AE175" s="30"/>
      <c r="AF175" s="30"/>
      <c r="AG175" s="30"/>
      <c r="AH175" s="135" t="str">
        <f>AI175</f>
        <v>GVV-Concord-OP</v>
      </c>
      <c r="AI175" s="61" t="s">
        <v>42</v>
      </c>
      <c r="AJ175" s="135" t="str">
        <f>AK175</f>
        <v>OP</v>
      </c>
      <c r="AK175" s="61" t="s">
        <v>43</v>
      </c>
      <c r="AL175" s="135" t="str">
        <f>AM175</f>
        <v>Under Maintenance</v>
      </c>
      <c r="AM175" s="197" t="s">
        <v>116</v>
      </c>
      <c r="AN175" s="135" t="str">
        <f>AO175</f>
        <v>Toronto</v>
      </c>
      <c r="AO175" s="30" t="s">
        <v>7</v>
      </c>
      <c r="AP175" s="61" t="s">
        <v>8</v>
      </c>
      <c r="AQ175" s="135" t="str">
        <f>AR175</f>
        <v>Storage</v>
      </c>
      <c r="AR175" s="201" t="s">
        <v>92</v>
      </c>
    </row>
    <row r="176" spans="1:44" s="16" customFormat="1" ht="30" thickTop="1" thickBot="1" x14ac:dyDescent="0.35">
      <c r="A176" s="26">
        <f t="shared" si="305"/>
        <v>1</v>
      </c>
      <c r="B176" s="26" t="str">
        <f>C176</f>
        <v>ETS 02</v>
      </c>
      <c r="C176" s="271" t="s">
        <v>45</v>
      </c>
      <c r="D176" s="54" t="s">
        <v>22</v>
      </c>
      <c r="E176" s="55">
        <v>1</v>
      </c>
      <c r="F176" s="55" t="s">
        <v>14</v>
      </c>
      <c r="G176" s="55">
        <v>0</v>
      </c>
      <c r="H176" s="55">
        <v>1</v>
      </c>
      <c r="I176" s="53"/>
      <c r="J176" s="109" t="s">
        <v>94</v>
      </c>
      <c r="K176" s="110" t="s">
        <v>119</v>
      </c>
      <c r="L176" s="111">
        <v>0</v>
      </c>
      <c r="M176" s="112" t="str">
        <f t="shared" si="198"/>
        <v>No</v>
      </c>
      <c r="N176" s="113">
        <v>0</v>
      </c>
      <c r="O176" s="114" t="str">
        <f t="shared" si="199"/>
        <v>No</v>
      </c>
      <c r="P176" s="115">
        <v>1</v>
      </c>
      <c r="Q176" s="116" t="str">
        <f t="shared" si="200"/>
        <v>Yes</v>
      </c>
      <c r="R176" s="111">
        <v>0</v>
      </c>
      <c r="S176" s="17" t="str">
        <f t="shared" si="201"/>
        <v>No</v>
      </c>
      <c r="T176" s="26" t="str">
        <f>U176</f>
        <v>115 VAC</v>
      </c>
      <c r="U176" s="168" t="s">
        <v>118</v>
      </c>
      <c r="V176" s="135">
        <f>W176</f>
        <v>1</v>
      </c>
      <c r="W176" s="61">
        <v>1</v>
      </c>
      <c r="X176" s="55">
        <v>0</v>
      </c>
      <c r="Y176" s="55">
        <v>1</v>
      </c>
      <c r="Z176" s="55">
        <v>0</v>
      </c>
      <c r="AA176" s="55" t="s">
        <v>120</v>
      </c>
      <c r="AB176" s="55"/>
      <c r="AC176" s="55" t="s">
        <v>95</v>
      </c>
      <c r="AD176" s="55" t="s">
        <v>96</v>
      </c>
      <c r="AE176" s="55" t="s">
        <v>97</v>
      </c>
      <c r="AF176" s="55" t="s">
        <v>98</v>
      </c>
      <c r="AG176" s="55">
        <v>368870166</v>
      </c>
      <c r="AH176" s="135" t="str">
        <f>AI176</f>
        <v>GVV-Concord-OP</v>
      </c>
      <c r="AI176" s="61" t="s">
        <v>42</v>
      </c>
      <c r="AJ176" s="135" t="str">
        <f>AK176</f>
        <v>OP</v>
      </c>
      <c r="AK176" s="61" t="s">
        <v>43</v>
      </c>
      <c r="AL176" s="135" t="str">
        <f>AM176</f>
        <v>Operational</v>
      </c>
      <c r="AM176" s="197" t="s">
        <v>5</v>
      </c>
      <c r="AN176" s="135" t="str">
        <f>AO176</f>
        <v>Toronto</v>
      </c>
      <c r="AO176" s="30" t="s">
        <v>7</v>
      </c>
      <c r="AP176" s="61" t="s">
        <v>8</v>
      </c>
      <c r="AQ176" s="135" t="str">
        <f>AR176</f>
        <v>Julabo J1</v>
      </c>
      <c r="AR176" s="201" t="s">
        <v>141</v>
      </c>
    </row>
    <row r="177" spans="1:44" s="1" customFormat="1" ht="15.6" thickTop="1" thickBot="1" x14ac:dyDescent="0.35">
      <c r="A177" s="26">
        <f t="shared" si="305"/>
        <v>0</v>
      </c>
      <c r="B177" s="26" t="str">
        <f>C177</f>
        <v>ETS 03</v>
      </c>
      <c r="C177" s="271" t="s">
        <v>46</v>
      </c>
      <c r="D177" s="29" t="s">
        <v>22</v>
      </c>
      <c r="E177" s="30">
        <v>1</v>
      </c>
      <c r="F177" s="30" t="s">
        <v>14</v>
      </c>
      <c r="G177" s="30">
        <v>0</v>
      </c>
      <c r="H177" s="30">
        <v>1</v>
      </c>
      <c r="I177" s="53"/>
      <c r="J177" s="88"/>
      <c r="K177" s="88" t="s">
        <v>91</v>
      </c>
      <c r="L177" s="89">
        <v>0</v>
      </c>
      <c r="M177" s="90" t="str">
        <f t="shared" si="198"/>
        <v>No</v>
      </c>
      <c r="N177" s="91">
        <v>0</v>
      </c>
      <c r="O177" s="92" t="str">
        <f t="shared" si="199"/>
        <v>No</v>
      </c>
      <c r="P177" s="93">
        <v>1</v>
      </c>
      <c r="Q177" s="94" t="str">
        <f t="shared" si="200"/>
        <v>Yes</v>
      </c>
      <c r="R177" s="89">
        <v>0</v>
      </c>
      <c r="S177" s="9" t="str">
        <f t="shared" si="201"/>
        <v>No</v>
      </c>
      <c r="T177" s="26">
        <f>U177</f>
        <v>0</v>
      </c>
      <c r="U177" s="168"/>
      <c r="V177" s="135">
        <f>W177</f>
        <v>3</v>
      </c>
      <c r="W177" s="61">
        <v>3</v>
      </c>
      <c r="X177" s="30">
        <v>0</v>
      </c>
      <c r="Y177" s="30">
        <v>1</v>
      </c>
      <c r="Z177" s="30">
        <v>0</v>
      </c>
      <c r="AA177" s="30"/>
      <c r="AB177" s="30"/>
      <c r="AC177" s="30"/>
      <c r="AD177" s="136"/>
      <c r="AE177" s="136"/>
      <c r="AF177" s="136"/>
      <c r="AG177" s="136"/>
      <c r="AH177" s="135" t="str">
        <f>AI177</f>
        <v>APT</v>
      </c>
      <c r="AI177" s="61" t="s">
        <v>117</v>
      </c>
      <c r="AJ177" s="135" t="str">
        <f>AK177</f>
        <v>NA</v>
      </c>
      <c r="AK177" s="61" t="s">
        <v>400</v>
      </c>
      <c r="AL177" s="135" t="str">
        <f>AM177</f>
        <v>Sold</v>
      </c>
      <c r="AM177" s="197" t="s">
        <v>90</v>
      </c>
      <c r="AN177" s="135" t="str">
        <f>AO177</f>
        <v>Toronto</v>
      </c>
      <c r="AO177" s="30" t="s">
        <v>7</v>
      </c>
      <c r="AP177" s="61" t="s">
        <v>8</v>
      </c>
      <c r="AQ177" s="135" t="str">
        <f>AR177</f>
        <v>Unknown</v>
      </c>
      <c r="AR177" s="201" t="s">
        <v>91</v>
      </c>
    </row>
    <row r="178" spans="1:44" s="1" customFormat="1" ht="15" thickTop="1" x14ac:dyDescent="0.3">
      <c r="A178" s="282">
        <f t="shared" si="305"/>
        <v>0</v>
      </c>
      <c r="B178" s="26" t="str">
        <f>C178</f>
        <v>ETS 04</v>
      </c>
      <c r="C178" s="271" t="s">
        <v>47</v>
      </c>
      <c r="D178" s="29" t="s">
        <v>22</v>
      </c>
      <c r="E178" s="30">
        <v>1</v>
      </c>
      <c r="F178" s="30" t="s">
        <v>14</v>
      </c>
      <c r="G178" s="30">
        <v>0</v>
      </c>
      <c r="H178" s="30">
        <v>1</v>
      </c>
      <c r="I178" s="42"/>
      <c r="J178" s="42" t="s">
        <v>99</v>
      </c>
      <c r="K178" s="117" t="s">
        <v>121</v>
      </c>
      <c r="L178" s="89">
        <v>0</v>
      </c>
      <c r="M178" s="90" t="str">
        <f t="shared" ref="M178:M232" si="306">IF(L178&gt;=1,"Yes","No")</f>
        <v>No</v>
      </c>
      <c r="N178" s="91">
        <v>0</v>
      </c>
      <c r="O178" s="92" t="str">
        <f t="shared" ref="O178:O232" si="307">IF(N178&gt;=1,"Yes","No")</f>
        <v>No</v>
      </c>
      <c r="P178" s="93">
        <v>6</v>
      </c>
      <c r="Q178" s="94" t="str">
        <f t="shared" ref="Q178:Q232" si="308">IF(P178&gt;=1,"Yes","No")</f>
        <v>Yes</v>
      </c>
      <c r="R178" s="89">
        <v>0</v>
      </c>
      <c r="S178" s="9" t="str">
        <f t="shared" ref="S178:S232" si="309">IF(R178&gt;=1,"Yes","No")</f>
        <v>No</v>
      </c>
      <c r="T178" s="26" t="str">
        <f>U178</f>
        <v>115 VAC</v>
      </c>
      <c r="U178" s="296" t="s">
        <v>118</v>
      </c>
      <c r="V178" s="135">
        <f>W178</f>
        <v>1</v>
      </c>
      <c r="W178" s="272">
        <v>1</v>
      </c>
      <c r="X178" s="30">
        <v>0</v>
      </c>
      <c r="Y178" s="30">
        <v>1</v>
      </c>
      <c r="Z178" s="30">
        <v>0</v>
      </c>
      <c r="AA178" s="30"/>
      <c r="AB178" s="30"/>
      <c r="AC178" s="171" t="s">
        <v>95</v>
      </c>
      <c r="AD178" s="172"/>
      <c r="AE178" s="173" t="s">
        <v>123</v>
      </c>
      <c r="AF178" s="55" t="s">
        <v>122</v>
      </c>
      <c r="AG178" s="55">
        <v>899732298</v>
      </c>
      <c r="AH178" s="135" t="str">
        <f>AI178</f>
        <v>GVV-Concord-OP</v>
      </c>
      <c r="AI178" s="272" t="s">
        <v>42</v>
      </c>
      <c r="AJ178" s="135" t="str">
        <f>AK178</f>
        <v>OP</v>
      </c>
      <c r="AK178" s="272" t="s">
        <v>43</v>
      </c>
      <c r="AL178" s="135" t="str">
        <f>AM178</f>
        <v>Under Maintenance</v>
      </c>
      <c r="AM178" s="276" t="s">
        <v>116</v>
      </c>
      <c r="AN178" s="135" t="str">
        <f>AO178</f>
        <v>Toronto</v>
      </c>
      <c r="AO178" s="136" t="s">
        <v>7</v>
      </c>
      <c r="AP178" s="272" t="s">
        <v>8</v>
      </c>
      <c r="AQ178" s="135" t="str">
        <f>AR178</f>
        <v>Storage</v>
      </c>
      <c r="AR178" s="305" t="s">
        <v>92</v>
      </c>
    </row>
    <row r="179" spans="1:44" s="2" customFormat="1" x14ac:dyDescent="0.3">
      <c r="A179" s="283"/>
      <c r="B179" s="28" t="str">
        <f>B178</f>
        <v>ETS 04</v>
      </c>
      <c r="C179" s="271" t="s">
        <v>47</v>
      </c>
      <c r="D179" s="38" t="s">
        <v>23</v>
      </c>
      <c r="E179" s="39">
        <v>1</v>
      </c>
      <c r="F179" s="39" t="s">
        <v>14</v>
      </c>
      <c r="G179" s="39">
        <v>0</v>
      </c>
      <c r="H179" s="39">
        <v>0</v>
      </c>
      <c r="I179" s="43"/>
      <c r="J179" s="43" t="s">
        <v>99</v>
      </c>
      <c r="K179" s="118" t="s">
        <v>121</v>
      </c>
      <c r="L179" s="96">
        <v>0</v>
      </c>
      <c r="M179" s="97" t="str">
        <f t="shared" si="306"/>
        <v>No</v>
      </c>
      <c r="N179" s="98">
        <v>0</v>
      </c>
      <c r="O179" s="99" t="str">
        <f t="shared" si="307"/>
        <v>No</v>
      </c>
      <c r="P179" s="100">
        <v>0</v>
      </c>
      <c r="Q179" s="101" t="str">
        <f t="shared" si="308"/>
        <v>No</v>
      </c>
      <c r="R179" s="96">
        <v>0</v>
      </c>
      <c r="S179" s="11" t="str">
        <f t="shared" si="309"/>
        <v>No</v>
      </c>
      <c r="T179" s="28" t="str">
        <f>T178</f>
        <v>115 VAC</v>
      </c>
      <c r="U179" s="297"/>
      <c r="V179" s="140">
        <f>V178</f>
        <v>1</v>
      </c>
      <c r="W179" s="273"/>
      <c r="X179" s="39">
        <v>0</v>
      </c>
      <c r="Y179" s="39">
        <v>1</v>
      </c>
      <c r="Z179" s="39">
        <v>0</v>
      </c>
      <c r="AA179" s="39"/>
      <c r="AB179" s="39"/>
      <c r="AC179" s="39" t="s">
        <v>95</v>
      </c>
      <c r="AD179" s="39"/>
      <c r="AE179" s="39" t="s">
        <v>123</v>
      </c>
      <c r="AF179" s="39" t="s">
        <v>122</v>
      </c>
      <c r="AG179" s="39">
        <v>899732298</v>
      </c>
      <c r="AH179" s="140" t="str">
        <f>AH178</f>
        <v>GVV-Concord-OP</v>
      </c>
      <c r="AI179" s="273"/>
      <c r="AJ179" s="140" t="str">
        <f>AJ178</f>
        <v>OP</v>
      </c>
      <c r="AK179" s="273"/>
      <c r="AL179" s="140" t="str">
        <f>AL178</f>
        <v>Under Maintenance</v>
      </c>
      <c r="AM179" s="277"/>
      <c r="AN179" s="140" t="str">
        <f>AN178</f>
        <v>Toronto</v>
      </c>
      <c r="AO179" s="82" t="s">
        <v>7</v>
      </c>
      <c r="AP179" s="273"/>
      <c r="AQ179" s="140" t="str">
        <f>AQ178</f>
        <v>Storage</v>
      </c>
      <c r="AR179" s="306"/>
    </row>
    <row r="180" spans="1:44" s="2" customFormat="1" x14ac:dyDescent="0.3">
      <c r="A180" s="283"/>
      <c r="B180" s="28" t="str">
        <f t="shared" ref="B180:B183" si="310">B179</f>
        <v>ETS 04</v>
      </c>
      <c r="C180" s="271" t="s">
        <v>47</v>
      </c>
      <c r="D180" s="38" t="s">
        <v>24</v>
      </c>
      <c r="E180" s="39">
        <v>1</v>
      </c>
      <c r="F180" s="39" t="s">
        <v>14</v>
      </c>
      <c r="G180" s="39">
        <v>0</v>
      </c>
      <c r="H180" s="39">
        <v>0</v>
      </c>
      <c r="I180" s="43"/>
      <c r="J180" s="43" t="s">
        <v>99</v>
      </c>
      <c r="K180" s="95" t="s">
        <v>121</v>
      </c>
      <c r="L180" s="96">
        <v>0</v>
      </c>
      <c r="M180" s="97" t="str">
        <f t="shared" si="306"/>
        <v>No</v>
      </c>
      <c r="N180" s="98">
        <v>0</v>
      </c>
      <c r="O180" s="99" t="str">
        <f t="shared" si="307"/>
        <v>No</v>
      </c>
      <c r="P180" s="100">
        <v>0</v>
      </c>
      <c r="Q180" s="101" t="str">
        <f t="shared" si="308"/>
        <v>No</v>
      </c>
      <c r="R180" s="96">
        <v>0</v>
      </c>
      <c r="S180" s="11" t="str">
        <f t="shared" si="309"/>
        <v>No</v>
      </c>
      <c r="T180" s="28" t="str">
        <f t="shared" ref="T180:T183" si="311">T179</f>
        <v>115 VAC</v>
      </c>
      <c r="U180" s="297"/>
      <c r="V180" s="140">
        <f t="shared" ref="V180:V183" si="312">V179</f>
        <v>1</v>
      </c>
      <c r="W180" s="273"/>
      <c r="X180" s="39">
        <v>0</v>
      </c>
      <c r="Y180" s="39">
        <v>1</v>
      </c>
      <c r="Z180" s="39">
        <v>0</v>
      </c>
      <c r="AA180" s="39"/>
      <c r="AB180" s="39"/>
      <c r="AC180" s="39" t="s">
        <v>95</v>
      </c>
      <c r="AD180" s="39"/>
      <c r="AE180" s="39" t="s">
        <v>123</v>
      </c>
      <c r="AF180" s="39" t="s">
        <v>122</v>
      </c>
      <c r="AG180" s="39">
        <v>899732298</v>
      </c>
      <c r="AH180" s="140" t="str">
        <f t="shared" ref="AH180:AH183" si="313">AH179</f>
        <v>GVV-Concord-OP</v>
      </c>
      <c r="AI180" s="273"/>
      <c r="AJ180" s="140" t="str">
        <f t="shared" ref="AJ180:AJ183" si="314">AJ179</f>
        <v>OP</v>
      </c>
      <c r="AK180" s="273"/>
      <c r="AL180" s="140" t="str">
        <f t="shared" ref="AL180:AL183" si="315">AL179</f>
        <v>Under Maintenance</v>
      </c>
      <c r="AM180" s="277"/>
      <c r="AN180" s="140" t="str">
        <f t="shared" ref="AN180:AN183" si="316">AN179</f>
        <v>Toronto</v>
      </c>
      <c r="AO180" s="82" t="s">
        <v>7</v>
      </c>
      <c r="AP180" s="273"/>
      <c r="AQ180" s="140" t="str">
        <f t="shared" ref="AQ180:AQ183" si="317">AQ179</f>
        <v>Storage</v>
      </c>
      <c r="AR180" s="306"/>
    </row>
    <row r="181" spans="1:44" s="2" customFormat="1" x14ac:dyDescent="0.3">
      <c r="A181" s="283"/>
      <c r="B181" s="28" t="str">
        <f t="shared" si="310"/>
        <v>ETS 04</v>
      </c>
      <c r="C181" s="271" t="s">
        <v>47</v>
      </c>
      <c r="D181" s="38" t="s">
        <v>25</v>
      </c>
      <c r="E181" s="39">
        <v>1</v>
      </c>
      <c r="F181" s="39" t="s">
        <v>14</v>
      </c>
      <c r="G181" s="39">
        <v>0</v>
      </c>
      <c r="H181" s="39">
        <v>0</v>
      </c>
      <c r="I181" s="43"/>
      <c r="J181" s="43" t="s">
        <v>99</v>
      </c>
      <c r="K181" s="95" t="s">
        <v>121</v>
      </c>
      <c r="L181" s="96">
        <v>0</v>
      </c>
      <c r="M181" s="97" t="str">
        <f t="shared" si="306"/>
        <v>No</v>
      </c>
      <c r="N181" s="98">
        <v>0</v>
      </c>
      <c r="O181" s="99" t="str">
        <f t="shared" si="307"/>
        <v>No</v>
      </c>
      <c r="P181" s="100">
        <v>0</v>
      </c>
      <c r="Q181" s="101" t="str">
        <f t="shared" si="308"/>
        <v>No</v>
      </c>
      <c r="R181" s="96">
        <v>0</v>
      </c>
      <c r="S181" s="11" t="str">
        <f t="shared" si="309"/>
        <v>No</v>
      </c>
      <c r="T181" s="28" t="str">
        <f t="shared" si="311"/>
        <v>115 VAC</v>
      </c>
      <c r="U181" s="297"/>
      <c r="V181" s="140">
        <f t="shared" si="312"/>
        <v>1</v>
      </c>
      <c r="W181" s="273"/>
      <c r="X181" s="39">
        <v>0</v>
      </c>
      <c r="Y181" s="39">
        <v>1</v>
      </c>
      <c r="Z181" s="39">
        <v>0</v>
      </c>
      <c r="AA181" s="39"/>
      <c r="AB181" s="39"/>
      <c r="AC181" s="39" t="s">
        <v>95</v>
      </c>
      <c r="AD181" s="39"/>
      <c r="AE181" s="39" t="s">
        <v>123</v>
      </c>
      <c r="AF181" s="39" t="s">
        <v>122</v>
      </c>
      <c r="AG181" s="39">
        <v>899732298</v>
      </c>
      <c r="AH181" s="140" t="str">
        <f t="shared" si="313"/>
        <v>GVV-Concord-OP</v>
      </c>
      <c r="AI181" s="273"/>
      <c r="AJ181" s="140" t="str">
        <f t="shared" si="314"/>
        <v>OP</v>
      </c>
      <c r="AK181" s="273"/>
      <c r="AL181" s="140" t="str">
        <f t="shared" si="315"/>
        <v>Under Maintenance</v>
      </c>
      <c r="AM181" s="277"/>
      <c r="AN181" s="140" t="str">
        <f t="shared" si="316"/>
        <v>Toronto</v>
      </c>
      <c r="AO181" s="82" t="s">
        <v>7</v>
      </c>
      <c r="AP181" s="273"/>
      <c r="AQ181" s="140" t="str">
        <f t="shared" si="317"/>
        <v>Storage</v>
      </c>
      <c r="AR181" s="306"/>
    </row>
    <row r="182" spans="1:44" s="2" customFormat="1" x14ac:dyDescent="0.3">
      <c r="A182" s="283"/>
      <c r="B182" s="28" t="str">
        <f t="shared" si="310"/>
        <v>ETS 04</v>
      </c>
      <c r="C182" s="271" t="s">
        <v>47</v>
      </c>
      <c r="D182" s="38" t="s">
        <v>31</v>
      </c>
      <c r="E182" s="39">
        <v>1</v>
      </c>
      <c r="F182" s="39" t="s">
        <v>14</v>
      </c>
      <c r="G182" s="39">
        <v>0</v>
      </c>
      <c r="H182" s="39">
        <v>0</v>
      </c>
      <c r="I182" s="43"/>
      <c r="J182" s="43" t="s">
        <v>99</v>
      </c>
      <c r="K182" s="95" t="s">
        <v>121</v>
      </c>
      <c r="L182" s="96">
        <v>0</v>
      </c>
      <c r="M182" s="97" t="str">
        <f t="shared" si="306"/>
        <v>No</v>
      </c>
      <c r="N182" s="98">
        <v>0</v>
      </c>
      <c r="O182" s="99" t="str">
        <f t="shared" si="307"/>
        <v>No</v>
      </c>
      <c r="P182" s="100">
        <v>0</v>
      </c>
      <c r="Q182" s="101" t="str">
        <f t="shared" si="308"/>
        <v>No</v>
      </c>
      <c r="R182" s="96">
        <v>0</v>
      </c>
      <c r="S182" s="11" t="str">
        <f t="shared" si="309"/>
        <v>No</v>
      </c>
      <c r="T182" s="28" t="str">
        <f t="shared" si="311"/>
        <v>115 VAC</v>
      </c>
      <c r="U182" s="297"/>
      <c r="V182" s="140">
        <f t="shared" si="312"/>
        <v>1</v>
      </c>
      <c r="W182" s="273"/>
      <c r="X182" s="39">
        <v>0</v>
      </c>
      <c r="Y182" s="39">
        <v>1</v>
      </c>
      <c r="Z182" s="39">
        <v>0</v>
      </c>
      <c r="AA182" s="39"/>
      <c r="AB182" s="39"/>
      <c r="AC182" s="39" t="s">
        <v>95</v>
      </c>
      <c r="AD182" s="39"/>
      <c r="AE182" s="39" t="s">
        <v>123</v>
      </c>
      <c r="AF182" s="39" t="s">
        <v>122</v>
      </c>
      <c r="AG182" s="39">
        <v>899732298</v>
      </c>
      <c r="AH182" s="140" t="str">
        <f t="shared" si="313"/>
        <v>GVV-Concord-OP</v>
      </c>
      <c r="AI182" s="273"/>
      <c r="AJ182" s="140" t="str">
        <f t="shared" si="314"/>
        <v>OP</v>
      </c>
      <c r="AK182" s="273"/>
      <c r="AL182" s="140" t="str">
        <f t="shared" si="315"/>
        <v>Under Maintenance</v>
      </c>
      <c r="AM182" s="277"/>
      <c r="AN182" s="140" t="str">
        <f t="shared" si="316"/>
        <v>Toronto</v>
      </c>
      <c r="AO182" s="82" t="s">
        <v>7</v>
      </c>
      <c r="AP182" s="273"/>
      <c r="AQ182" s="140" t="str">
        <f t="shared" si="317"/>
        <v>Storage</v>
      </c>
      <c r="AR182" s="306"/>
    </row>
    <row r="183" spans="1:44" s="3" customFormat="1" ht="15" thickBot="1" x14ac:dyDescent="0.35">
      <c r="A183" s="284"/>
      <c r="B183" s="28" t="str">
        <f t="shared" si="310"/>
        <v>ETS 04</v>
      </c>
      <c r="C183" s="271" t="s">
        <v>47</v>
      </c>
      <c r="D183" s="33" t="s">
        <v>32</v>
      </c>
      <c r="E183" s="34">
        <v>1</v>
      </c>
      <c r="F183" s="34" t="s">
        <v>14</v>
      </c>
      <c r="G183" s="34">
        <v>0</v>
      </c>
      <c r="H183" s="34">
        <v>0</v>
      </c>
      <c r="I183" s="44"/>
      <c r="J183" s="44" t="s">
        <v>99</v>
      </c>
      <c r="K183" s="102" t="s">
        <v>121</v>
      </c>
      <c r="L183" s="103">
        <v>0</v>
      </c>
      <c r="M183" s="104" t="str">
        <f t="shared" si="306"/>
        <v>No</v>
      </c>
      <c r="N183" s="105">
        <v>0</v>
      </c>
      <c r="O183" s="106" t="str">
        <f t="shared" si="307"/>
        <v>No</v>
      </c>
      <c r="P183" s="107">
        <v>0</v>
      </c>
      <c r="Q183" s="108" t="str">
        <f t="shared" si="308"/>
        <v>No</v>
      </c>
      <c r="R183" s="103">
        <v>0</v>
      </c>
      <c r="S183" s="10" t="str">
        <f t="shared" si="309"/>
        <v>No</v>
      </c>
      <c r="T183" s="28" t="str">
        <f t="shared" si="311"/>
        <v>115 VAC</v>
      </c>
      <c r="U183" s="298"/>
      <c r="V183" s="140">
        <f t="shared" si="312"/>
        <v>1</v>
      </c>
      <c r="W183" s="274"/>
      <c r="X183" s="34">
        <v>0</v>
      </c>
      <c r="Y183" s="34">
        <v>1</v>
      </c>
      <c r="Z183" s="34">
        <v>0</v>
      </c>
      <c r="AA183" s="34"/>
      <c r="AB183" s="34"/>
      <c r="AC183" s="34" t="s">
        <v>95</v>
      </c>
      <c r="AD183" s="34"/>
      <c r="AE183" s="34" t="s">
        <v>123</v>
      </c>
      <c r="AF183" s="34" t="s">
        <v>122</v>
      </c>
      <c r="AG183" s="34">
        <v>899732298</v>
      </c>
      <c r="AH183" s="140" t="str">
        <f t="shared" si="313"/>
        <v>GVV-Concord-OP</v>
      </c>
      <c r="AI183" s="274"/>
      <c r="AJ183" s="140" t="str">
        <f t="shared" si="314"/>
        <v>OP</v>
      </c>
      <c r="AK183" s="274"/>
      <c r="AL183" s="140" t="str">
        <f t="shared" si="315"/>
        <v>Under Maintenance</v>
      </c>
      <c r="AM183" s="278"/>
      <c r="AN183" s="140" t="str">
        <f t="shared" si="316"/>
        <v>Toronto</v>
      </c>
      <c r="AO183" s="83" t="s">
        <v>7</v>
      </c>
      <c r="AP183" s="274"/>
      <c r="AQ183" s="140" t="str">
        <f t="shared" si="317"/>
        <v>Storage</v>
      </c>
      <c r="AR183" s="307"/>
    </row>
    <row r="184" spans="1:44" s="16" customFormat="1" ht="29.4" thickTop="1" x14ac:dyDescent="0.3">
      <c r="A184" s="282">
        <f t="shared" si="305"/>
        <v>1</v>
      </c>
      <c r="B184" s="26" t="str">
        <f>C184</f>
        <v>ETS 05</v>
      </c>
      <c r="C184" s="271" t="s">
        <v>48</v>
      </c>
      <c r="D184" s="54" t="s">
        <v>22</v>
      </c>
      <c r="E184" s="55">
        <v>1</v>
      </c>
      <c r="F184" s="55" t="s">
        <v>14</v>
      </c>
      <c r="G184" s="55">
        <v>0</v>
      </c>
      <c r="H184" s="55">
        <v>1</v>
      </c>
      <c r="I184" s="42"/>
      <c r="J184" s="42" t="s">
        <v>94</v>
      </c>
      <c r="K184" s="110" t="s">
        <v>119</v>
      </c>
      <c r="L184" s="111">
        <v>0</v>
      </c>
      <c r="M184" s="112" t="str">
        <f t="shared" si="306"/>
        <v>No</v>
      </c>
      <c r="N184" s="113">
        <v>0</v>
      </c>
      <c r="O184" s="114" t="str">
        <f t="shared" si="307"/>
        <v>No</v>
      </c>
      <c r="P184" s="115">
        <v>1</v>
      </c>
      <c r="Q184" s="116" t="str">
        <f t="shared" si="308"/>
        <v>Yes</v>
      </c>
      <c r="R184" s="111">
        <v>0</v>
      </c>
      <c r="S184" s="17" t="str">
        <f t="shared" si="309"/>
        <v>No</v>
      </c>
      <c r="T184" s="26" t="str">
        <f>U184</f>
        <v>115 VAC</v>
      </c>
      <c r="U184" s="296" t="s">
        <v>118</v>
      </c>
      <c r="V184" s="135">
        <f>W184</f>
        <v>1</v>
      </c>
      <c r="W184" s="272">
        <v>1</v>
      </c>
      <c r="X184" s="55">
        <v>0</v>
      </c>
      <c r="Y184" s="55">
        <v>1</v>
      </c>
      <c r="Z184" s="55">
        <v>0</v>
      </c>
      <c r="AA184" s="55" t="s">
        <v>486</v>
      </c>
      <c r="AB184" s="55"/>
      <c r="AC184" s="174" t="s">
        <v>129</v>
      </c>
      <c r="AD184" s="175" t="s">
        <v>130</v>
      </c>
      <c r="AE184" s="174" t="s">
        <v>124</v>
      </c>
      <c r="AF184" s="175" t="s">
        <v>125</v>
      </c>
      <c r="AG184" s="55">
        <v>996736887</v>
      </c>
      <c r="AH184" s="135" t="str">
        <f>AI184</f>
        <v>GVV-Concord-OP</v>
      </c>
      <c r="AI184" s="272" t="s">
        <v>42</v>
      </c>
      <c r="AJ184" s="135" t="str">
        <f>AK184</f>
        <v>OP</v>
      </c>
      <c r="AK184" s="272" t="s">
        <v>43</v>
      </c>
      <c r="AL184" s="135" t="str">
        <f>AM184</f>
        <v>Operational</v>
      </c>
      <c r="AM184" s="276" t="s">
        <v>5</v>
      </c>
      <c r="AN184" s="135" t="str">
        <f>AO184</f>
        <v>Toronto</v>
      </c>
      <c r="AO184" s="136" t="s">
        <v>7</v>
      </c>
      <c r="AP184" s="272" t="s">
        <v>8</v>
      </c>
      <c r="AQ184" s="135" t="str">
        <f>AR184</f>
        <v>Storage</v>
      </c>
      <c r="AR184" s="305" t="s">
        <v>92</v>
      </c>
    </row>
    <row r="185" spans="1:44" s="18" customFormat="1" ht="15" thickBot="1" x14ac:dyDescent="0.35">
      <c r="A185" s="284"/>
      <c r="B185" s="27" t="str">
        <f>B184</f>
        <v>ETS 05</v>
      </c>
      <c r="C185" s="271" t="s">
        <v>48</v>
      </c>
      <c r="D185" s="56" t="s">
        <v>23</v>
      </c>
      <c r="E185" s="57">
        <v>1</v>
      </c>
      <c r="F185" s="57" t="s">
        <v>14</v>
      </c>
      <c r="G185" s="57">
        <v>0</v>
      </c>
      <c r="H185" s="57">
        <v>1</v>
      </c>
      <c r="I185" s="44"/>
      <c r="J185" s="44" t="s">
        <v>94</v>
      </c>
      <c r="K185" s="119" t="s">
        <v>126</v>
      </c>
      <c r="L185" s="120">
        <v>0</v>
      </c>
      <c r="M185" s="121" t="str">
        <f t="shared" si="306"/>
        <v>No</v>
      </c>
      <c r="N185" s="122">
        <v>0</v>
      </c>
      <c r="O185" s="123" t="str">
        <f t="shared" si="307"/>
        <v>No</v>
      </c>
      <c r="P185" s="124">
        <v>1</v>
      </c>
      <c r="Q185" s="125" t="str">
        <f t="shared" si="308"/>
        <v>Yes</v>
      </c>
      <c r="R185" s="120">
        <v>0</v>
      </c>
      <c r="S185" s="19" t="str">
        <f t="shared" si="309"/>
        <v>No</v>
      </c>
      <c r="T185" s="27" t="str">
        <f>T184</f>
        <v>115 VAC</v>
      </c>
      <c r="U185" s="298"/>
      <c r="V185" s="137">
        <f>V184</f>
        <v>1</v>
      </c>
      <c r="W185" s="274"/>
      <c r="X185" s="57">
        <v>0</v>
      </c>
      <c r="Y185" s="57">
        <v>1</v>
      </c>
      <c r="Z185" s="57">
        <v>0</v>
      </c>
      <c r="AA185" s="57" t="s">
        <v>487</v>
      </c>
      <c r="AB185" s="57"/>
      <c r="AC185" s="174" t="s">
        <v>129</v>
      </c>
      <c r="AD185" s="175" t="s">
        <v>130</v>
      </c>
      <c r="AE185" s="174" t="s">
        <v>124</v>
      </c>
      <c r="AF185" s="175" t="s">
        <v>125</v>
      </c>
      <c r="AG185" s="176">
        <v>996736887</v>
      </c>
      <c r="AH185" s="137" t="str">
        <f>AH184</f>
        <v>GVV-Concord-OP</v>
      </c>
      <c r="AI185" s="274"/>
      <c r="AJ185" s="137" t="str">
        <f>AJ184</f>
        <v>OP</v>
      </c>
      <c r="AK185" s="274"/>
      <c r="AL185" s="137" t="str">
        <f>AL184</f>
        <v>Operational</v>
      </c>
      <c r="AM185" s="278"/>
      <c r="AN185" s="137" t="str">
        <f>AN184</f>
        <v>Toronto</v>
      </c>
      <c r="AO185" s="83" t="s">
        <v>7</v>
      </c>
      <c r="AP185" s="274"/>
      <c r="AQ185" s="137" t="str">
        <f>AQ184</f>
        <v>Storage</v>
      </c>
      <c r="AR185" s="307"/>
    </row>
    <row r="186" spans="1:44" s="1" customFormat="1" ht="15" customHeight="1" thickTop="1" thickBot="1" x14ac:dyDescent="0.35">
      <c r="A186" s="282">
        <f t="shared" si="305"/>
        <v>1</v>
      </c>
      <c r="B186" s="26" t="str">
        <f>C186</f>
        <v>ETS 06</v>
      </c>
      <c r="C186" s="271" t="s">
        <v>49</v>
      </c>
      <c r="D186" s="29" t="s">
        <v>22</v>
      </c>
      <c r="E186" s="30">
        <v>1</v>
      </c>
      <c r="F186" s="30" t="s">
        <v>14</v>
      </c>
      <c r="G186" s="30">
        <v>0</v>
      </c>
      <c r="H186" s="30">
        <v>1</v>
      </c>
      <c r="I186" s="42"/>
      <c r="J186" s="42" t="s">
        <v>94</v>
      </c>
      <c r="K186" s="88" t="s">
        <v>126</v>
      </c>
      <c r="L186" s="89">
        <v>0</v>
      </c>
      <c r="M186" s="90" t="str">
        <f t="shared" si="306"/>
        <v>No</v>
      </c>
      <c r="N186" s="91">
        <v>0</v>
      </c>
      <c r="O186" s="92" t="str">
        <f t="shared" si="307"/>
        <v>No</v>
      </c>
      <c r="P186" s="93">
        <v>1</v>
      </c>
      <c r="Q186" s="94" t="str">
        <f t="shared" si="308"/>
        <v>Yes</v>
      </c>
      <c r="R186" s="89">
        <v>0</v>
      </c>
      <c r="S186" s="9" t="str">
        <f t="shared" si="309"/>
        <v>No</v>
      </c>
      <c r="T186" s="26" t="str">
        <f>U186</f>
        <v>208 VAC</v>
      </c>
      <c r="U186" s="296" t="s">
        <v>93</v>
      </c>
      <c r="V186" s="135">
        <f>W186</f>
        <v>3</v>
      </c>
      <c r="W186" s="272">
        <v>3</v>
      </c>
      <c r="X186" s="30">
        <v>0</v>
      </c>
      <c r="Y186" s="30">
        <v>1</v>
      </c>
      <c r="Z186" s="30">
        <v>0</v>
      </c>
      <c r="AA186" s="30" t="s">
        <v>501</v>
      </c>
      <c r="AB186" s="30"/>
      <c r="AC186" s="30" t="s">
        <v>129</v>
      </c>
      <c r="AD186" s="30" t="s">
        <v>127</v>
      </c>
      <c r="AE186" s="30" t="s">
        <v>124</v>
      </c>
      <c r="AF186" s="30" t="s">
        <v>128</v>
      </c>
      <c r="AG186" s="30">
        <v>1004193531</v>
      </c>
      <c r="AH186" s="135" t="str">
        <f>AI186</f>
        <v>GVV-Concord-OP</v>
      </c>
      <c r="AI186" s="272" t="s">
        <v>42</v>
      </c>
      <c r="AJ186" s="135" t="str">
        <f>AK186</f>
        <v>OP</v>
      </c>
      <c r="AK186" s="272" t="s">
        <v>43</v>
      </c>
      <c r="AL186" s="135" t="str">
        <f>AM186</f>
        <v>Operational</v>
      </c>
      <c r="AM186" s="276" t="s">
        <v>5</v>
      </c>
      <c r="AN186" s="135" t="str">
        <f>AO186</f>
        <v>Toronto</v>
      </c>
      <c r="AO186" s="136" t="s">
        <v>7</v>
      </c>
      <c r="AP186" s="272" t="s">
        <v>8</v>
      </c>
      <c r="AQ186" s="135" t="str">
        <f>AR186</f>
        <v>Storage</v>
      </c>
      <c r="AR186" s="305" t="s">
        <v>92</v>
      </c>
    </row>
    <row r="187" spans="1:44" s="2" customFormat="1" ht="15.6" thickTop="1" thickBot="1" x14ac:dyDescent="0.35">
      <c r="A187" s="283"/>
      <c r="B187" s="28" t="str">
        <f>B186</f>
        <v>ETS 06</v>
      </c>
      <c r="C187" s="271" t="s">
        <v>49</v>
      </c>
      <c r="D187" s="38" t="s">
        <v>23</v>
      </c>
      <c r="E187" s="39">
        <v>1</v>
      </c>
      <c r="F187" s="39" t="s">
        <v>14</v>
      </c>
      <c r="G187" s="39">
        <v>0</v>
      </c>
      <c r="H187" s="39">
        <v>1</v>
      </c>
      <c r="I187" s="43"/>
      <c r="J187" s="43" t="s">
        <v>94</v>
      </c>
      <c r="K187" s="95" t="s">
        <v>126</v>
      </c>
      <c r="L187" s="96">
        <v>0</v>
      </c>
      <c r="M187" s="97" t="str">
        <f t="shared" si="306"/>
        <v>No</v>
      </c>
      <c r="N187" s="98">
        <v>0</v>
      </c>
      <c r="O187" s="99" t="str">
        <f t="shared" si="307"/>
        <v>No</v>
      </c>
      <c r="P187" s="100">
        <v>1</v>
      </c>
      <c r="Q187" s="101" t="str">
        <f t="shared" si="308"/>
        <v>Yes</v>
      </c>
      <c r="R187" s="96">
        <v>0</v>
      </c>
      <c r="S187" s="11" t="str">
        <f t="shared" si="309"/>
        <v>No</v>
      </c>
      <c r="T187" s="28" t="str">
        <f>T186</f>
        <v>208 VAC</v>
      </c>
      <c r="U187" s="297"/>
      <c r="V187" s="140">
        <f>V186</f>
        <v>3</v>
      </c>
      <c r="W187" s="273"/>
      <c r="X187" s="39">
        <v>0</v>
      </c>
      <c r="Y187" s="39">
        <v>1</v>
      </c>
      <c r="Z187" s="46">
        <v>0</v>
      </c>
      <c r="AA187" s="30" t="s">
        <v>514</v>
      </c>
      <c r="AB187" s="39"/>
      <c r="AC187" s="39" t="s">
        <v>129</v>
      </c>
      <c r="AD187" s="39" t="s">
        <v>127</v>
      </c>
      <c r="AE187" s="39" t="s">
        <v>124</v>
      </c>
      <c r="AF187" s="39" t="s">
        <v>128</v>
      </c>
      <c r="AG187" s="39">
        <v>1004193531</v>
      </c>
      <c r="AH187" s="140" t="str">
        <f>AH186</f>
        <v>GVV-Concord-OP</v>
      </c>
      <c r="AI187" s="273"/>
      <c r="AJ187" s="140" t="str">
        <f>AJ186</f>
        <v>OP</v>
      </c>
      <c r="AK187" s="273"/>
      <c r="AL187" s="140" t="str">
        <f>AL186</f>
        <v>Operational</v>
      </c>
      <c r="AM187" s="277"/>
      <c r="AN187" s="140" t="str">
        <f>AN186</f>
        <v>Toronto</v>
      </c>
      <c r="AO187" s="82" t="s">
        <v>7</v>
      </c>
      <c r="AP187" s="273"/>
      <c r="AQ187" s="140" t="str">
        <f>AQ186</f>
        <v>Storage</v>
      </c>
      <c r="AR187" s="306"/>
    </row>
    <row r="188" spans="1:44" s="2" customFormat="1" ht="15.6" thickTop="1" thickBot="1" x14ac:dyDescent="0.35">
      <c r="A188" s="283"/>
      <c r="B188" s="28" t="str">
        <f t="shared" ref="B188:B191" si="318">B187</f>
        <v>ETS 06</v>
      </c>
      <c r="C188" s="271" t="s">
        <v>49</v>
      </c>
      <c r="D188" s="38" t="s">
        <v>24</v>
      </c>
      <c r="E188" s="39">
        <v>1</v>
      </c>
      <c r="F188" s="39" t="s">
        <v>14</v>
      </c>
      <c r="G188" s="39">
        <v>0</v>
      </c>
      <c r="H188" s="39">
        <v>1</v>
      </c>
      <c r="I188" s="43"/>
      <c r="J188" s="43" t="s">
        <v>94</v>
      </c>
      <c r="K188" s="95" t="s">
        <v>126</v>
      </c>
      <c r="L188" s="96">
        <v>0</v>
      </c>
      <c r="M188" s="97" t="str">
        <f t="shared" si="306"/>
        <v>No</v>
      </c>
      <c r="N188" s="98">
        <v>0</v>
      </c>
      <c r="O188" s="99" t="str">
        <f t="shared" si="307"/>
        <v>No</v>
      </c>
      <c r="P188" s="100">
        <v>1</v>
      </c>
      <c r="Q188" s="101" t="str">
        <f t="shared" si="308"/>
        <v>Yes</v>
      </c>
      <c r="R188" s="96">
        <v>0</v>
      </c>
      <c r="S188" s="11" t="str">
        <f t="shared" si="309"/>
        <v>No</v>
      </c>
      <c r="T188" s="28" t="str">
        <f t="shared" ref="T188:T191" si="319">T187</f>
        <v>208 VAC</v>
      </c>
      <c r="U188" s="297"/>
      <c r="V188" s="140">
        <f t="shared" ref="V188:V191" si="320">V187</f>
        <v>3</v>
      </c>
      <c r="W188" s="273"/>
      <c r="X188" s="39">
        <v>0</v>
      </c>
      <c r="Y188" s="39">
        <v>1</v>
      </c>
      <c r="Z188" s="46">
        <v>0</v>
      </c>
      <c r="AA188" s="30" t="s">
        <v>504</v>
      </c>
      <c r="AB188" s="39"/>
      <c r="AC188" s="39" t="s">
        <v>129</v>
      </c>
      <c r="AD188" s="39" t="s">
        <v>127</v>
      </c>
      <c r="AE188" s="39" t="s">
        <v>124</v>
      </c>
      <c r="AF188" s="39" t="s">
        <v>128</v>
      </c>
      <c r="AG188" s="39">
        <v>1004193531</v>
      </c>
      <c r="AH188" s="140" t="str">
        <f t="shared" ref="AH188:AH191" si="321">AH187</f>
        <v>GVV-Concord-OP</v>
      </c>
      <c r="AI188" s="273"/>
      <c r="AJ188" s="140" t="str">
        <f t="shared" ref="AJ188:AJ191" si="322">AJ187</f>
        <v>OP</v>
      </c>
      <c r="AK188" s="273"/>
      <c r="AL188" s="140" t="str">
        <f t="shared" ref="AL188:AL191" si="323">AL187</f>
        <v>Operational</v>
      </c>
      <c r="AM188" s="277"/>
      <c r="AN188" s="140" t="str">
        <f t="shared" ref="AN188:AN191" si="324">AN187</f>
        <v>Toronto</v>
      </c>
      <c r="AO188" s="82" t="s">
        <v>7</v>
      </c>
      <c r="AP188" s="273"/>
      <c r="AQ188" s="140" t="str">
        <f t="shared" ref="AQ188:AQ191" si="325">AQ187</f>
        <v>Storage</v>
      </c>
      <c r="AR188" s="306"/>
    </row>
    <row r="189" spans="1:44" s="2" customFormat="1" ht="15.6" thickTop="1" thickBot="1" x14ac:dyDescent="0.35">
      <c r="A189" s="283"/>
      <c r="B189" s="28" t="str">
        <f t="shared" si="318"/>
        <v>ETS 06</v>
      </c>
      <c r="C189" s="271" t="s">
        <v>49</v>
      </c>
      <c r="D189" s="38" t="s">
        <v>25</v>
      </c>
      <c r="E189" s="39">
        <v>1</v>
      </c>
      <c r="F189" s="39" t="s">
        <v>14</v>
      </c>
      <c r="G189" s="39">
        <v>0</v>
      </c>
      <c r="H189" s="39">
        <v>1</v>
      </c>
      <c r="I189" s="43"/>
      <c r="J189" s="43" t="s">
        <v>94</v>
      </c>
      <c r="K189" s="95" t="s">
        <v>126</v>
      </c>
      <c r="L189" s="96">
        <v>0</v>
      </c>
      <c r="M189" s="97" t="str">
        <f t="shared" si="306"/>
        <v>No</v>
      </c>
      <c r="N189" s="98">
        <v>0</v>
      </c>
      <c r="O189" s="99" t="str">
        <f t="shared" si="307"/>
        <v>No</v>
      </c>
      <c r="P189" s="100">
        <v>1</v>
      </c>
      <c r="Q189" s="101" t="str">
        <f t="shared" si="308"/>
        <v>Yes</v>
      </c>
      <c r="R189" s="96">
        <v>0</v>
      </c>
      <c r="S189" s="11" t="str">
        <f t="shared" si="309"/>
        <v>No</v>
      </c>
      <c r="T189" s="28" t="str">
        <f t="shared" si="319"/>
        <v>208 VAC</v>
      </c>
      <c r="U189" s="297"/>
      <c r="V189" s="140">
        <f t="shared" si="320"/>
        <v>3</v>
      </c>
      <c r="W189" s="273"/>
      <c r="X189" s="39">
        <v>0</v>
      </c>
      <c r="Y189" s="39">
        <v>1</v>
      </c>
      <c r="Z189" s="46">
        <v>0</v>
      </c>
      <c r="AA189" s="30" t="s">
        <v>515</v>
      </c>
      <c r="AB189" s="39"/>
      <c r="AC189" s="39" t="s">
        <v>129</v>
      </c>
      <c r="AD189" s="39" t="s">
        <v>127</v>
      </c>
      <c r="AE189" s="39" t="s">
        <v>124</v>
      </c>
      <c r="AF189" s="39" t="s">
        <v>128</v>
      </c>
      <c r="AG189" s="39">
        <v>1004193531</v>
      </c>
      <c r="AH189" s="140" t="str">
        <f t="shared" si="321"/>
        <v>GVV-Concord-OP</v>
      </c>
      <c r="AI189" s="273"/>
      <c r="AJ189" s="140" t="str">
        <f t="shared" si="322"/>
        <v>OP</v>
      </c>
      <c r="AK189" s="273"/>
      <c r="AL189" s="140" t="str">
        <f t="shared" si="323"/>
        <v>Operational</v>
      </c>
      <c r="AM189" s="277"/>
      <c r="AN189" s="140" t="str">
        <f t="shared" si="324"/>
        <v>Toronto</v>
      </c>
      <c r="AO189" s="82" t="s">
        <v>7</v>
      </c>
      <c r="AP189" s="273"/>
      <c r="AQ189" s="140" t="str">
        <f t="shared" si="325"/>
        <v>Storage</v>
      </c>
      <c r="AR189" s="306"/>
    </row>
    <row r="190" spans="1:44" s="2" customFormat="1" ht="15.6" thickTop="1" thickBot="1" x14ac:dyDescent="0.35">
      <c r="A190" s="283"/>
      <c r="B190" s="28" t="str">
        <f t="shared" si="318"/>
        <v>ETS 06</v>
      </c>
      <c r="C190" s="271" t="s">
        <v>49</v>
      </c>
      <c r="D190" s="38" t="s">
        <v>31</v>
      </c>
      <c r="E190" s="39">
        <v>1</v>
      </c>
      <c r="F190" s="39" t="s">
        <v>14</v>
      </c>
      <c r="G190" s="39">
        <v>0</v>
      </c>
      <c r="H190" s="39">
        <v>1</v>
      </c>
      <c r="I190" s="43"/>
      <c r="J190" s="43" t="s">
        <v>94</v>
      </c>
      <c r="K190" s="95" t="s">
        <v>126</v>
      </c>
      <c r="L190" s="96">
        <v>0</v>
      </c>
      <c r="M190" s="97" t="str">
        <f t="shared" si="306"/>
        <v>No</v>
      </c>
      <c r="N190" s="98">
        <v>0</v>
      </c>
      <c r="O190" s="99" t="str">
        <f t="shared" si="307"/>
        <v>No</v>
      </c>
      <c r="P190" s="100">
        <v>1</v>
      </c>
      <c r="Q190" s="101" t="str">
        <f t="shared" si="308"/>
        <v>Yes</v>
      </c>
      <c r="R190" s="96">
        <v>0</v>
      </c>
      <c r="S190" s="11" t="str">
        <f t="shared" si="309"/>
        <v>No</v>
      </c>
      <c r="T190" s="28" t="str">
        <f t="shared" si="319"/>
        <v>208 VAC</v>
      </c>
      <c r="U190" s="297"/>
      <c r="V190" s="140">
        <f t="shared" si="320"/>
        <v>3</v>
      </c>
      <c r="W190" s="273"/>
      <c r="X190" s="39">
        <v>0</v>
      </c>
      <c r="Y190" s="39">
        <v>1</v>
      </c>
      <c r="Z190" s="46">
        <v>0</v>
      </c>
      <c r="AA190" s="30" t="s">
        <v>516</v>
      </c>
      <c r="AB190" s="39"/>
      <c r="AC190" s="39" t="s">
        <v>129</v>
      </c>
      <c r="AD190" s="39" t="s">
        <v>127</v>
      </c>
      <c r="AE190" s="39" t="s">
        <v>124</v>
      </c>
      <c r="AF190" s="39" t="s">
        <v>128</v>
      </c>
      <c r="AG190" s="39">
        <v>1004193531</v>
      </c>
      <c r="AH190" s="140" t="str">
        <f t="shared" si="321"/>
        <v>GVV-Concord-OP</v>
      </c>
      <c r="AI190" s="273"/>
      <c r="AJ190" s="140" t="str">
        <f t="shared" si="322"/>
        <v>OP</v>
      </c>
      <c r="AK190" s="273"/>
      <c r="AL190" s="140" t="str">
        <f t="shared" si="323"/>
        <v>Operational</v>
      </c>
      <c r="AM190" s="277"/>
      <c r="AN190" s="140" t="str">
        <f t="shared" si="324"/>
        <v>Toronto</v>
      </c>
      <c r="AO190" s="82" t="s">
        <v>7</v>
      </c>
      <c r="AP190" s="273"/>
      <c r="AQ190" s="140" t="str">
        <f t="shared" si="325"/>
        <v>Storage</v>
      </c>
      <c r="AR190" s="306"/>
    </row>
    <row r="191" spans="1:44" s="3" customFormat="1" ht="15.6" thickTop="1" thickBot="1" x14ac:dyDescent="0.35">
      <c r="A191" s="284"/>
      <c r="B191" s="28" t="str">
        <f t="shared" si="318"/>
        <v>ETS 06</v>
      </c>
      <c r="C191" s="271" t="s">
        <v>49</v>
      </c>
      <c r="D191" s="33" t="s">
        <v>32</v>
      </c>
      <c r="E191" s="34">
        <v>1</v>
      </c>
      <c r="F191" s="34" t="s">
        <v>14</v>
      </c>
      <c r="G191" s="34">
        <v>0</v>
      </c>
      <c r="H191" s="34">
        <v>1</v>
      </c>
      <c r="I191" s="44"/>
      <c r="J191" s="44" t="s">
        <v>94</v>
      </c>
      <c r="K191" s="102" t="s">
        <v>126</v>
      </c>
      <c r="L191" s="103">
        <v>0</v>
      </c>
      <c r="M191" s="104" t="str">
        <f t="shared" si="306"/>
        <v>No</v>
      </c>
      <c r="N191" s="105">
        <v>0</v>
      </c>
      <c r="O191" s="106" t="str">
        <f t="shared" si="307"/>
        <v>No</v>
      </c>
      <c r="P191" s="107">
        <v>1</v>
      </c>
      <c r="Q191" s="108" t="str">
        <f t="shared" si="308"/>
        <v>Yes</v>
      </c>
      <c r="R191" s="103">
        <v>0</v>
      </c>
      <c r="S191" s="10" t="str">
        <f t="shared" si="309"/>
        <v>No</v>
      </c>
      <c r="T191" s="28" t="str">
        <f t="shared" si="319"/>
        <v>208 VAC</v>
      </c>
      <c r="U191" s="298"/>
      <c r="V191" s="140">
        <f t="shared" si="320"/>
        <v>3</v>
      </c>
      <c r="W191" s="274"/>
      <c r="X191" s="34">
        <v>0</v>
      </c>
      <c r="Y191" s="34">
        <v>1</v>
      </c>
      <c r="Z191" s="82">
        <v>0</v>
      </c>
      <c r="AA191" s="30" t="s">
        <v>507</v>
      </c>
      <c r="AB191" s="34"/>
      <c r="AC191" s="34" t="s">
        <v>129</v>
      </c>
      <c r="AD191" s="34" t="s">
        <v>127</v>
      </c>
      <c r="AE191" s="34" t="s">
        <v>124</v>
      </c>
      <c r="AF191" s="34" t="s">
        <v>128</v>
      </c>
      <c r="AG191" s="34">
        <v>1004193531</v>
      </c>
      <c r="AH191" s="140" t="str">
        <f t="shared" si="321"/>
        <v>GVV-Concord-OP</v>
      </c>
      <c r="AI191" s="274"/>
      <c r="AJ191" s="140" t="str">
        <f t="shared" si="322"/>
        <v>OP</v>
      </c>
      <c r="AK191" s="274"/>
      <c r="AL191" s="140" t="str">
        <f t="shared" si="323"/>
        <v>Operational</v>
      </c>
      <c r="AM191" s="278"/>
      <c r="AN191" s="140" t="str">
        <f t="shared" si="324"/>
        <v>Toronto</v>
      </c>
      <c r="AO191" s="83" t="s">
        <v>7</v>
      </c>
      <c r="AP191" s="274"/>
      <c r="AQ191" s="140" t="str">
        <f t="shared" si="325"/>
        <v>Storage</v>
      </c>
      <c r="AR191" s="307"/>
    </row>
    <row r="192" spans="1:44" s="1" customFormat="1" ht="15" thickTop="1" x14ac:dyDescent="0.3">
      <c r="A192" s="282">
        <f t="shared" si="305"/>
        <v>1</v>
      </c>
      <c r="B192" s="26" t="str">
        <f>C192</f>
        <v>ETS 07</v>
      </c>
      <c r="C192" s="271" t="s">
        <v>50</v>
      </c>
      <c r="D192" s="29" t="s">
        <v>22</v>
      </c>
      <c r="E192" s="30">
        <v>1</v>
      </c>
      <c r="F192" s="30" t="s">
        <v>14</v>
      </c>
      <c r="G192" s="30">
        <v>0</v>
      </c>
      <c r="H192" s="30">
        <v>1</v>
      </c>
      <c r="I192" s="42"/>
      <c r="J192" s="42" t="s">
        <v>94</v>
      </c>
      <c r="K192" s="88" t="s">
        <v>126</v>
      </c>
      <c r="L192" s="89">
        <v>0</v>
      </c>
      <c r="M192" s="90" t="str">
        <f t="shared" si="306"/>
        <v>No</v>
      </c>
      <c r="N192" s="91">
        <v>0</v>
      </c>
      <c r="O192" s="92" t="str">
        <f t="shared" si="307"/>
        <v>No</v>
      </c>
      <c r="P192" s="93">
        <v>1</v>
      </c>
      <c r="Q192" s="94" t="str">
        <f t="shared" si="308"/>
        <v>Yes</v>
      </c>
      <c r="R192" s="89">
        <v>0</v>
      </c>
      <c r="S192" s="9" t="str">
        <f t="shared" si="309"/>
        <v>No</v>
      </c>
      <c r="T192" s="26" t="str">
        <f>U192</f>
        <v>208 VAC</v>
      </c>
      <c r="U192" s="296" t="s">
        <v>93</v>
      </c>
      <c r="V192" s="135">
        <f>W192</f>
        <v>3</v>
      </c>
      <c r="W192" s="272">
        <v>3</v>
      </c>
      <c r="X192" s="30">
        <v>1</v>
      </c>
      <c r="Y192" s="30">
        <v>1</v>
      </c>
      <c r="Z192" s="30">
        <v>0</v>
      </c>
      <c r="AA192" s="30" t="s">
        <v>509</v>
      </c>
      <c r="AB192" s="30"/>
      <c r="AC192" s="30" t="s">
        <v>129</v>
      </c>
      <c r="AD192" s="30" t="s">
        <v>131</v>
      </c>
      <c r="AE192" s="30" t="s">
        <v>124</v>
      </c>
      <c r="AF192" s="30" t="s">
        <v>132</v>
      </c>
      <c r="AG192" s="30">
        <v>1037574905</v>
      </c>
      <c r="AH192" s="135" t="str">
        <f>AI192</f>
        <v>GVV-Concord-OP</v>
      </c>
      <c r="AI192" s="272" t="s">
        <v>42</v>
      </c>
      <c r="AJ192" s="135" t="str">
        <f>AK192</f>
        <v>OP</v>
      </c>
      <c r="AK192" s="272" t="s">
        <v>43</v>
      </c>
      <c r="AL192" s="135" t="str">
        <f>AM192</f>
        <v>Operational</v>
      </c>
      <c r="AM192" s="276" t="s">
        <v>5</v>
      </c>
      <c r="AN192" s="135" t="str">
        <f>AO192</f>
        <v>Toronto</v>
      </c>
      <c r="AO192" s="136" t="s">
        <v>7</v>
      </c>
      <c r="AP192" s="272" t="s">
        <v>8</v>
      </c>
      <c r="AQ192" s="135" t="str">
        <f>AR192</f>
        <v>Storage</v>
      </c>
      <c r="AR192" s="305" t="s">
        <v>92</v>
      </c>
    </row>
    <row r="193" spans="1:44" s="2" customFormat="1" x14ac:dyDescent="0.3">
      <c r="A193" s="283"/>
      <c r="B193" s="28" t="str">
        <f>B192</f>
        <v>ETS 07</v>
      </c>
      <c r="C193" s="271" t="s">
        <v>50</v>
      </c>
      <c r="D193" s="38" t="s">
        <v>23</v>
      </c>
      <c r="E193" s="39">
        <v>1</v>
      </c>
      <c r="F193" s="39" t="s">
        <v>14</v>
      </c>
      <c r="G193" s="39">
        <v>0</v>
      </c>
      <c r="H193" s="39">
        <v>1</v>
      </c>
      <c r="I193" s="43"/>
      <c r="J193" s="43" t="s">
        <v>94</v>
      </c>
      <c r="K193" s="95" t="s">
        <v>126</v>
      </c>
      <c r="L193" s="96">
        <v>0</v>
      </c>
      <c r="M193" s="97" t="str">
        <f t="shared" si="306"/>
        <v>No</v>
      </c>
      <c r="N193" s="98">
        <v>0</v>
      </c>
      <c r="O193" s="99" t="str">
        <f t="shared" si="307"/>
        <v>No</v>
      </c>
      <c r="P193" s="100">
        <v>1</v>
      </c>
      <c r="Q193" s="101" t="str">
        <f t="shared" si="308"/>
        <v>Yes</v>
      </c>
      <c r="R193" s="96">
        <v>0</v>
      </c>
      <c r="S193" s="11" t="str">
        <f t="shared" si="309"/>
        <v>No</v>
      </c>
      <c r="T193" s="28" t="str">
        <f>T192</f>
        <v>208 VAC</v>
      </c>
      <c r="U193" s="297"/>
      <c r="V193" s="140">
        <f>V192</f>
        <v>3</v>
      </c>
      <c r="W193" s="273"/>
      <c r="X193" s="39">
        <v>1</v>
      </c>
      <c r="Y193" s="39">
        <v>1</v>
      </c>
      <c r="Z193" s="39">
        <v>0</v>
      </c>
      <c r="AA193" s="39" t="s">
        <v>510</v>
      </c>
      <c r="AB193" s="39"/>
      <c r="AC193" s="39" t="s">
        <v>129</v>
      </c>
      <c r="AD193" s="39" t="s">
        <v>131</v>
      </c>
      <c r="AE193" s="39" t="s">
        <v>124</v>
      </c>
      <c r="AF193" s="39" t="s">
        <v>132</v>
      </c>
      <c r="AG193" s="39">
        <v>1037574905</v>
      </c>
      <c r="AH193" s="140" t="str">
        <f>AH192</f>
        <v>GVV-Concord-OP</v>
      </c>
      <c r="AI193" s="273"/>
      <c r="AJ193" s="140" t="str">
        <f>AJ192</f>
        <v>OP</v>
      </c>
      <c r="AK193" s="273"/>
      <c r="AL193" s="140" t="str">
        <f>AL192</f>
        <v>Operational</v>
      </c>
      <c r="AM193" s="277"/>
      <c r="AN193" s="140" t="str">
        <f>AN192</f>
        <v>Toronto</v>
      </c>
      <c r="AO193" s="82" t="s">
        <v>7</v>
      </c>
      <c r="AP193" s="273"/>
      <c r="AQ193" s="140" t="str">
        <f>AQ192</f>
        <v>Storage</v>
      </c>
      <c r="AR193" s="306"/>
    </row>
    <row r="194" spans="1:44" s="2" customFormat="1" x14ac:dyDescent="0.3">
      <c r="A194" s="283"/>
      <c r="B194" s="28" t="str">
        <f t="shared" ref="B194:B197" si="326">B193</f>
        <v>ETS 07</v>
      </c>
      <c r="C194" s="271" t="s">
        <v>50</v>
      </c>
      <c r="D194" s="38" t="s">
        <v>24</v>
      </c>
      <c r="E194" s="39">
        <v>1</v>
      </c>
      <c r="F194" s="39" t="s">
        <v>14</v>
      </c>
      <c r="G194" s="39">
        <v>0</v>
      </c>
      <c r="H194" s="39">
        <v>1</v>
      </c>
      <c r="I194" s="43"/>
      <c r="J194" s="43" t="s">
        <v>94</v>
      </c>
      <c r="K194" s="95" t="s">
        <v>126</v>
      </c>
      <c r="L194" s="96">
        <v>0</v>
      </c>
      <c r="M194" s="97" t="str">
        <f t="shared" si="306"/>
        <v>No</v>
      </c>
      <c r="N194" s="98">
        <v>0</v>
      </c>
      <c r="O194" s="99" t="str">
        <f t="shared" si="307"/>
        <v>No</v>
      </c>
      <c r="P194" s="100">
        <v>1</v>
      </c>
      <c r="Q194" s="101" t="str">
        <f t="shared" si="308"/>
        <v>Yes</v>
      </c>
      <c r="R194" s="96">
        <v>0</v>
      </c>
      <c r="S194" s="11" t="str">
        <f t="shared" si="309"/>
        <v>No</v>
      </c>
      <c r="T194" s="28" t="str">
        <f t="shared" ref="T194:T197" si="327">T193</f>
        <v>208 VAC</v>
      </c>
      <c r="U194" s="297"/>
      <c r="V194" s="140">
        <f t="shared" ref="V194:V197" si="328">V193</f>
        <v>3</v>
      </c>
      <c r="W194" s="273"/>
      <c r="X194" s="39">
        <v>1</v>
      </c>
      <c r="Y194" s="39">
        <v>1</v>
      </c>
      <c r="Z194" s="39">
        <v>0</v>
      </c>
      <c r="AA194" s="39" t="s">
        <v>511</v>
      </c>
      <c r="AB194" s="39"/>
      <c r="AC194" s="39" t="s">
        <v>129</v>
      </c>
      <c r="AD194" s="39" t="s">
        <v>131</v>
      </c>
      <c r="AE194" s="39" t="s">
        <v>124</v>
      </c>
      <c r="AF194" s="39" t="s">
        <v>132</v>
      </c>
      <c r="AG194" s="39">
        <v>1037574905</v>
      </c>
      <c r="AH194" s="140" t="str">
        <f t="shared" ref="AH194:AH197" si="329">AH193</f>
        <v>GVV-Concord-OP</v>
      </c>
      <c r="AI194" s="273"/>
      <c r="AJ194" s="140" t="str">
        <f t="shared" ref="AJ194:AJ197" si="330">AJ193</f>
        <v>OP</v>
      </c>
      <c r="AK194" s="273"/>
      <c r="AL194" s="140" t="str">
        <f t="shared" ref="AL194:AL197" si="331">AL193</f>
        <v>Operational</v>
      </c>
      <c r="AM194" s="277"/>
      <c r="AN194" s="140" t="str">
        <f t="shared" ref="AN194:AN197" si="332">AN193</f>
        <v>Toronto</v>
      </c>
      <c r="AO194" s="82" t="s">
        <v>7</v>
      </c>
      <c r="AP194" s="273"/>
      <c r="AQ194" s="140" t="str">
        <f t="shared" ref="AQ194:AQ197" si="333">AQ193</f>
        <v>Storage</v>
      </c>
      <c r="AR194" s="306"/>
    </row>
    <row r="195" spans="1:44" s="2" customFormat="1" x14ac:dyDescent="0.3">
      <c r="A195" s="283"/>
      <c r="B195" s="28" t="str">
        <f t="shared" si="326"/>
        <v>ETS 07</v>
      </c>
      <c r="C195" s="271" t="s">
        <v>50</v>
      </c>
      <c r="D195" s="38" t="s">
        <v>25</v>
      </c>
      <c r="E195" s="39">
        <v>1</v>
      </c>
      <c r="F195" s="39" t="s">
        <v>14</v>
      </c>
      <c r="G195" s="39">
        <v>0</v>
      </c>
      <c r="H195" s="39">
        <v>1</v>
      </c>
      <c r="I195" s="43"/>
      <c r="J195" s="43" t="s">
        <v>94</v>
      </c>
      <c r="K195" s="95" t="s">
        <v>126</v>
      </c>
      <c r="L195" s="96">
        <v>0</v>
      </c>
      <c r="M195" s="97" t="str">
        <f t="shared" si="306"/>
        <v>No</v>
      </c>
      <c r="N195" s="98">
        <v>0</v>
      </c>
      <c r="O195" s="99" t="str">
        <f t="shared" si="307"/>
        <v>No</v>
      </c>
      <c r="P195" s="100">
        <v>1</v>
      </c>
      <c r="Q195" s="101" t="str">
        <f t="shared" si="308"/>
        <v>Yes</v>
      </c>
      <c r="R195" s="96">
        <v>0</v>
      </c>
      <c r="S195" s="11" t="str">
        <f t="shared" si="309"/>
        <v>No</v>
      </c>
      <c r="T195" s="28" t="str">
        <f t="shared" si="327"/>
        <v>208 VAC</v>
      </c>
      <c r="U195" s="297"/>
      <c r="V195" s="140">
        <f t="shared" si="328"/>
        <v>3</v>
      </c>
      <c r="W195" s="273"/>
      <c r="X195" s="39">
        <v>1</v>
      </c>
      <c r="Y195" s="39">
        <v>1</v>
      </c>
      <c r="Z195" s="39">
        <v>0</v>
      </c>
      <c r="AA195" s="39" t="s">
        <v>135</v>
      </c>
      <c r="AB195" s="39"/>
      <c r="AC195" s="39" t="s">
        <v>129</v>
      </c>
      <c r="AD195" s="39" t="s">
        <v>131</v>
      </c>
      <c r="AE195" s="39" t="s">
        <v>124</v>
      </c>
      <c r="AF195" s="39" t="s">
        <v>132</v>
      </c>
      <c r="AG195" s="39">
        <v>1037574905</v>
      </c>
      <c r="AH195" s="140" t="str">
        <f t="shared" si="329"/>
        <v>GVV-Concord-OP</v>
      </c>
      <c r="AI195" s="273"/>
      <c r="AJ195" s="140" t="str">
        <f t="shared" si="330"/>
        <v>OP</v>
      </c>
      <c r="AK195" s="273"/>
      <c r="AL195" s="140" t="str">
        <f t="shared" si="331"/>
        <v>Operational</v>
      </c>
      <c r="AM195" s="277"/>
      <c r="AN195" s="140" t="str">
        <f t="shared" si="332"/>
        <v>Toronto</v>
      </c>
      <c r="AO195" s="82" t="s">
        <v>7</v>
      </c>
      <c r="AP195" s="273"/>
      <c r="AQ195" s="140" t="str">
        <f t="shared" si="333"/>
        <v>Storage</v>
      </c>
      <c r="AR195" s="306"/>
    </row>
    <row r="196" spans="1:44" s="2" customFormat="1" x14ac:dyDescent="0.3">
      <c r="A196" s="283"/>
      <c r="B196" s="28" t="str">
        <f t="shared" si="326"/>
        <v>ETS 07</v>
      </c>
      <c r="C196" s="271" t="s">
        <v>50</v>
      </c>
      <c r="D196" s="38" t="s">
        <v>31</v>
      </c>
      <c r="E196" s="39">
        <v>1</v>
      </c>
      <c r="F196" s="39" t="s">
        <v>14</v>
      </c>
      <c r="G196" s="39">
        <v>0</v>
      </c>
      <c r="H196" s="39">
        <v>1</v>
      </c>
      <c r="I196" s="43"/>
      <c r="J196" s="43" t="s">
        <v>94</v>
      </c>
      <c r="K196" s="95" t="s">
        <v>126</v>
      </c>
      <c r="L196" s="96">
        <v>0</v>
      </c>
      <c r="M196" s="97" t="str">
        <f t="shared" si="306"/>
        <v>No</v>
      </c>
      <c r="N196" s="98">
        <v>0</v>
      </c>
      <c r="O196" s="99" t="str">
        <f t="shared" si="307"/>
        <v>No</v>
      </c>
      <c r="P196" s="100">
        <v>1</v>
      </c>
      <c r="Q196" s="101" t="str">
        <f t="shared" si="308"/>
        <v>Yes</v>
      </c>
      <c r="R196" s="96">
        <v>0</v>
      </c>
      <c r="S196" s="11" t="str">
        <f t="shared" si="309"/>
        <v>No</v>
      </c>
      <c r="T196" s="28" t="str">
        <f t="shared" si="327"/>
        <v>208 VAC</v>
      </c>
      <c r="U196" s="297"/>
      <c r="V196" s="140">
        <f t="shared" si="328"/>
        <v>3</v>
      </c>
      <c r="W196" s="273"/>
      <c r="X196" s="39">
        <v>1</v>
      </c>
      <c r="Y196" s="39">
        <v>1</v>
      </c>
      <c r="Z196" s="39">
        <v>0</v>
      </c>
      <c r="AA196" s="39" t="s">
        <v>512</v>
      </c>
      <c r="AB196" s="39"/>
      <c r="AC196" s="39" t="s">
        <v>129</v>
      </c>
      <c r="AD196" s="39" t="s">
        <v>131</v>
      </c>
      <c r="AE196" s="39" t="s">
        <v>124</v>
      </c>
      <c r="AF196" s="39" t="s">
        <v>132</v>
      </c>
      <c r="AG196" s="39">
        <v>1037574905</v>
      </c>
      <c r="AH196" s="140" t="str">
        <f t="shared" si="329"/>
        <v>GVV-Concord-OP</v>
      </c>
      <c r="AI196" s="273"/>
      <c r="AJ196" s="140" t="str">
        <f t="shared" si="330"/>
        <v>OP</v>
      </c>
      <c r="AK196" s="273"/>
      <c r="AL196" s="140" t="str">
        <f t="shared" si="331"/>
        <v>Operational</v>
      </c>
      <c r="AM196" s="277"/>
      <c r="AN196" s="140" t="str">
        <f t="shared" si="332"/>
        <v>Toronto</v>
      </c>
      <c r="AO196" s="82" t="s">
        <v>7</v>
      </c>
      <c r="AP196" s="273"/>
      <c r="AQ196" s="140" t="str">
        <f t="shared" si="333"/>
        <v>Storage</v>
      </c>
      <c r="AR196" s="306"/>
    </row>
    <row r="197" spans="1:44" s="3" customFormat="1" ht="15" thickBot="1" x14ac:dyDescent="0.35">
      <c r="A197" s="284"/>
      <c r="B197" s="28" t="str">
        <f t="shared" si="326"/>
        <v>ETS 07</v>
      </c>
      <c r="C197" s="271" t="s">
        <v>50</v>
      </c>
      <c r="D197" s="33" t="s">
        <v>32</v>
      </c>
      <c r="E197" s="34">
        <v>1</v>
      </c>
      <c r="F197" s="34" t="s">
        <v>14</v>
      </c>
      <c r="G197" s="34">
        <v>0</v>
      </c>
      <c r="H197" s="34">
        <v>1</v>
      </c>
      <c r="I197" s="44"/>
      <c r="J197" s="44" t="s">
        <v>94</v>
      </c>
      <c r="K197" s="102" t="s">
        <v>126</v>
      </c>
      <c r="L197" s="103">
        <v>0</v>
      </c>
      <c r="M197" s="104" t="str">
        <f t="shared" si="306"/>
        <v>No</v>
      </c>
      <c r="N197" s="105">
        <v>0</v>
      </c>
      <c r="O197" s="106" t="str">
        <f t="shared" si="307"/>
        <v>No</v>
      </c>
      <c r="P197" s="107">
        <v>1</v>
      </c>
      <c r="Q197" s="108" t="str">
        <f t="shared" si="308"/>
        <v>Yes</v>
      </c>
      <c r="R197" s="103">
        <v>0</v>
      </c>
      <c r="S197" s="10" t="str">
        <f t="shared" si="309"/>
        <v>No</v>
      </c>
      <c r="T197" s="28" t="str">
        <f t="shared" si="327"/>
        <v>208 VAC</v>
      </c>
      <c r="U197" s="298"/>
      <c r="V197" s="140">
        <f t="shared" si="328"/>
        <v>3</v>
      </c>
      <c r="W197" s="274"/>
      <c r="X197" s="39">
        <v>1</v>
      </c>
      <c r="Y197" s="34">
        <v>1</v>
      </c>
      <c r="Z197" s="49">
        <v>0</v>
      </c>
      <c r="AA197" s="39" t="s">
        <v>513</v>
      </c>
      <c r="AB197" s="34"/>
      <c r="AC197" s="34" t="s">
        <v>129</v>
      </c>
      <c r="AD197" s="34" t="s">
        <v>131</v>
      </c>
      <c r="AE197" s="34" t="s">
        <v>124</v>
      </c>
      <c r="AF197" s="34" t="s">
        <v>132</v>
      </c>
      <c r="AG197" s="34">
        <v>1037574905</v>
      </c>
      <c r="AH197" s="140" t="str">
        <f t="shared" si="329"/>
        <v>GVV-Concord-OP</v>
      </c>
      <c r="AI197" s="274"/>
      <c r="AJ197" s="140" t="str">
        <f t="shared" si="330"/>
        <v>OP</v>
      </c>
      <c r="AK197" s="274"/>
      <c r="AL197" s="140" t="str">
        <f t="shared" si="331"/>
        <v>Operational</v>
      </c>
      <c r="AM197" s="278"/>
      <c r="AN197" s="140" t="str">
        <f t="shared" si="332"/>
        <v>Toronto</v>
      </c>
      <c r="AO197" s="83" t="s">
        <v>7</v>
      </c>
      <c r="AP197" s="274"/>
      <c r="AQ197" s="140" t="str">
        <f t="shared" si="333"/>
        <v>Storage</v>
      </c>
      <c r="AR197" s="307"/>
    </row>
    <row r="198" spans="1:44" s="1" customFormat="1" ht="15.6" thickTop="1" thickBot="1" x14ac:dyDescent="0.35">
      <c r="A198" s="282">
        <f t="shared" si="305"/>
        <v>1</v>
      </c>
      <c r="B198" s="26" t="str">
        <f>C198</f>
        <v>ETS 08</v>
      </c>
      <c r="C198" s="271" t="s">
        <v>51</v>
      </c>
      <c r="D198" s="29" t="s">
        <v>22</v>
      </c>
      <c r="E198" s="30">
        <v>1</v>
      </c>
      <c r="F198" s="30" t="s">
        <v>14</v>
      </c>
      <c r="G198" s="30">
        <v>0</v>
      </c>
      <c r="H198" s="30">
        <v>1</v>
      </c>
      <c r="I198" s="42"/>
      <c r="J198" s="88" t="s">
        <v>94</v>
      </c>
      <c r="K198" s="88" t="s">
        <v>126</v>
      </c>
      <c r="L198" s="89">
        <v>0</v>
      </c>
      <c r="M198" s="90" t="str">
        <f t="shared" si="306"/>
        <v>No</v>
      </c>
      <c r="N198" s="91">
        <v>0</v>
      </c>
      <c r="O198" s="92" t="str">
        <f t="shared" si="307"/>
        <v>No</v>
      </c>
      <c r="P198" s="93">
        <v>1</v>
      </c>
      <c r="Q198" s="94" t="str">
        <f t="shared" si="308"/>
        <v>Yes</v>
      </c>
      <c r="R198" s="89">
        <v>0</v>
      </c>
      <c r="S198" s="9" t="str">
        <f t="shared" si="309"/>
        <v>No</v>
      </c>
      <c r="T198" s="26" t="str">
        <f>U198</f>
        <v>208 VAC</v>
      </c>
      <c r="U198" s="296" t="s">
        <v>93</v>
      </c>
      <c r="V198" s="135">
        <f>W198</f>
        <v>3</v>
      </c>
      <c r="W198" s="272">
        <v>3</v>
      </c>
      <c r="X198" s="30">
        <v>0</v>
      </c>
      <c r="Y198" s="30">
        <v>1</v>
      </c>
      <c r="Z198" s="30">
        <v>0</v>
      </c>
      <c r="AA198" s="30" t="s">
        <v>500</v>
      </c>
      <c r="AB198" s="30"/>
      <c r="AC198" s="30" t="s">
        <v>95</v>
      </c>
      <c r="AD198" s="30" t="s">
        <v>133</v>
      </c>
      <c r="AE198" s="30" t="s">
        <v>108</v>
      </c>
      <c r="AF198" s="30" t="s">
        <v>134</v>
      </c>
      <c r="AG198" s="30">
        <v>985323267</v>
      </c>
      <c r="AH198" s="135" t="str">
        <f>AI198</f>
        <v>GVV-Concord-OP</v>
      </c>
      <c r="AI198" s="272" t="s">
        <v>42</v>
      </c>
      <c r="AJ198" s="135" t="str">
        <f>AK198</f>
        <v>OP</v>
      </c>
      <c r="AK198" s="272" t="s">
        <v>43</v>
      </c>
      <c r="AL198" s="135" t="str">
        <f>AM198</f>
        <v>Operational</v>
      </c>
      <c r="AM198" s="276" t="s">
        <v>5</v>
      </c>
      <c r="AN198" s="135" t="str">
        <f>AO198</f>
        <v>Toronto</v>
      </c>
      <c r="AO198" s="136" t="s">
        <v>7</v>
      </c>
      <c r="AP198" s="272" t="s">
        <v>8</v>
      </c>
      <c r="AQ198" s="135" t="str">
        <f>AR198</f>
        <v>MGA</v>
      </c>
      <c r="AR198" s="305" t="s">
        <v>142</v>
      </c>
    </row>
    <row r="199" spans="1:44" s="2" customFormat="1" ht="15.6" thickTop="1" thickBot="1" x14ac:dyDescent="0.35">
      <c r="A199" s="283"/>
      <c r="B199" s="28" t="str">
        <f>B198</f>
        <v>ETS 08</v>
      </c>
      <c r="C199" s="271" t="s">
        <v>51</v>
      </c>
      <c r="D199" s="38" t="s">
        <v>23</v>
      </c>
      <c r="E199" s="39">
        <v>1</v>
      </c>
      <c r="F199" s="39" t="s">
        <v>14</v>
      </c>
      <c r="G199" s="39">
        <v>0</v>
      </c>
      <c r="H199" s="39">
        <v>1</v>
      </c>
      <c r="I199" s="43"/>
      <c r="J199" s="95" t="s">
        <v>94</v>
      </c>
      <c r="K199" s="95" t="s">
        <v>126</v>
      </c>
      <c r="L199" s="96">
        <v>0</v>
      </c>
      <c r="M199" s="97" t="str">
        <f t="shared" si="306"/>
        <v>No</v>
      </c>
      <c r="N199" s="98">
        <v>0</v>
      </c>
      <c r="O199" s="99" t="str">
        <f t="shared" si="307"/>
        <v>No</v>
      </c>
      <c r="P199" s="100">
        <v>1</v>
      </c>
      <c r="Q199" s="101" t="str">
        <f t="shared" si="308"/>
        <v>Yes</v>
      </c>
      <c r="R199" s="96">
        <v>0</v>
      </c>
      <c r="S199" s="11" t="str">
        <f t="shared" si="309"/>
        <v>No</v>
      </c>
      <c r="T199" s="28" t="str">
        <f>T198</f>
        <v>208 VAC</v>
      </c>
      <c r="U199" s="297"/>
      <c r="V199" s="140">
        <f>V198</f>
        <v>3</v>
      </c>
      <c r="W199" s="273"/>
      <c r="X199" s="39">
        <v>0</v>
      </c>
      <c r="Y199" s="39">
        <v>1</v>
      </c>
      <c r="Z199" s="46">
        <v>0</v>
      </c>
      <c r="AA199" s="30" t="s">
        <v>502</v>
      </c>
      <c r="AB199" s="39"/>
      <c r="AC199" s="39" t="s">
        <v>95</v>
      </c>
      <c r="AD199" s="39" t="s">
        <v>133</v>
      </c>
      <c r="AE199" s="39" t="s">
        <v>108</v>
      </c>
      <c r="AF199" s="39" t="s">
        <v>134</v>
      </c>
      <c r="AG199" s="39">
        <v>985323267</v>
      </c>
      <c r="AH199" s="140" t="str">
        <f>AH198</f>
        <v>GVV-Concord-OP</v>
      </c>
      <c r="AI199" s="273"/>
      <c r="AJ199" s="140" t="str">
        <f>AJ198</f>
        <v>OP</v>
      </c>
      <c r="AK199" s="273"/>
      <c r="AL199" s="140" t="str">
        <f>AL198</f>
        <v>Operational</v>
      </c>
      <c r="AM199" s="277"/>
      <c r="AN199" s="140" t="str">
        <f>AN198</f>
        <v>Toronto</v>
      </c>
      <c r="AO199" s="82" t="s">
        <v>7</v>
      </c>
      <c r="AP199" s="273"/>
      <c r="AQ199" s="140" t="str">
        <f>AQ198</f>
        <v>MGA</v>
      </c>
      <c r="AR199" s="306"/>
    </row>
    <row r="200" spans="1:44" s="2" customFormat="1" ht="15.6" thickTop="1" thickBot="1" x14ac:dyDescent="0.35">
      <c r="A200" s="283"/>
      <c r="B200" s="28" t="str">
        <f t="shared" ref="B200:B203" si="334">B199</f>
        <v>ETS 08</v>
      </c>
      <c r="C200" s="271" t="s">
        <v>51</v>
      </c>
      <c r="D200" s="38" t="s">
        <v>24</v>
      </c>
      <c r="E200" s="39">
        <v>1</v>
      </c>
      <c r="F200" s="39" t="s">
        <v>14</v>
      </c>
      <c r="G200" s="39">
        <v>0</v>
      </c>
      <c r="H200" s="39">
        <v>1</v>
      </c>
      <c r="I200" s="43"/>
      <c r="J200" s="95" t="s">
        <v>94</v>
      </c>
      <c r="K200" s="95" t="s">
        <v>126</v>
      </c>
      <c r="L200" s="96">
        <v>0</v>
      </c>
      <c r="M200" s="97" t="str">
        <f t="shared" si="306"/>
        <v>No</v>
      </c>
      <c r="N200" s="98">
        <v>0</v>
      </c>
      <c r="O200" s="99" t="str">
        <f t="shared" si="307"/>
        <v>No</v>
      </c>
      <c r="P200" s="100">
        <v>1</v>
      </c>
      <c r="Q200" s="101" t="str">
        <f t="shared" si="308"/>
        <v>Yes</v>
      </c>
      <c r="R200" s="96">
        <v>0</v>
      </c>
      <c r="S200" s="11" t="str">
        <f t="shared" si="309"/>
        <v>No</v>
      </c>
      <c r="T200" s="28" t="str">
        <f t="shared" ref="T200:T203" si="335">T199</f>
        <v>208 VAC</v>
      </c>
      <c r="U200" s="297"/>
      <c r="V200" s="140">
        <f t="shared" ref="V200:V203" si="336">V199</f>
        <v>3</v>
      </c>
      <c r="W200" s="273"/>
      <c r="X200" s="39">
        <v>0</v>
      </c>
      <c r="Y200" s="39">
        <v>1</v>
      </c>
      <c r="Z200" s="46">
        <v>0</v>
      </c>
      <c r="AA200" s="30" t="s">
        <v>503</v>
      </c>
      <c r="AB200" s="39"/>
      <c r="AC200" s="39" t="s">
        <v>95</v>
      </c>
      <c r="AD200" s="39" t="s">
        <v>133</v>
      </c>
      <c r="AE200" s="39" t="s">
        <v>108</v>
      </c>
      <c r="AF200" s="39" t="s">
        <v>134</v>
      </c>
      <c r="AG200" s="39">
        <v>985323267</v>
      </c>
      <c r="AH200" s="140" t="str">
        <f t="shared" ref="AH200:AH203" si="337">AH199</f>
        <v>GVV-Concord-OP</v>
      </c>
      <c r="AI200" s="273"/>
      <c r="AJ200" s="140" t="str">
        <f t="shared" ref="AJ200:AJ203" si="338">AJ199</f>
        <v>OP</v>
      </c>
      <c r="AK200" s="273"/>
      <c r="AL200" s="140" t="str">
        <f t="shared" ref="AL200:AL203" si="339">AL199</f>
        <v>Operational</v>
      </c>
      <c r="AM200" s="277"/>
      <c r="AN200" s="140" t="str">
        <f t="shared" ref="AN200:AN203" si="340">AN199</f>
        <v>Toronto</v>
      </c>
      <c r="AO200" s="82" t="s">
        <v>7</v>
      </c>
      <c r="AP200" s="273"/>
      <c r="AQ200" s="140" t="str">
        <f t="shared" ref="AQ200:AQ203" si="341">AQ199</f>
        <v>MGA</v>
      </c>
      <c r="AR200" s="306"/>
    </row>
    <row r="201" spans="1:44" s="2" customFormat="1" ht="15.6" thickTop="1" thickBot="1" x14ac:dyDescent="0.35">
      <c r="A201" s="283"/>
      <c r="B201" s="28" t="str">
        <f t="shared" si="334"/>
        <v>ETS 08</v>
      </c>
      <c r="C201" s="271" t="s">
        <v>51</v>
      </c>
      <c r="D201" s="38" t="s">
        <v>25</v>
      </c>
      <c r="E201" s="39">
        <v>1</v>
      </c>
      <c r="F201" s="39" t="s">
        <v>14</v>
      </c>
      <c r="G201" s="39">
        <v>0</v>
      </c>
      <c r="H201" s="39">
        <v>1</v>
      </c>
      <c r="I201" s="43"/>
      <c r="J201" s="95" t="s">
        <v>94</v>
      </c>
      <c r="K201" s="95" t="s">
        <v>126</v>
      </c>
      <c r="L201" s="96">
        <v>0</v>
      </c>
      <c r="M201" s="97" t="str">
        <f t="shared" si="306"/>
        <v>No</v>
      </c>
      <c r="N201" s="98">
        <v>0</v>
      </c>
      <c r="O201" s="99" t="str">
        <f t="shared" si="307"/>
        <v>No</v>
      </c>
      <c r="P201" s="100">
        <v>1</v>
      </c>
      <c r="Q201" s="101" t="str">
        <f t="shared" si="308"/>
        <v>Yes</v>
      </c>
      <c r="R201" s="96">
        <v>0</v>
      </c>
      <c r="S201" s="11" t="str">
        <f t="shared" si="309"/>
        <v>No</v>
      </c>
      <c r="T201" s="28" t="str">
        <f t="shared" si="335"/>
        <v>208 VAC</v>
      </c>
      <c r="U201" s="297"/>
      <c r="V201" s="140">
        <f t="shared" si="336"/>
        <v>3</v>
      </c>
      <c r="W201" s="273"/>
      <c r="X201" s="39">
        <v>0</v>
      </c>
      <c r="Y201" s="39">
        <v>1</v>
      </c>
      <c r="Z201" s="46">
        <v>0</v>
      </c>
      <c r="AA201" s="30" t="s">
        <v>505</v>
      </c>
      <c r="AB201" s="39"/>
      <c r="AC201" s="39" t="s">
        <v>95</v>
      </c>
      <c r="AD201" s="39" t="s">
        <v>133</v>
      </c>
      <c r="AE201" s="39" t="s">
        <v>108</v>
      </c>
      <c r="AF201" s="39" t="s">
        <v>134</v>
      </c>
      <c r="AG201" s="39">
        <v>985323267</v>
      </c>
      <c r="AH201" s="140" t="str">
        <f t="shared" si="337"/>
        <v>GVV-Concord-OP</v>
      </c>
      <c r="AI201" s="273"/>
      <c r="AJ201" s="140" t="str">
        <f t="shared" si="338"/>
        <v>OP</v>
      </c>
      <c r="AK201" s="273"/>
      <c r="AL201" s="140" t="str">
        <f t="shared" si="339"/>
        <v>Operational</v>
      </c>
      <c r="AM201" s="277"/>
      <c r="AN201" s="140" t="str">
        <f t="shared" si="340"/>
        <v>Toronto</v>
      </c>
      <c r="AO201" s="82" t="s">
        <v>7</v>
      </c>
      <c r="AP201" s="273"/>
      <c r="AQ201" s="140" t="str">
        <f t="shared" si="341"/>
        <v>MGA</v>
      </c>
      <c r="AR201" s="306"/>
    </row>
    <row r="202" spans="1:44" s="2" customFormat="1" ht="15.6" thickTop="1" thickBot="1" x14ac:dyDescent="0.35">
      <c r="A202" s="283"/>
      <c r="B202" s="28" t="str">
        <f t="shared" si="334"/>
        <v>ETS 08</v>
      </c>
      <c r="C202" s="271" t="s">
        <v>51</v>
      </c>
      <c r="D202" s="38" t="s">
        <v>31</v>
      </c>
      <c r="E202" s="39">
        <v>1</v>
      </c>
      <c r="F202" s="39" t="s">
        <v>14</v>
      </c>
      <c r="G202" s="39">
        <v>0</v>
      </c>
      <c r="H202" s="39">
        <v>1</v>
      </c>
      <c r="I202" s="43"/>
      <c r="J202" s="95" t="s">
        <v>94</v>
      </c>
      <c r="K202" s="95" t="s">
        <v>126</v>
      </c>
      <c r="L202" s="96">
        <v>0</v>
      </c>
      <c r="M202" s="97" t="str">
        <f t="shared" si="306"/>
        <v>No</v>
      </c>
      <c r="N202" s="98">
        <v>0</v>
      </c>
      <c r="O202" s="99" t="str">
        <f t="shared" si="307"/>
        <v>No</v>
      </c>
      <c r="P202" s="100">
        <v>1</v>
      </c>
      <c r="Q202" s="101" t="str">
        <f t="shared" si="308"/>
        <v>Yes</v>
      </c>
      <c r="R202" s="96">
        <v>0</v>
      </c>
      <c r="S202" s="11" t="str">
        <f t="shared" si="309"/>
        <v>No</v>
      </c>
      <c r="T202" s="28" t="str">
        <f t="shared" si="335"/>
        <v>208 VAC</v>
      </c>
      <c r="U202" s="297"/>
      <c r="V202" s="140">
        <f t="shared" si="336"/>
        <v>3</v>
      </c>
      <c r="W202" s="273"/>
      <c r="X202" s="39">
        <v>0</v>
      </c>
      <c r="Y202" s="39">
        <v>1</v>
      </c>
      <c r="Z202" s="46">
        <v>0</v>
      </c>
      <c r="AA202" s="30" t="s">
        <v>506</v>
      </c>
      <c r="AB202" s="39"/>
      <c r="AC202" s="39" t="s">
        <v>95</v>
      </c>
      <c r="AD202" s="39" t="s">
        <v>133</v>
      </c>
      <c r="AE202" s="39" t="s">
        <v>108</v>
      </c>
      <c r="AF202" s="39" t="s">
        <v>134</v>
      </c>
      <c r="AG202" s="39">
        <v>985323267</v>
      </c>
      <c r="AH202" s="140" t="str">
        <f t="shared" si="337"/>
        <v>GVV-Concord-OP</v>
      </c>
      <c r="AI202" s="273"/>
      <c r="AJ202" s="140" t="str">
        <f t="shared" si="338"/>
        <v>OP</v>
      </c>
      <c r="AK202" s="273"/>
      <c r="AL202" s="140" t="str">
        <f t="shared" si="339"/>
        <v>Operational</v>
      </c>
      <c r="AM202" s="277"/>
      <c r="AN202" s="140" t="str">
        <f t="shared" si="340"/>
        <v>Toronto</v>
      </c>
      <c r="AO202" s="82" t="s">
        <v>7</v>
      </c>
      <c r="AP202" s="273"/>
      <c r="AQ202" s="140" t="str">
        <f t="shared" si="341"/>
        <v>MGA</v>
      </c>
      <c r="AR202" s="306"/>
    </row>
    <row r="203" spans="1:44" s="3" customFormat="1" ht="15.6" thickTop="1" thickBot="1" x14ac:dyDescent="0.35">
      <c r="A203" s="284"/>
      <c r="B203" s="28" t="str">
        <f t="shared" si="334"/>
        <v>ETS 08</v>
      </c>
      <c r="C203" s="271" t="s">
        <v>51</v>
      </c>
      <c r="D203" s="33" t="s">
        <v>32</v>
      </c>
      <c r="E203" s="34">
        <v>1</v>
      </c>
      <c r="F203" s="34" t="s">
        <v>14</v>
      </c>
      <c r="G203" s="34">
        <v>0</v>
      </c>
      <c r="H203" s="34">
        <v>1</v>
      </c>
      <c r="I203" s="44"/>
      <c r="J203" s="102" t="s">
        <v>94</v>
      </c>
      <c r="K203" s="102" t="s">
        <v>126</v>
      </c>
      <c r="L203" s="103">
        <v>0</v>
      </c>
      <c r="M203" s="104" t="str">
        <f t="shared" si="306"/>
        <v>No</v>
      </c>
      <c r="N203" s="105">
        <v>0</v>
      </c>
      <c r="O203" s="106" t="str">
        <f t="shared" si="307"/>
        <v>No</v>
      </c>
      <c r="P203" s="107">
        <v>1</v>
      </c>
      <c r="Q203" s="108" t="str">
        <f t="shared" si="308"/>
        <v>Yes</v>
      </c>
      <c r="R203" s="103">
        <v>0</v>
      </c>
      <c r="S203" s="10" t="str">
        <f t="shared" si="309"/>
        <v>No</v>
      </c>
      <c r="T203" s="28" t="str">
        <f t="shared" si="335"/>
        <v>208 VAC</v>
      </c>
      <c r="U203" s="298"/>
      <c r="V203" s="140">
        <f t="shared" si="336"/>
        <v>3</v>
      </c>
      <c r="W203" s="274"/>
      <c r="X203" s="34">
        <v>0</v>
      </c>
      <c r="Y203" s="34">
        <v>1</v>
      </c>
      <c r="Z203" s="82">
        <v>0</v>
      </c>
      <c r="AA203" s="30" t="s">
        <v>508</v>
      </c>
      <c r="AB203" s="34"/>
      <c r="AC203" s="34" t="s">
        <v>95</v>
      </c>
      <c r="AD203" s="34" t="s">
        <v>133</v>
      </c>
      <c r="AE203" s="34" t="s">
        <v>108</v>
      </c>
      <c r="AF203" s="34" t="s">
        <v>134</v>
      </c>
      <c r="AG203" s="34">
        <v>985323267</v>
      </c>
      <c r="AH203" s="140" t="str">
        <f t="shared" si="337"/>
        <v>GVV-Concord-OP</v>
      </c>
      <c r="AI203" s="274"/>
      <c r="AJ203" s="140" t="str">
        <f t="shared" si="338"/>
        <v>OP</v>
      </c>
      <c r="AK203" s="274"/>
      <c r="AL203" s="140" t="str">
        <f t="shared" si="339"/>
        <v>Operational</v>
      </c>
      <c r="AM203" s="278"/>
      <c r="AN203" s="140" t="str">
        <f t="shared" si="340"/>
        <v>Toronto</v>
      </c>
      <c r="AO203" s="83" t="s">
        <v>7</v>
      </c>
      <c r="AP203" s="274"/>
      <c r="AQ203" s="140" t="str">
        <f t="shared" si="341"/>
        <v>MGA</v>
      </c>
      <c r="AR203" s="307"/>
    </row>
    <row r="204" spans="1:44" s="1" customFormat="1" ht="15" thickTop="1" x14ac:dyDescent="0.3">
      <c r="A204" s="282">
        <f t="shared" si="305"/>
        <v>0</v>
      </c>
      <c r="B204" s="26" t="str">
        <f>C204</f>
        <v>ETS 09</v>
      </c>
      <c r="C204" s="271" t="s">
        <v>52</v>
      </c>
      <c r="D204" s="29" t="s">
        <v>22</v>
      </c>
      <c r="E204" s="30">
        <v>1</v>
      </c>
      <c r="F204" s="30" t="s">
        <v>14</v>
      </c>
      <c r="G204" s="30">
        <v>0</v>
      </c>
      <c r="H204" s="30">
        <v>1</v>
      </c>
      <c r="I204" s="42"/>
      <c r="J204" s="88" t="s">
        <v>99</v>
      </c>
      <c r="K204" s="126" t="s">
        <v>121</v>
      </c>
      <c r="L204" s="89">
        <v>0</v>
      </c>
      <c r="M204" s="90" t="str">
        <f t="shared" si="306"/>
        <v>No</v>
      </c>
      <c r="N204" s="91">
        <v>0</v>
      </c>
      <c r="O204" s="92" t="str">
        <f t="shared" si="307"/>
        <v>No</v>
      </c>
      <c r="P204" s="93">
        <v>6</v>
      </c>
      <c r="Q204" s="94" t="str">
        <f t="shared" si="308"/>
        <v>Yes</v>
      </c>
      <c r="R204" s="89">
        <v>0</v>
      </c>
      <c r="S204" s="9" t="str">
        <f t="shared" si="309"/>
        <v>No</v>
      </c>
      <c r="T204" s="26" t="str">
        <f>U204</f>
        <v>115 VDC</v>
      </c>
      <c r="U204" s="296" t="s">
        <v>136</v>
      </c>
      <c r="V204" s="135">
        <f>W204</f>
        <v>1</v>
      </c>
      <c r="W204" s="272">
        <v>1</v>
      </c>
      <c r="X204" s="30">
        <v>0</v>
      </c>
      <c r="Y204" s="30">
        <v>1</v>
      </c>
      <c r="Z204" s="30">
        <v>0</v>
      </c>
      <c r="AA204" s="30"/>
      <c r="AB204" s="30"/>
      <c r="AC204" s="174" t="s">
        <v>95</v>
      </c>
      <c r="AD204" s="175" t="s">
        <v>137</v>
      </c>
      <c r="AE204" s="174" t="s">
        <v>108</v>
      </c>
      <c r="AF204" s="175" t="s">
        <v>138</v>
      </c>
      <c r="AG204" s="30">
        <v>809242987</v>
      </c>
      <c r="AH204" s="135" t="str">
        <f>AI204</f>
        <v>GVV-Concord-OP</v>
      </c>
      <c r="AI204" s="272" t="s">
        <v>42</v>
      </c>
      <c r="AJ204" s="135" t="str">
        <f>AK204</f>
        <v>OP</v>
      </c>
      <c r="AK204" s="272" t="s">
        <v>43</v>
      </c>
      <c r="AL204" s="135" t="str">
        <f>AM204</f>
        <v>Under Maintenance</v>
      </c>
      <c r="AM204" s="276" t="s">
        <v>116</v>
      </c>
      <c r="AN204" s="135" t="str">
        <f>AO204</f>
        <v>Toronto</v>
      </c>
      <c r="AO204" s="136" t="s">
        <v>7</v>
      </c>
      <c r="AP204" s="272" t="s">
        <v>8</v>
      </c>
      <c r="AQ204" s="135" t="str">
        <f>AR204</f>
        <v>Storage</v>
      </c>
      <c r="AR204" s="305" t="s">
        <v>92</v>
      </c>
    </row>
    <row r="205" spans="1:44" s="2" customFormat="1" x14ac:dyDescent="0.3">
      <c r="A205" s="283"/>
      <c r="B205" s="28" t="str">
        <f>B204</f>
        <v>ETS 09</v>
      </c>
      <c r="C205" s="271" t="s">
        <v>52</v>
      </c>
      <c r="D205" s="38" t="s">
        <v>23</v>
      </c>
      <c r="E205" s="39">
        <v>1</v>
      </c>
      <c r="F205" s="39" t="s">
        <v>14</v>
      </c>
      <c r="G205" s="39">
        <v>0</v>
      </c>
      <c r="H205" s="39">
        <v>0</v>
      </c>
      <c r="I205" s="43"/>
      <c r="J205" s="95" t="s">
        <v>99</v>
      </c>
      <c r="K205" s="95" t="s">
        <v>121</v>
      </c>
      <c r="L205" s="96">
        <v>0</v>
      </c>
      <c r="M205" s="97" t="str">
        <f t="shared" si="306"/>
        <v>No</v>
      </c>
      <c r="N205" s="98">
        <v>0</v>
      </c>
      <c r="O205" s="99" t="str">
        <f t="shared" si="307"/>
        <v>No</v>
      </c>
      <c r="P205" s="100">
        <v>0</v>
      </c>
      <c r="Q205" s="101" t="str">
        <f t="shared" si="308"/>
        <v>No</v>
      </c>
      <c r="R205" s="96">
        <v>0</v>
      </c>
      <c r="S205" s="11" t="str">
        <f t="shared" si="309"/>
        <v>No</v>
      </c>
      <c r="T205" s="28" t="str">
        <f>T204</f>
        <v>115 VDC</v>
      </c>
      <c r="U205" s="297"/>
      <c r="V205" s="140">
        <f>V204</f>
        <v>1</v>
      </c>
      <c r="W205" s="273"/>
      <c r="X205" s="39">
        <v>0</v>
      </c>
      <c r="Y205" s="39">
        <v>1</v>
      </c>
      <c r="Z205" s="39">
        <v>0</v>
      </c>
      <c r="AA205" s="39"/>
      <c r="AB205" s="39"/>
      <c r="AC205" s="39" t="s">
        <v>95</v>
      </c>
      <c r="AD205" s="39" t="s">
        <v>137</v>
      </c>
      <c r="AE205" s="39" t="s">
        <v>108</v>
      </c>
      <c r="AF205" s="39" t="s">
        <v>138</v>
      </c>
      <c r="AG205" s="39">
        <v>809242987</v>
      </c>
      <c r="AH205" s="140" t="str">
        <f>AH204</f>
        <v>GVV-Concord-OP</v>
      </c>
      <c r="AI205" s="273"/>
      <c r="AJ205" s="140" t="str">
        <f>AJ204</f>
        <v>OP</v>
      </c>
      <c r="AK205" s="273"/>
      <c r="AL205" s="140" t="str">
        <f>AL204</f>
        <v>Under Maintenance</v>
      </c>
      <c r="AM205" s="277"/>
      <c r="AN205" s="140" t="str">
        <f>AN204</f>
        <v>Toronto</v>
      </c>
      <c r="AO205" s="82" t="s">
        <v>7</v>
      </c>
      <c r="AP205" s="273"/>
      <c r="AQ205" s="140" t="str">
        <f>AQ204</f>
        <v>Storage</v>
      </c>
      <c r="AR205" s="306"/>
    </row>
    <row r="206" spans="1:44" s="2" customFormat="1" x14ac:dyDescent="0.3">
      <c r="A206" s="283"/>
      <c r="B206" s="28" t="str">
        <f t="shared" ref="B206:B209" si="342">B205</f>
        <v>ETS 09</v>
      </c>
      <c r="C206" s="271" t="s">
        <v>52</v>
      </c>
      <c r="D206" s="38" t="s">
        <v>24</v>
      </c>
      <c r="E206" s="39">
        <v>1</v>
      </c>
      <c r="F206" s="39" t="s">
        <v>14</v>
      </c>
      <c r="G206" s="39">
        <v>0</v>
      </c>
      <c r="H206" s="39">
        <v>0</v>
      </c>
      <c r="I206" s="43"/>
      <c r="J206" s="95" t="s">
        <v>99</v>
      </c>
      <c r="K206" s="95" t="s">
        <v>121</v>
      </c>
      <c r="L206" s="96">
        <v>0</v>
      </c>
      <c r="M206" s="97" t="str">
        <f t="shared" si="306"/>
        <v>No</v>
      </c>
      <c r="N206" s="98">
        <v>0</v>
      </c>
      <c r="O206" s="99" t="str">
        <f t="shared" si="307"/>
        <v>No</v>
      </c>
      <c r="P206" s="100">
        <v>0</v>
      </c>
      <c r="Q206" s="101" t="str">
        <f t="shared" si="308"/>
        <v>No</v>
      </c>
      <c r="R206" s="96">
        <v>0</v>
      </c>
      <c r="S206" s="11" t="str">
        <f t="shared" si="309"/>
        <v>No</v>
      </c>
      <c r="T206" s="28" t="str">
        <f t="shared" ref="T206:T209" si="343">T205</f>
        <v>115 VDC</v>
      </c>
      <c r="U206" s="297"/>
      <c r="V206" s="140">
        <f t="shared" ref="V206:V209" si="344">V205</f>
        <v>1</v>
      </c>
      <c r="W206" s="273"/>
      <c r="X206" s="39">
        <v>0</v>
      </c>
      <c r="Y206" s="39">
        <v>1</v>
      </c>
      <c r="Z206" s="39">
        <v>0</v>
      </c>
      <c r="AA206" s="39"/>
      <c r="AB206" s="39"/>
      <c r="AC206" s="39" t="s">
        <v>95</v>
      </c>
      <c r="AD206" s="39" t="s">
        <v>137</v>
      </c>
      <c r="AE206" s="39" t="s">
        <v>108</v>
      </c>
      <c r="AF206" s="39" t="s">
        <v>138</v>
      </c>
      <c r="AG206" s="39">
        <v>809242987</v>
      </c>
      <c r="AH206" s="140" t="str">
        <f t="shared" ref="AH206:AH209" si="345">AH205</f>
        <v>GVV-Concord-OP</v>
      </c>
      <c r="AI206" s="273"/>
      <c r="AJ206" s="140" t="str">
        <f t="shared" ref="AJ206:AJ209" si="346">AJ205</f>
        <v>OP</v>
      </c>
      <c r="AK206" s="273"/>
      <c r="AL206" s="140" t="str">
        <f t="shared" ref="AL206:AL209" si="347">AL205</f>
        <v>Under Maintenance</v>
      </c>
      <c r="AM206" s="277"/>
      <c r="AN206" s="140" t="str">
        <f t="shared" ref="AN206:AN209" si="348">AN205</f>
        <v>Toronto</v>
      </c>
      <c r="AO206" s="82" t="s">
        <v>7</v>
      </c>
      <c r="AP206" s="273"/>
      <c r="AQ206" s="140" t="str">
        <f t="shared" ref="AQ206:AQ209" si="349">AQ205</f>
        <v>Storage</v>
      </c>
      <c r="AR206" s="306"/>
    </row>
    <row r="207" spans="1:44" s="2" customFormat="1" x14ac:dyDescent="0.3">
      <c r="A207" s="283"/>
      <c r="B207" s="28" t="str">
        <f t="shared" si="342"/>
        <v>ETS 09</v>
      </c>
      <c r="C207" s="271" t="s">
        <v>52</v>
      </c>
      <c r="D207" s="38" t="s">
        <v>25</v>
      </c>
      <c r="E207" s="39">
        <v>1</v>
      </c>
      <c r="F207" s="39" t="s">
        <v>14</v>
      </c>
      <c r="G207" s="39">
        <v>0</v>
      </c>
      <c r="H207" s="39">
        <v>0</v>
      </c>
      <c r="I207" s="43"/>
      <c r="J207" s="95" t="s">
        <v>99</v>
      </c>
      <c r="K207" s="95" t="s">
        <v>121</v>
      </c>
      <c r="L207" s="96">
        <v>0</v>
      </c>
      <c r="M207" s="97" t="str">
        <f t="shared" si="306"/>
        <v>No</v>
      </c>
      <c r="N207" s="98">
        <v>0</v>
      </c>
      <c r="O207" s="99" t="str">
        <f t="shared" si="307"/>
        <v>No</v>
      </c>
      <c r="P207" s="100">
        <v>0</v>
      </c>
      <c r="Q207" s="101" t="str">
        <f t="shared" si="308"/>
        <v>No</v>
      </c>
      <c r="R207" s="96">
        <v>0</v>
      </c>
      <c r="S207" s="11" t="str">
        <f t="shared" si="309"/>
        <v>No</v>
      </c>
      <c r="T207" s="28" t="str">
        <f t="shared" si="343"/>
        <v>115 VDC</v>
      </c>
      <c r="U207" s="297"/>
      <c r="V207" s="140">
        <f t="shared" si="344"/>
        <v>1</v>
      </c>
      <c r="W207" s="273"/>
      <c r="X207" s="39">
        <v>0</v>
      </c>
      <c r="Y207" s="39">
        <v>1</v>
      </c>
      <c r="Z207" s="39">
        <v>0</v>
      </c>
      <c r="AA207" s="39"/>
      <c r="AB207" s="39"/>
      <c r="AC207" s="39" t="s">
        <v>95</v>
      </c>
      <c r="AD207" s="39" t="s">
        <v>137</v>
      </c>
      <c r="AE207" s="39" t="s">
        <v>108</v>
      </c>
      <c r="AF207" s="39" t="s">
        <v>138</v>
      </c>
      <c r="AG207" s="39">
        <v>809242987</v>
      </c>
      <c r="AH207" s="140" t="str">
        <f t="shared" si="345"/>
        <v>GVV-Concord-OP</v>
      </c>
      <c r="AI207" s="273"/>
      <c r="AJ207" s="140" t="str">
        <f t="shared" si="346"/>
        <v>OP</v>
      </c>
      <c r="AK207" s="273"/>
      <c r="AL207" s="140" t="str">
        <f t="shared" si="347"/>
        <v>Under Maintenance</v>
      </c>
      <c r="AM207" s="277"/>
      <c r="AN207" s="140" t="str">
        <f t="shared" si="348"/>
        <v>Toronto</v>
      </c>
      <c r="AO207" s="82" t="s">
        <v>7</v>
      </c>
      <c r="AP207" s="273"/>
      <c r="AQ207" s="140" t="str">
        <f t="shared" si="349"/>
        <v>Storage</v>
      </c>
      <c r="AR207" s="306"/>
    </row>
    <row r="208" spans="1:44" s="2" customFormat="1" x14ac:dyDescent="0.3">
      <c r="A208" s="283"/>
      <c r="B208" s="28" t="str">
        <f t="shared" si="342"/>
        <v>ETS 09</v>
      </c>
      <c r="C208" s="271" t="s">
        <v>52</v>
      </c>
      <c r="D208" s="38" t="s">
        <v>31</v>
      </c>
      <c r="E208" s="39">
        <v>1</v>
      </c>
      <c r="F208" s="39" t="s">
        <v>14</v>
      </c>
      <c r="G208" s="39">
        <v>0</v>
      </c>
      <c r="H208" s="39">
        <v>0</v>
      </c>
      <c r="I208" s="43"/>
      <c r="J208" s="95" t="s">
        <v>99</v>
      </c>
      <c r="K208" s="95" t="s">
        <v>121</v>
      </c>
      <c r="L208" s="96">
        <v>0</v>
      </c>
      <c r="M208" s="97" t="str">
        <f t="shared" si="306"/>
        <v>No</v>
      </c>
      <c r="N208" s="98">
        <v>0</v>
      </c>
      <c r="O208" s="99" t="str">
        <f t="shared" si="307"/>
        <v>No</v>
      </c>
      <c r="P208" s="100">
        <v>0</v>
      </c>
      <c r="Q208" s="101" t="str">
        <f t="shared" si="308"/>
        <v>No</v>
      </c>
      <c r="R208" s="96">
        <v>0</v>
      </c>
      <c r="S208" s="11" t="str">
        <f t="shared" si="309"/>
        <v>No</v>
      </c>
      <c r="T208" s="28" t="str">
        <f t="shared" si="343"/>
        <v>115 VDC</v>
      </c>
      <c r="U208" s="297"/>
      <c r="V208" s="140">
        <f t="shared" si="344"/>
        <v>1</v>
      </c>
      <c r="W208" s="273"/>
      <c r="X208" s="39">
        <v>0</v>
      </c>
      <c r="Y208" s="39">
        <v>1</v>
      </c>
      <c r="Z208" s="39">
        <v>0</v>
      </c>
      <c r="AA208" s="39"/>
      <c r="AB208" s="39"/>
      <c r="AC208" s="39" t="s">
        <v>95</v>
      </c>
      <c r="AD208" s="39" t="s">
        <v>137</v>
      </c>
      <c r="AE208" s="39" t="s">
        <v>108</v>
      </c>
      <c r="AF208" s="39" t="s">
        <v>138</v>
      </c>
      <c r="AG208" s="39">
        <v>809242987</v>
      </c>
      <c r="AH208" s="140" t="str">
        <f t="shared" si="345"/>
        <v>GVV-Concord-OP</v>
      </c>
      <c r="AI208" s="273"/>
      <c r="AJ208" s="140" t="str">
        <f t="shared" si="346"/>
        <v>OP</v>
      </c>
      <c r="AK208" s="273"/>
      <c r="AL208" s="140" t="str">
        <f t="shared" si="347"/>
        <v>Under Maintenance</v>
      </c>
      <c r="AM208" s="277"/>
      <c r="AN208" s="140" t="str">
        <f t="shared" si="348"/>
        <v>Toronto</v>
      </c>
      <c r="AO208" s="82" t="s">
        <v>7</v>
      </c>
      <c r="AP208" s="273"/>
      <c r="AQ208" s="140" t="str">
        <f t="shared" si="349"/>
        <v>Storage</v>
      </c>
      <c r="AR208" s="306"/>
    </row>
    <row r="209" spans="1:44" s="3" customFormat="1" ht="15" thickBot="1" x14ac:dyDescent="0.35">
      <c r="A209" s="284"/>
      <c r="B209" s="28" t="str">
        <f t="shared" si="342"/>
        <v>ETS 09</v>
      </c>
      <c r="C209" s="271" t="s">
        <v>52</v>
      </c>
      <c r="D209" s="33" t="s">
        <v>32</v>
      </c>
      <c r="E209" s="34">
        <v>1</v>
      </c>
      <c r="F209" s="34" t="s">
        <v>14</v>
      </c>
      <c r="G209" s="34">
        <v>0</v>
      </c>
      <c r="H209" s="34">
        <v>0</v>
      </c>
      <c r="I209" s="44"/>
      <c r="J209" s="102" t="s">
        <v>99</v>
      </c>
      <c r="K209" s="102" t="s">
        <v>121</v>
      </c>
      <c r="L209" s="103">
        <v>0</v>
      </c>
      <c r="M209" s="104" t="str">
        <f t="shared" si="306"/>
        <v>No</v>
      </c>
      <c r="N209" s="105">
        <v>0</v>
      </c>
      <c r="O209" s="106" t="str">
        <f t="shared" si="307"/>
        <v>No</v>
      </c>
      <c r="P209" s="107">
        <v>0</v>
      </c>
      <c r="Q209" s="108" t="str">
        <f t="shared" si="308"/>
        <v>No</v>
      </c>
      <c r="R209" s="103">
        <v>0</v>
      </c>
      <c r="S209" s="10" t="str">
        <f t="shared" si="309"/>
        <v>No</v>
      </c>
      <c r="T209" s="28" t="str">
        <f t="shared" si="343"/>
        <v>115 VDC</v>
      </c>
      <c r="U209" s="298"/>
      <c r="V209" s="140">
        <f t="shared" si="344"/>
        <v>1</v>
      </c>
      <c r="W209" s="274"/>
      <c r="X209" s="34">
        <v>0</v>
      </c>
      <c r="Y209" s="34">
        <v>1</v>
      </c>
      <c r="Z209" s="34">
        <v>0</v>
      </c>
      <c r="AA209" s="34"/>
      <c r="AB209" s="34"/>
      <c r="AC209" s="34" t="s">
        <v>95</v>
      </c>
      <c r="AD209" s="34" t="s">
        <v>137</v>
      </c>
      <c r="AE209" s="34" t="s">
        <v>108</v>
      </c>
      <c r="AF209" s="34" t="s">
        <v>138</v>
      </c>
      <c r="AG209" s="34">
        <v>809242987</v>
      </c>
      <c r="AH209" s="140" t="str">
        <f t="shared" si="345"/>
        <v>GVV-Concord-OP</v>
      </c>
      <c r="AI209" s="274"/>
      <c r="AJ209" s="140" t="str">
        <f t="shared" si="346"/>
        <v>OP</v>
      </c>
      <c r="AK209" s="274"/>
      <c r="AL209" s="140" t="str">
        <f t="shared" si="347"/>
        <v>Under Maintenance</v>
      </c>
      <c r="AM209" s="278"/>
      <c r="AN209" s="140" t="str">
        <f t="shared" si="348"/>
        <v>Toronto</v>
      </c>
      <c r="AO209" s="83" t="s">
        <v>7</v>
      </c>
      <c r="AP209" s="274"/>
      <c r="AQ209" s="140" t="str">
        <f t="shared" si="349"/>
        <v>Storage</v>
      </c>
      <c r="AR209" s="307"/>
    </row>
    <row r="210" spans="1:44" s="1" customFormat="1" ht="15" thickTop="1" x14ac:dyDescent="0.3">
      <c r="A210" s="282">
        <f t="shared" si="305"/>
        <v>0</v>
      </c>
      <c r="B210" s="26" t="str">
        <f>C210</f>
        <v>ETS 10</v>
      </c>
      <c r="C210" s="271" t="s">
        <v>53</v>
      </c>
      <c r="D210" s="29" t="s">
        <v>22</v>
      </c>
      <c r="E210" s="30">
        <v>1</v>
      </c>
      <c r="F210" s="30" t="s">
        <v>14</v>
      </c>
      <c r="G210" s="30">
        <v>0</v>
      </c>
      <c r="H210" s="30">
        <v>1</v>
      </c>
      <c r="I210" s="42"/>
      <c r="J210" s="88" t="s">
        <v>99</v>
      </c>
      <c r="K210" s="88" t="s">
        <v>121</v>
      </c>
      <c r="L210" s="89">
        <v>0</v>
      </c>
      <c r="M210" s="90" t="str">
        <f t="shared" si="306"/>
        <v>No</v>
      </c>
      <c r="N210" s="91">
        <v>0</v>
      </c>
      <c r="O210" s="92" t="str">
        <f t="shared" si="307"/>
        <v>No</v>
      </c>
      <c r="P210" s="93">
        <v>6</v>
      </c>
      <c r="Q210" s="94" t="str">
        <f t="shared" si="308"/>
        <v>Yes</v>
      </c>
      <c r="R210" s="89">
        <v>0</v>
      </c>
      <c r="S210" s="9" t="str">
        <f t="shared" si="309"/>
        <v>No</v>
      </c>
      <c r="T210" s="26" t="str">
        <f>U210</f>
        <v>115 VDC</v>
      </c>
      <c r="U210" s="296" t="s">
        <v>136</v>
      </c>
      <c r="V210" s="135">
        <f>W210</f>
        <v>1</v>
      </c>
      <c r="W210" s="272">
        <v>1</v>
      </c>
      <c r="X210" s="30">
        <v>0</v>
      </c>
      <c r="Y210" s="30">
        <v>1</v>
      </c>
      <c r="Z210" s="30">
        <v>0</v>
      </c>
      <c r="AA210" s="30"/>
      <c r="AB210" s="30"/>
      <c r="AC210" s="30"/>
      <c r="AD210" s="30"/>
      <c r="AE210" s="30"/>
      <c r="AF210" s="30"/>
      <c r="AG210" s="30"/>
      <c r="AH210" s="135" t="str">
        <f>AI210</f>
        <v>APT</v>
      </c>
      <c r="AI210" s="272" t="s">
        <v>117</v>
      </c>
      <c r="AJ210" s="135" t="str">
        <f>AK210</f>
        <v>NA</v>
      </c>
      <c r="AK210" s="272" t="s">
        <v>400</v>
      </c>
      <c r="AL210" s="135" t="str">
        <f>AM210</f>
        <v>Sold</v>
      </c>
      <c r="AM210" s="276" t="s">
        <v>90</v>
      </c>
      <c r="AN210" s="135" t="str">
        <f>AO210</f>
        <v>Toronto</v>
      </c>
      <c r="AO210" s="136" t="s">
        <v>7</v>
      </c>
      <c r="AP210" s="272" t="s">
        <v>8</v>
      </c>
      <c r="AQ210" s="135" t="str">
        <f>AR210</f>
        <v>Unknown</v>
      </c>
      <c r="AR210" s="305" t="s">
        <v>91</v>
      </c>
    </row>
    <row r="211" spans="1:44" s="2" customFormat="1" x14ac:dyDescent="0.3">
      <c r="A211" s="283"/>
      <c r="B211" s="28" t="str">
        <f>B210</f>
        <v>ETS 10</v>
      </c>
      <c r="C211" s="271" t="s">
        <v>53</v>
      </c>
      <c r="D211" s="38" t="s">
        <v>23</v>
      </c>
      <c r="E211" s="39">
        <v>1</v>
      </c>
      <c r="F211" s="39" t="s">
        <v>14</v>
      </c>
      <c r="G211" s="39">
        <v>0</v>
      </c>
      <c r="H211" s="39">
        <v>0</v>
      </c>
      <c r="I211" s="43"/>
      <c r="J211" s="95" t="s">
        <v>99</v>
      </c>
      <c r="K211" s="95" t="s">
        <v>121</v>
      </c>
      <c r="L211" s="96">
        <v>0</v>
      </c>
      <c r="M211" s="97" t="str">
        <f t="shared" si="306"/>
        <v>No</v>
      </c>
      <c r="N211" s="98">
        <v>0</v>
      </c>
      <c r="O211" s="99" t="str">
        <f t="shared" si="307"/>
        <v>No</v>
      </c>
      <c r="P211" s="100">
        <v>0</v>
      </c>
      <c r="Q211" s="101" t="str">
        <f t="shared" si="308"/>
        <v>No</v>
      </c>
      <c r="R211" s="96">
        <v>0</v>
      </c>
      <c r="S211" s="11" t="str">
        <f t="shared" si="309"/>
        <v>No</v>
      </c>
      <c r="T211" s="28" t="str">
        <f>T210</f>
        <v>115 VDC</v>
      </c>
      <c r="U211" s="297"/>
      <c r="V211" s="140">
        <f>V210</f>
        <v>1</v>
      </c>
      <c r="W211" s="273"/>
      <c r="X211" s="39">
        <v>0</v>
      </c>
      <c r="Y211" s="39">
        <v>1</v>
      </c>
      <c r="Z211" s="39">
        <v>0</v>
      </c>
      <c r="AA211" s="39"/>
      <c r="AB211" s="39"/>
      <c r="AC211" s="39"/>
      <c r="AD211" s="39"/>
      <c r="AE211" s="39"/>
      <c r="AF211" s="39"/>
      <c r="AG211" s="39"/>
      <c r="AH211" s="140" t="str">
        <f>AH210</f>
        <v>APT</v>
      </c>
      <c r="AI211" s="273"/>
      <c r="AJ211" s="140" t="str">
        <f>AJ210</f>
        <v>NA</v>
      </c>
      <c r="AK211" s="273"/>
      <c r="AL211" s="140" t="str">
        <f>AL210</f>
        <v>Sold</v>
      </c>
      <c r="AM211" s="277"/>
      <c r="AN211" s="140" t="str">
        <f>AN210</f>
        <v>Toronto</v>
      </c>
      <c r="AO211" s="82" t="s">
        <v>7</v>
      </c>
      <c r="AP211" s="273"/>
      <c r="AQ211" s="140" t="str">
        <f>AQ210</f>
        <v>Unknown</v>
      </c>
      <c r="AR211" s="306"/>
    </row>
    <row r="212" spans="1:44" s="2" customFormat="1" x14ac:dyDescent="0.3">
      <c r="A212" s="283"/>
      <c r="B212" s="28" t="str">
        <f t="shared" ref="B212:B215" si="350">B211</f>
        <v>ETS 10</v>
      </c>
      <c r="C212" s="271" t="s">
        <v>53</v>
      </c>
      <c r="D212" s="38" t="s">
        <v>24</v>
      </c>
      <c r="E212" s="39">
        <v>1</v>
      </c>
      <c r="F212" s="39" t="s">
        <v>14</v>
      </c>
      <c r="G212" s="39">
        <v>0</v>
      </c>
      <c r="H212" s="39">
        <v>0</v>
      </c>
      <c r="I212" s="43"/>
      <c r="J212" s="95" t="s">
        <v>99</v>
      </c>
      <c r="K212" s="95" t="s">
        <v>121</v>
      </c>
      <c r="L212" s="96">
        <v>0</v>
      </c>
      <c r="M212" s="97" t="str">
        <f t="shared" si="306"/>
        <v>No</v>
      </c>
      <c r="N212" s="98">
        <v>0</v>
      </c>
      <c r="O212" s="99" t="str">
        <f t="shared" si="307"/>
        <v>No</v>
      </c>
      <c r="P212" s="100">
        <v>0</v>
      </c>
      <c r="Q212" s="101" t="str">
        <f t="shared" si="308"/>
        <v>No</v>
      </c>
      <c r="R212" s="96">
        <v>0</v>
      </c>
      <c r="S212" s="11" t="str">
        <f t="shared" si="309"/>
        <v>No</v>
      </c>
      <c r="T212" s="28" t="str">
        <f t="shared" ref="T212:T215" si="351">T211</f>
        <v>115 VDC</v>
      </c>
      <c r="U212" s="297"/>
      <c r="V212" s="140">
        <f t="shared" ref="V212:V215" si="352">V211</f>
        <v>1</v>
      </c>
      <c r="W212" s="273"/>
      <c r="X212" s="39">
        <v>0</v>
      </c>
      <c r="Y212" s="39">
        <v>1</v>
      </c>
      <c r="Z212" s="39">
        <v>0</v>
      </c>
      <c r="AA212" s="39"/>
      <c r="AB212" s="39"/>
      <c r="AC212" s="39"/>
      <c r="AD212" s="39"/>
      <c r="AE212" s="39"/>
      <c r="AF212" s="39"/>
      <c r="AG212" s="39"/>
      <c r="AH212" s="140" t="str">
        <f t="shared" ref="AH212:AH215" si="353">AH211</f>
        <v>APT</v>
      </c>
      <c r="AI212" s="273"/>
      <c r="AJ212" s="140" t="str">
        <f t="shared" ref="AJ212:AJ215" si="354">AJ211</f>
        <v>NA</v>
      </c>
      <c r="AK212" s="273"/>
      <c r="AL212" s="140" t="str">
        <f t="shared" ref="AL212:AL215" si="355">AL211</f>
        <v>Sold</v>
      </c>
      <c r="AM212" s="277"/>
      <c r="AN212" s="140" t="str">
        <f t="shared" ref="AN212:AN215" si="356">AN211</f>
        <v>Toronto</v>
      </c>
      <c r="AO212" s="82" t="s">
        <v>7</v>
      </c>
      <c r="AP212" s="273"/>
      <c r="AQ212" s="140" t="str">
        <f t="shared" ref="AQ212:AQ215" si="357">AQ211</f>
        <v>Unknown</v>
      </c>
      <c r="AR212" s="306"/>
    </row>
    <row r="213" spans="1:44" s="2" customFormat="1" x14ac:dyDescent="0.3">
      <c r="A213" s="283"/>
      <c r="B213" s="28" t="str">
        <f t="shared" si="350"/>
        <v>ETS 10</v>
      </c>
      <c r="C213" s="271" t="s">
        <v>53</v>
      </c>
      <c r="D213" s="38" t="s">
        <v>25</v>
      </c>
      <c r="E213" s="39">
        <v>1</v>
      </c>
      <c r="F213" s="39" t="s">
        <v>14</v>
      </c>
      <c r="G213" s="39">
        <v>0</v>
      </c>
      <c r="H213" s="39">
        <v>0</v>
      </c>
      <c r="I213" s="43"/>
      <c r="J213" s="95" t="s">
        <v>99</v>
      </c>
      <c r="K213" s="95" t="s">
        <v>121</v>
      </c>
      <c r="L213" s="96">
        <v>0</v>
      </c>
      <c r="M213" s="97" t="str">
        <f t="shared" si="306"/>
        <v>No</v>
      </c>
      <c r="N213" s="98">
        <v>0</v>
      </c>
      <c r="O213" s="99" t="str">
        <f t="shared" si="307"/>
        <v>No</v>
      </c>
      <c r="P213" s="100">
        <v>0</v>
      </c>
      <c r="Q213" s="101" t="str">
        <f t="shared" si="308"/>
        <v>No</v>
      </c>
      <c r="R213" s="96">
        <v>0</v>
      </c>
      <c r="S213" s="11" t="str">
        <f t="shared" si="309"/>
        <v>No</v>
      </c>
      <c r="T213" s="28" t="str">
        <f t="shared" si="351"/>
        <v>115 VDC</v>
      </c>
      <c r="U213" s="297"/>
      <c r="V213" s="140">
        <f t="shared" si="352"/>
        <v>1</v>
      </c>
      <c r="W213" s="273"/>
      <c r="X213" s="39">
        <v>0</v>
      </c>
      <c r="Y213" s="39">
        <v>1</v>
      </c>
      <c r="Z213" s="39">
        <v>0</v>
      </c>
      <c r="AA213" s="39"/>
      <c r="AB213" s="39"/>
      <c r="AC213" s="39"/>
      <c r="AD213" s="39"/>
      <c r="AE213" s="39"/>
      <c r="AF213" s="39"/>
      <c r="AG213" s="39"/>
      <c r="AH213" s="140" t="str">
        <f t="shared" si="353"/>
        <v>APT</v>
      </c>
      <c r="AI213" s="273"/>
      <c r="AJ213" s="140" t="str">
        <f t="shared" si="354"/>
        <v>NA</v>
      </c>
      <c r="AK213" s="273"/>
      <c r="AL213" s="140" t="str">
        <f t="shared" si="355"/>
        <v>Sold</v>
      </c>
      <c r="AM213" s="277"/>
      <c r="AN213" s="140" t="str">
        <f t="shared" si="356"/>
        <v>Toronto</v>
      </c>
      <c r="AO213" s="82" t="s">
        <v>7</v>
      </c>
      <c r="AP213" s="273"/>
      <c r="AQ213" s="140" t="str">
        <f t="shared" si="357"/>
        <v>Unknown</v>
      </c>
      <c r="AR213" s="306"/>
    </row>
    <row r="214" spans="1:44" s="2" customFormat="1" x14ac:dyDescent="0.3">
      <c r="A214" s="283"/>
      <c r="B214" s="28" t="str">
        <f t="shared" si="350"/>
        <v>ETS 10</v>
      </c>
      <c r="C214" s="271" t="s">
        <v>53</v>
      </c>
      <c r="D214" s="38" t="s">
        <v>31</v>
      </c>
      <c r="E214" s="39">
        <v>1</v>
      </c>
      <c r="F214" s="39" t="s">
        <v>14</v>
      </c>
      <c r="G214" s="39">
        <v>0</v>
      </c>
      <c r="H214" s="39">
        <v>0</v>
      </c>
      <c r="I214" s="43"/>
      <c r="J214" s="95" t="s">
        <v>99</v>
      </c>
      <c r="K214" s="95" t="s">
        <v>121</v>
      </c>
      <c r="L214" s="96">
        <v>0</v>
      </c>
      <c r="M214" s="97" t="str">
        <f t="shared" si="306"/>
        <v>No</v>
      </c>
      <c r="N214" s="98">
        <v>0</v>
      </c>
      <c r="O214" s="99" t="str">
        <f t="shared" si="307"/>
        <v>No</v>
      </c>
      <c r="P214" s="100">
        <v>0</v>
      </c>
      <c r="Q214" s="101" t="str">
        <f t="shared" si="308"/>
        <v>No</v>
      </c>
      <c r="R214" s="96">
        <v>0</v>
      </c>
      <c r="S214" s="11" t="str">
        <f t="shared" si="309"/>
        <v>No</v>
      </c>
      <c r="T214" s="28" t="str">
        <f t="shared" si="351"/>
        <v>115 VDC</v>
      </c>
      <c r="U214" s="297"/>
      <c r="V214" s="140">
        <f t="shared" si="352"/>
        <v>1</v>
      </c>
      <c r="W214" s="273"/>
      <c r="X214" s="39">
        <v>0</v>
      </c>
      <c r="Y214" s="39">
        <v>1</v>
      </c>
      <c r="Z214" s="39">
        <v>0</v>
      </c>
      <c r="AA214" s="39"/>
      <c r="AB214" s="39"/>
      <c r="AC214" s="39"/>
      <c r="AD214" s="39"/>
      <c r="AE214" s="39"/>
      <c r="AF214" s="39"/>
      <c r="AG214" s="39"/>
      <c r="AH214" s="140" t="str">
        <f t="shared" si="353"/>
        <v>APT</v>
      </c>
      <c r="AI214" s="273"/>
      <c r="AJ214" s="140" t="str">
        <f t="shared" si="354"/>
        <v>NA</v>
      </c>
      <c r="AK214" s="273"/>
      <c r="AL214" s="140" t="str">
        <f t="shared" si="355"/>
        <v>Sold</v>
      </c>
      <c r="AM214" s="277"/>
      <c r="AN214" s="140" t="str">
        <f t="shared" si="356"/>
        <v>Toronto</v>
      </c>
      <c r="AO214" s="82" t="s">
        <v>7</v>
      </c>
      <c r="AP214" s="273"/>
      <c r="AQ214" s="140" t="str">
        <f t="shared" si="357"/>
        <v>Unknown</v>
      </c>
      <c r="AR214" s="306"/>
    </row>
    <row r="215" spans="1:44" s="3" customFormat="1" ht="15" thickBot="1" x14ac:dyDescent="0.35">
      <c r="A215" s="284"/>
      <c r="B215" s="28" t="str">
        <f t="shared" si="350"/>
        <v>ETS 10</v>
      </c>
      <c r="C215" s="271" t="s">
        <v>53</v>
      </c>
      <c r="D215" s="33" t="s">
        <v>32</v>
      </c>
      <c r="E215" s="34">
        <v>1</v>
      </c>
      <c r="F215" s="34" t="s">
        <v>14</v>
      </c>
      <c r="G215" s="34">
        <v>0</v>
      </c>
      <c r="H215" s="34">
        <v>0</v>
      </c>
      <c r="I215" s="44"/>
      <c r="J215" s="102" t="s">
        <v>99</v>
      </c>
      <c r="K215" s="102" t="s">
        <v>121</v>
      </c>
      <c r="L215" s="103">
        <v>0</v>
      </c>
      <c r="M215" s="104" t="str">
        <f t="shared" si="306"/>
        <v>No</v>
      </c>
      <c r="N215" s="105">
        <v>0</v>
      </c>
      <c r="O215" s="106" t="str">
        <f t="shared" si="307"/>
        <v>No</v>
      </c>
      <c r="P215" s="107">
        <v>0</v>
      </c>
      <c r="Q215" s="108" t="str">
        <f t="shared" si="308"/>
        <v>No</v>
      </c>
      <c r="R215" s="103">
        <v>0</v>
      </c>
      <c r="S215" s="10" t="str">
        <f t="shared" si="309"/>
        <v>No</v>
      </c>
      <c r="T215" s="28" t="str">
        <f t="shared" si="351"/>
        <v>115 VDC</v>
      </c>
      <c r="U215" s="298"/>
      <c r="V215" s="140">
        <f t="shared" si="352"/>
        <v>1</v>
      </c>
      <c r="W215" s="274"/>
      <c r="X215" s="34">
        <v>0</v>
      </c>
      <c r="Y215" s="34">
        <v>1</v>
      </c>
      <c r="Z215" s="34">
        <v>0</v>
      </c>
      <c r="AA215" s="34"/>
      <c r="AB215" s="34"/>
      <c r="AC215" s="34"/>
      <c r="AD215" s="34"/>
      <c r="AE215" s="34"/>
      <c r="AF215" s="34"/>
      <c r="AG215" s="34"/>
      <c r="AH215" s="140" t="str">
        <f t="shared" si="353"/>
        <v>APT</v>
      </c>
      <c r="AI215" s="274"/>
      <c r="AJ215" s="140" t="str">
        <f t="shared" si="354"/>
        <v>NA</v>
      </c>
      <c r="AK215" s="274"/>
      <c r="AL215" s="140" t="str">
        <f t="shared" si="355"/>
        <v>Sold</v>
      </c>
      <c r="AM215" s="278"/>
      <c r="AN215" s="140" t="str">
        <f t="shared" si="356"/>
        <v>Toronto</v>
      </c>
      <c r="AO215" s="83" t="s">
        <v>7</v>
      </c>
      <c r="AP215" s="274"/>
      <c r="AQ215" s="140" t="str">
        <f t="shared" si="357"/>
        <v>Unknown</v>
      </c>
      <c r="AR215" s="307"/>
    </row>
    <row r="216" spans="1:44" s="1" customFormat="1" ht="15" thickTop="1" x14ac:dyDescent="0.3">
      <c r="A216" s="282">
        <f t="shared" si="305"/>
        <v>0</v>
      </c>
      <c r="B216" s="26" t="str">
        <f>C216</f>
        <v>ETS 11</v>
      </c>
      <c r="C216" s="271" t="s">
        <v>54</v>
      </c>
      <c r="D216" s="29" t="s">
        <v>22</v>
      </c>
      <c r="E216" s="30">
        <v>1</v>
      </c>
      <c r="F216" s="30" t="s">
        <v>14</v>
      </c>
      <c r="G216" s="30">
        <v>0</v>
      </c>
      <c r="H216" s="30">
        <v>1</v>
      </c>
      <c r="I216" s="42"/>
      <c r="J216" s="88" t="s">
        <v>139</v>
      </c>
      <c r="K216" s="88" t="s">
        <v>140</v>
      </c>
      <c r="L216" s="89">
        <v>0</v>
      </c>
      <c r="M216" s="90" t="str">
        <f t="shared" si="306"/>
        <v>No</v>
      </c>
      <c r="N216" s="91">
        <v>0</v>
      </c>
      <c r="O216" s="92" t="str">
        <f t="shared" si="307"/>
        <v>No</v>
      </c>
      <c r="P216" s="93">
        <v>3</v>
      </c>
      <c r="Q216" s="94" t="str">
        <f t="shared" si="308"/>
        <v>Yes</v>
      </c>
      <c r="R216" s="89">
        <v>0</v>
      </c>
      <c r="S216" s="9" t="str">
        <f t="shared" si="309"/>
        <v>No</v>
      </c>
      <c r="T216" s="26" t="str">
        <f>U216</f>
        <v>115 VDC</v>
      </c>
      <c r="U216" s="296" t="s">
        <v>136</v>
      </c>
      <c r="V216" s="135">
        <f>W216</f>
        <v>1</v>
      </c>
      <c r="W216" s="272">
        <v>1</v>
      </c>
      <c r="X216" s="30">
        <v>0</v>
      </c>
      <c r="Y216" s="30">
        <v>1</v>
      </c>
      <c r="Z216" s="30">
        <v>0</v>
      </c>
      <c r="AA216" s="30"/>
      <c r="AB216" s="30"/>
      <c r="AC216" s="30"/>
      <c r="AD216" s="30"/>
      <c r="AE216" s="30"/>
      <c r="AF216" s="30"/>
      <c r="AG216" s="30">
        <v>194291338</v>
      </c>
      <c r="AH216" s="135" t="str">
        <f>AI216</f>
        <v>APT</v>
      </c>
      <c r="AI216" s="272" t="s">
        <v>117</v>
      </c>
      <c r="AJ216" s="135" t="str">
        <f>AK216</f>
        <v>NA</v>
      </c>
      <c r="AK216" s="272" t="s">
        <v>400</v>
      </c>
      <c r="AL216" s="135" t="str">
        <f>AM216</f>
        <v>Sold</v>
      </c>
      <c r="AM216" s="276" t="s">
        <v>90</v>
      </c>
      <c r="AN216" s="135" t="str">
        <f>AO216</f>
        <v>Toronto</v>
      </c>
      <c r="AO216" s="136" t="s">
        <v>7</v>
      </c>
      <c r="AP216" s="272" t="s">
        <v>8</v>
      </c>
      <c r="AQ216" s="135" t="str">
        <f>AR216</f>
        <v>Unknown</v>
      </c>
      <c r="AR216" s="305" t="s">
        <v>91</v>
      </c>
    </row>
    <row r="217" spans="1:44" s="2" customFormat="1" x14ac:dyDescent="0.3">
      <c r="A217" s="283"/>
      <c r="B217" s="28" t="str">
        <f>B216</f>
        <v>ETS 11</v>
      </c>
      <c r="C217" s="271" t="s">
        <v>54</v>
      </c>
      <c r="D217" s="38" t="s">
        <v>23</v>
      </c>
      <c r="E217" s="39">
        <v>1</v>
      </c>
      <c r="F217" s="39" t="s">
        <v>14</v>
      </c>
      <c r="G217" s="39">
        <v>0</v>
      </c>
      <c r="H217" s="39">
        <v>0</v>
      </c>
      <c r="I217" s="43"/>
      <c r="J217" s="95" t="s">
        <v>139</v>
      </c>
      <c r="K217" s="95" t="s">
        <v>140</v>
      </c>
      <c r="L217" s="96">
        <v>0</v>
      </c>
      <c r="M217" s="97" t="str">
        <f t="shared" si="306"/>
        <v>No</v>
      </c>
      <c r="N217" s="98">
        <v>0</v>
      </c>
      <c r="O217" s="99" t="str">
        <f t="shared" si="307"/>
        <v>No</v>
      </c>
      <c r="P217" s="100">
        <v>0</v>
      </c>
      <c r="Q217" s="101" t="str">
        <f t="shared" si="308"/>
        <v>No</v>
      </c>
      <c r="R217" s="96">
        <v>0</v>
      </c>
      <c r="S217" s="11" t="str">
        <f t="shared" si="309"/>
        <v>No</v>
      </c>
      <c r="T217" s="28" t="str">
        <f>T216</f>
        <v>115 VDC</v>
      </c>
      <c r="U217" s="297"/>
      <c r="V217" s="140">
        <f>V216</f>
        <v>1</v>
      </c>
      <c r="W217" s="273"/>
      <c r="X217" s="39">
        <v>0</v>
      </c>
      <c r="Y217" s="39">
        <v>1</v>
      </c>
      <c r="Z217" s="39">
        <v>0</v>
      </c>
      <c r="AA217" s="39"/>
      <c r="AB217" s="39"/>
      <c r="AC217" s="39"/>
      <c r="AD217" s="39"/>
      <c r="AE217" s="39"/>
      <c r="AF217" s="39"/>
      <c r="AG217" s="39">
        <v>194291338</v>
      </c>
      <c r="AH217" s="140" t="str">
        <f>AH216</f>
        <v>APT</v>
      </c>
      <c r="AI217" s="273"/>
      <c r="AJ217" s="140" t="str">
        <f>AJ216</f>
        <v>NA</v>
      </c>
      <c r="AK217" s="273"/>
      <c r="AL217" s="140" t="str">
        <f>AL216</f>
        <v>Sold</v>
      </c>
      <c r="AM217" s="277"/>
      <c r="AN217" s="140" t="str">
        <f>AN216</f>
        <v>Toronto</v>
      </c>
      <c r="AO217" s="82" t="s">
        <v>7</v>
      </c>
      <c r="AP217" s="273"/>
      <c r="AQ217" s="140" t="str">
        <f>AQ216</f>
        <v>Unknown</v>
      </c>
      <c r="AR217" s="306"/>
    </row>
    <row r="218" spans="1:44" s="2" customFormat="1" x14ac:dyDescent="0.3">
      <c r="A218" s="283"/>
      <c r="B218" s="28" t="str">
        <f t="shared" ref="B218:B221" si="358">B217</f>
        <v>ETS 11</v>
      </c>
      <c r="C218" s="271" t="s">
        <v>54</v>
      </c>
      <c r="D218" s="38" t="s">
        <v>24</v>
      </c>
      <c r="E218" s="39">
        <v>1</v>
      </c>
      <c r="F218" s="39" t="s">
        <v>14</v>
      </c>
      <c r="G218" s="39">
        <v>0</v>
      </c>
      <c r="H218" s="39">
        <v>0</v>
      </c>
      <c r="I218" s="43"/>
      <c r="J218" s="95" t="s">
        <v>139</v>
      </c>
      <c r="K218" s="95" t="s">
        <v>140</v>
      </c>
      <c r="L218" s="96">
        <v>0</v>
      </c>
      <c r="M218" s="97" t="str">
        <f t="shared" si="306"/>
        <v>No</v>
      </c>
      <c r="N218" s="98">
        <v>0</v>
      </c>
      <c r="O218" s="99" t="str">
        <f t="shared" si="307"/>
        <v>No</v>
      </c>
      <c r="P218" s="100">
        <v>0</v>
      </c>
      <c r="Q218" s="101" t="str">
        <f t="shared" si="308"/>
        <v>No</v>
      </c>
      <c r="R218" s="96">
        <v>0</v>
      </c>
      <c r="S218" s="11" t="str">
        <f t="shared" si="309"/>
        <v>No</v>
      </c>
      <c r="T218" s="28" t="str">
        <f t="shared" ref="T218:T221" si="359">T217</f>
        <v>115 VDC</v>
      </c>
      <c r="U218" s="297"/>
      <c r="V218" s="140">
        <f t="shared" ref="V218:V221" si="360">V217</f>
        <v>1</v>
      </c>
      <c r="W218" s="273"/>
      <c r="X218" s="39">
        <v>0</v>
      </c>
      <c r="Y218" s="39">
        <v>1</v>
      </c>
      <c r="Z218" s="39">
        <v>0</v>
      </c>
      <c r="AA218" s="39"/>
      <c r="AB218" s="39"/>
      <c r="AC218" s="39"/>
      <c r="AD218" s="39"/>
      <c r="AE218" s="39"/>
      <c r="AF218" s="39"/>
      <c r="AG218" s="39">
        <v>194291338</v>
      </c>
      <c r="AH218" s="140" t="str">
        <f t="shared" ref="AH218:AH221" si="361">AH217</f>
        <v>APT</v>
      </c>
      <c r="AI218" s="273"/>
      <c r="AJ218" s="140" t="str">
        <f t="shared" ref="AJ218:AJ221" si="362">AJ217</f>
        <v>NA</v>
      </c>
      <c r="AK218" s="273"/>
      <c r="AL218" s="140" t="str">
        <f t="shared" ref="AL218:AL221" si="363">AL217</f>
        <v>Sold</v>
      </c>
      <c r="AM218" s="277"/>
      <c r="AN218" s="140" t="str">
        <f t="shared" ref="AN218:AN221" si="364">AN217</f>
        <v>Toronto</v>
      </c>
      <c r="AO218" s="82" t="s">
        <v>7</v>
      </c>
      <c r="AP218" s="273"/>
      <c r="AQ218" s="140" t="str">
        <f t="shared" ref="AQ218:AQ221" si="365">AQ217</f>
        <v>Unknown</v>
      </c>
      <c r="AR218" s="306"/>
    </row>
    <row r="219" spans="1:44" s="2" customFormat="1" x14ac:dyDescent="0.3">
      <c r="A219" s="283"/>
      <c r="B219" s="28" t="str">
        <f t="shared" si="358"/>
        <v>ETS 11</v>
      </c>
      <c r="C219" s="271" t="s">
        <v>54</v>
      </c>
      <c r="D219" s="38" t="s">
        <v>25</v>
      </c>
      <c r="E219" s="39">
        <v>1</v>
      </c>
      <c r="F219" s="39" t="s">
        <v>14</v>
      </c>
      <c r="G219" s="39">
        <v>0</v>
      </c>
      <c r="H219" s="39">
        <v>1</v>
      </c>
      <c r="I219" s="43"/>
      <c r="J219" s="95" t="s">
        <v>139</v>
      </c>
      <c r="K219" s="95" t="s">
        <v>140</v>
      </c>
      <c r="L219" s="96">
        <v>0</v>
      </c>
      <c r="M219" s="97" t="str">
        <f t="shared" si="306"/>
        <v>No</v>
      </c>
      <c r="N219" s="98">
        <v>0</v>
      </c>
      <c r="O219" s="99" t="str">
        <f t="shared" si="307"/>
        <v>No</v>
      </c>
      <c r="P219" s="100">
        <v>3</v>
      </c>
      <c r="Q219" s="101" t="str">
        <f t="shared" si="308"/>
        <v>Yes</v>
      </c>
      <c r="R219" s="96">
        <v>0</v>
      </c>
      <c r="S219" s="11" t="str">
        <f t="shared" si="309"/>
        <v>No</v>
      </c>
      <c r="T219" s="28" t="str">
        <f t="shared" si="359"/>
        <v>115 VDC</v>
      </c>
      <c r="U219" s="297"/>
      <c r="V219" s="140">
        <f t="shared" si="360"/>
        <v>1</v>
      </c>
      <c r="W219" s="273"/>
      <c r="X219" s="39">
        <v>0</v>
      </c>
      <c r="Y219" s="39">
        <v>1</v>
      </c>
      <c r="Z219" s="39">
        <v>0</v>
      </c>
      <c r="AA219" s="39"/>
      <c r="AB219" s="39"/>
      <c r="AC219" s="39"/>
      <c r="AD219" s="39"/>
      <c r="AE219" s="39"/>
      <c r="AF219" s="39"/>
      <c r="AG219" s="39">
        <v>194291338</v>
      </c>
      <c r="AH219" s="140" t="str">
        <f t="shared" si="361"/>
        <v>APT</v>
      </c>
      <c r="AI219" s="273"/>
      <c r="AJ219" s="140" t="str">
        <f t="shared" si="362"/>
        <v>NA</v>
      </c>
      <c r="AK219" s="273"/>
      <c r="AL219" s="140" t="str">
        <f t="shared" si="363"/>
        <v>Sold</v>
      </c>
      <c r="AM219" s="277"/>
      <c r="AN219" s="140" t="str">
        <f t="shared" si="364"/>
        <v>Toronto</v>
      </c>
      <c r="AO219" s="82" t="s">
        <v>7</v>
      </c>
      <c r="AP219" s="273"/>
      <c r="AQ219" s="140" t="str">
        <f t="shared" si="365"/>
        <v>Unknown</v>
      </c>
      <c r="AR219" s="306"/>
    </row>
    <row r="220" spans="1:44" s="2" customFormat="1" x14ac:dyDescent="0.3">
      <c r="A220" s="283"/>
      <c r="B220" s="28" t="str">
        <f t="shared" si="358"/>
        <v>ETS 11</v>
      </c>
      <c r="C220" s="271" t="s">
        <v>54</v>
      </c>
      <c r="D220" s="38" t="s">
        <v>31</v>
      </c>
      <c r="E220" s="39">
        <v>1</v>
      </c>
      <c r="F220" s="39" t="s">
        <v>14</v>
      </c>
      <c r="G220" s="39">
        <v>0</v>
      </c>
      <c r="H220" s="39">
        <v>0</v>
      </c>
      <c r="I220" s="43"/>
      <c r="J220" s="95" t="s">
        <v>139</v>
      </c>
      <c r="K220" s="95" t="s">
        <v>140</v>
      </c>
      <c r="L220" s="96">
        <v>0</v>
      </c>
      <c r="M220" s="97" t="str">
        <f t="shared" si="306"/>
        <v>No</v>
      </c>
      <c r="N220" s="98">
        <v>0</v>
      </c>
      <c r="O220" s="99" t="str">
        <f t="shared" si="307"/>
        <v>No</v>
      </c>
      <c r="P220" s="100">
        <v>0</v>
      </c>
      <c r="Q220" s="101" t="str">
        <f t="shared" si="308"/>
        <v>No</v>
      </c>
      <c r="R220" s="96">
        <v>0</v>
      </c>
      <c r="S220" s="11" t="str">
        <f t="shared" si="309"/>
        <v>No</v>
      </c>
      <c r="T220" s="28" t="str">
        <f t="shared" si="359"/>
        <v>115 VDC</v>
      </c>
      <c r="U220" s="297"/>
      <c r="V220" s="140">
        <f t="shared" si="360"/>
        <v>1</v>
      </c>
      <c r="W220" s="273"/>
      <c r="X220" s="39">
        <v>0</v>
      </c>
      <c r="Y220" s="39">
        <v>1</v>
      </c>
      <c r="Z220" s="39">
        <v>0</v>
      </c>
      <c r="AA220" s="39"/>
      <c r="AB220" s="39"/>
      <c r="AC220" s="39"/>
      <c r="AD220" s="39"/>
      <c r="AE220" s="39"/>
      <c r="AF220" s="39"/>
      <c r="AG220" s="39">
        <v>194291338</v>
      </c>
      <c r="AH220" s="140" t="str">
        <f t="shared" si="361"/>
        <v>APT</v>
      </c>
      <c r="AI220" s="273"/>
      <c r="AJ220" s="140" t="str">
        <f t="shared" si="362"/>
        <v>NA</v>
      </c>
      <c r="AK220" s="273"/>
      <c r="AL220" s="140" t="str">
        <f t="shared" si="363"/>
        <v>Sold</v>
      </c>
      <c r="AM220" s="277"/>
      <c r="AN220" s="140" t="str">
        <f t="shared" si="364"/>
        <v>Toronto</v>
      </c>
      <c r="AO220" s="82" t="s">
        <v>7</v>
      </c>
      <c r="AP220" s="273"/>
      <c r="AQ220" s="140" t="str">
        <f t="shared" si="365"/>
        <v>Unknown</v>
      </c>
      <c r="AR220" s="306"/>
    </row>
    <row r="221" spans="1:44" s="3" customFormat="1" ht="15" thickBot="1" x14ac:dyDescent="0.35">
      <c r="A221" s="284"/>
      <c r="B221" s="28" t="str">
        <f t="shared" si="358"/>
        <v>ETS 11</v>
      </c>
      <c r="C221" s="271" t="s">
        <v>54</v>
      </c>
      <c r="D221" s="33" t="s">
        <v>32</v>
      </c>
      <c r="E221" s="34">
        <v>1</v>
      </c>
      <c r="F221" s="34" t="s">
        <v>14</v>
      </c>
      <c r="G221" s="34">
        <v>0</v>
      </c>
      <c r="H221" s="34">
        <v>0</v>
      </c>
      <c r="I221" s="44"/>
      <c r="J221" s="102" t="s">
        <v>139</v>
      </c>
      <c r="K221" s="102" t="s">
        <v>140</v>
      </c>
      <c r="L221" s="103">
        <v>0</v>
      </c>
      <c r="M221" s="104" t="str">
        <f t="shared" si="306"/>
        <v>No</v>
      </c>
      <c r="N221" s="105">
        <v>0</v>
      </c>
      <c r="O221" s="106" t="str">
        <f t="shared" si="307"/>
        <v>No</v>
      </c>
      <c r="P221" s="107">
        <v>0</v>
      </c>
      <c r="Q221" s="108" t="str">
        <f t="shared" si="308"/>
        <v>No</v>
      </c>
      <c r="R221" s="103">
        <v>0</v>
      </c>
      <c r="S221" s="10" t="str">
        <f t="shared" si="309"/>
        <v>No</v>
      </c>
      <c r="T221" s="28" t="str">
        <f t="shared" si="359"/>
        <v>115 VDC</v>
      </c>
      <c r="U221" s="298"/>
      <c r="V221" s="140">
        <f t="shared" si="360"/>
        <v>1</v>
      </c>
      <c r="W221" s="274"/>
      <c r="X221" s="34">
        <v>0</v>
      </c>
      <c r="Y221" s="34">
        <v>1</v>
      </c>
      <c r="Z221" s="34">
        <v>0</v>
      </c>
      <c r="AA221" s="34"/>
      <c r="AB221" s="34"/>
      <c r="AC221" s="34"/>
      <c r="AD221" s="34"/>
      <c r="AE221" s="34"/>
      <c r="AF221" s="34"/>
      <c r="AG221" s="34">
        <v>194291338</v>
      </c>
      <c r="AH221" s="140" t="str">
        <f t="shared" si="361"/>
        <v>APT</v>
      </c>
      <c r="AI221" s="274"/>
      <c r="AJ221" s="140" t="str">
        <f t="shared" si="362"/>
        <v>NA</v>
      </c>
      <c r="AK221" s="274"/>
      <c r="AL221" s="140" t="str">
        <f t="shared" si="363"/>
        <v>Sold</v>
      </c>
      <c r="AM221" s="278"/>
      <c r="AN221" s="140" t="str">
        <f t="shared" si="364"/>
        <v>Toronto</v>
      </c>
      <c r="AO221" s="83" t="s">
        <v>7</v>
      </c>
      <c r="AP221" s="274"/>
      <c r="AQ221" s="140" t="str">
        <f t="shared" si="365"/>
        <v>Unknown</v>
      </c>
      <c r="AR221" s="307"/>
    </row>
    <row r="222" spans="1:44" s="1" customFormat="1" ht="15" thickTop="1" x14ac:dyDescent="0.3">
      <c r="A222" s="282">
        <f t="shared" si="305"/>
        <v>1</v>
      </c>
      <c r="B222" s="26" t="str">
        <f>C222</f>
        <v>ETS 12</v>
      </c>
      <c r="C222" s="271" t="s">
        <v>55</v>
      </c>
      <c r="D222" s="29" t="s">
        <v>22</v>
      </c>
      <c r="E222" s="30">
        <v>1</v>
      </c>
      <c r="F222" s="30" t="s">
        <v>14</v>
      </c>
      <c r="G222" s="30">
        <v>0</v>
      </c>
      <c r="H222" s="30">
        <v>1</v>
      </c>
      <c r="I222" s="42"/>
      <c r="J222" s="88" t="s">
        <v>99</v>
      </c>
      <c r="K222" s="88" t="s">
        <v>100</v>
      </c>
      <c r="L222" s="89">
        <v>0</v>
      </c>
      <c r="M222" s="90" t="str">
        <f t="shared" si="306"/>
        <v>No</v>
      </c>
      <c r="N222" s="91">
        <v>1</v>
      </c>
      <c r="O222" s="92" t="str">
        <f t="shared" si="307"/>
        <v>Yes</v>
      </c>
      <c r="P222" s="93">
        <v>6</v>
      </c>
      <c r="Q222" s="94" t="str">
        <f t="shared" si="308"/>
        <v>Yes</v>
      </c>
      <c r="R222" s="89">
        <v>0</v>
      </c>
      <c r="S222" s="9" t="str">
        <f t="shared" si="309"/>
        <v>No</v>
      </c>
      <c r="T222" s="26" t="str">
        <f>U222</f>
        <v>115 VDC</v>
      </c>
      <c r="U222" s="296" t="s">
        <v>136</v>
      </c>
      <c r="V222" s="135">
        <f>W222</f>
        <v>1</v>
      </c>
      <c r="W222" s="272">
        <v>1</v>
      </c>
      <c r="X222" s="30">
        <v>0</v>
      </c>
      <c r="Y222" s="30">
        <v>1</v>
      </c>
      <c r="Z222" s="30">
        <v>0</v>
      </c>
      <c r="AA222" s="30"/>
      <c r="AB222" s="30"/>
      <c r="AC222" s="30" t="s">
        <v>102</v>
      </c>
      <c r="AD222" s="30" t="s">
        <v>103</v>
      </c>
      <c r="AE222" s="30" t="s">
        <v>104</v>
      </c>
      <c r="AF222" s="30" t="s">
        <v>105</v>
      </c>
      <c r="AG222" s="30">
        <v>497867494</v>
      </c>
      <c r="AH222" s="135" t="str">
        <f>AI222</f>
        <v>GVV-Concord-OP</v>
      </c>
      <c r="AI222" s="272" t="s">
        <v>42</v>
      </c>
      <c r="AJ222" s="135" t="str">
        <f>AK222</f>
        <v>WP</v>
      </c>
      <c r="AK222" s="272" t="s">
        <v>9</v>
      </c>
      <c r="AL222" s="135" t="str">
        <f>AM222</f>
        <v>Operational</v>
      </c>
      <c r="AM222" s="276" t="s">
        <v>5</v>
      </c>
      <c r="AN222" s="135" t="str">
        <f>AO222</f>
        <v>Toronto</v>
      </c>
      <c r="AO222" s="136" t="s">
        <v>7</v>
      </c>
      <c r="AP222" s="272" t="s">
        <v>8</v>
      </c>
      <c r="AQ222" s="135" t="str">
        <f>AR222</f>
        <v>Storage</v>
      </c>
      <c r="AR222" s="305" t="s">
        <v>92</v>
      </c>
    </row>
    <row r="223" spans="1:44" s="2" customFormat="1" x14ac:dyDescent="0.3">
      <c r="A223" s="283"/>
      <c r="B223" s="28" t="str">
        <f>B222</f>
        <v>ETS 12</v>
      </c>
      <c r="C223" s="271" t="s">
        <v>55</v>
      </c>
      <c r="D223" s="38" t="s">
        <v>23</v>
      </c>
      <c r="E223" s="39">
        <v>1</v>
      </c>
      <c r="F223" s="39" t="s">
        <v>14</v>
      </c>
      <c r="G223" s="39">
        <v>0</v>
      </c>
      <c r="H223" s="39">
        <v>0</v>
      </c>
      <c r="I223" s="43"/>
      <c r="J223" s="95" t="s">
        <v>99</v>
      </c>
      <c r="K223" s="95" t="s">
        <v>100</v>
      </c>
      <c r="L223" s="96">
        <v>0</v>
      </c>
      <c r="M223" s="97" t="str">
        <f t="shared" si="306"/>
        <v>No</v>
      </c>
      <c r="N223" s="98">
        <v>1</v>
      </c>
      <c r="O223" s="99" t="str">
        <f t="shared" si="307"/>
        <v>Yes</v>
      </c>
      <c r="P223" s="100">
        <v>0</v>
      </c>
      <c r="Q223" s="101" t="str">
        <f t="shared" si="308"/>
        <v>No</v>
      </c>
      <c r="R223" s="96">
        <v>0</v>
      </c>
      <c r="S223" s="11" t="str">
        <f t="shared" si="309"/>
        <v>No</v>
      </c>
      <c r="T223" s="28" t="str">
        <f>T222</f>
        <v>115 VDC</v>
      </c>
      <c r="U223" s="297"/>
      <c r="V223" s="140">
        <f>V222</f>
        <v>1</v>
      </c>
      <c r="W223" s="273"/>
      <c r="X223" s="39">
        <v>0</v>
      </c>
      <c r="Y223" s="39">
        <v>1</v>
      </c>
      <c r="Z223" s="39">
        <v>0</v>
      </c>
      <c r="AA223" s="39"/>
      <c r="AB223" s="39"/>
      <c r="AC223" s="39" t="s">
        <v>102</v>
      </c>
      <c r="AD223" s="39" t="s">
        <v>103</v>
      </c>
      <c r="AE223" s="39" t="s">
        <v>104</v>
      </c>
      <c r="AF223" s="39" t="s">
        <v>105</v>
      </c>
      <c r="AG223" s="39">
        <v>497867494</v>
      </c>
      <c r="AH223" s="140" t="str">
        <f>AH222</f>
        <v>GVV-Concord-OP</v>
      </c>
      <c r="AI223" s="273"/>
      <c r="AJ223" s="140" t="str">
        <f>AJ222</f>
        <v>WP</v>
      </c>
      <c r="AK223" s="273"/>
      <c r="AL223" s="140" t="str">
        <f>AL222</f>
        <v>Operational</v>
      </c>
      <c r="AM223" s="277"/>
      <c r="AN223" s="140" t="str">
        <f>AN222</f>
        <v>Toronto</v>
      </c>
      <c r="AO223" s="82" t="s">
        <v>7</v>
      </c>
      <c r="AP223" s="273"/>
      <c r="AQ223" s="140" t="str">
        <f>AQ222</f>
        <v>Storage</v>
      </c>
      <c r="AR223" s="306"/>
    </row>
    <row r="224" spans="1:44" s="2" customFormat="1" x14ac:dyDescent="0.3">
      <c r="A224" s="283"/>
      <c r="B224" s="28" t="str">
        <f t="shared" ref="B224:B227" si="366">B223</f>
        <v>ETS 12</v>
      </c>
      <c r="C224" s="271" t="s">
        <v>55</v>
      </c>
      <c r="D224" s="38" t="s">
        <v>24</v>
      </c>
      <c r="E224" s="39">
        <v>1</v>
      </c>
      <c r="F224" s="39" t="s">
        <v>14</v>
      </c>
      <c r="G224" s="39">
        <v>0</v>
      </c>
      <c r="H224" s="39">
        <v>0</v>
      </c>
      <c r="I224" s="43"/>
      <c r="J224" s="95" t="s">
        <v>99</v>
      </c>
      <c r="K224" s="95" t="s">
        <v>100</v>
      </c>
      <c r="L224" s="96">
        <v>0</v>
      </c>
      <c r="M224" s="97" t="str">
        <f t="shared" si="306"/>
        <v>No</v>
      </c>
      <c r="N224" s="98">
        <v>1</v>
      </c>
      <c r="O224" s="99" t="str">
        <f t="shared" si="307"/>
        <v>Yes</v>
      </c>
      <c r="P224" s="100">
        <v>0</v>
      </c>
      <c r="Q224" s="101" t="str">
        <f t="shared" si="308"/>
        <v>No</v>
      </c>
      <c r="R224" s="96">
        <v>0</v>
      </c>
      <c r="S224" s="11" t="str">
        <f t="shared" si="309"/>
        <v>No</v>
      </c>
      <c r="T224" s="28" t="str">
        <f t="shared" ref="T224:T227" si="367">T223</f>
        <v>115 VDC</v>
      </c>
      <c r="U224" s="297"/>
      <c r="V224" s="140">
        <f t="shared" ref="V224:V227" si="368">V223</f>
        <v>1</v>
      </c>
      <c r="W224" s="273"/>
      <c r="X224" s="39">
        <v>0</v>
      </c>
      <c r="Y224" s="39">
        <v>1</v>
      </c>
      <c r="Z224" s="39">
        <v>0</v>
      </c>
      <c r="AA224" s="39"/>
      <c r="AB224" s="39"/>
      <c r="AC224" s="39" t="s">
        <v>102</v>
      </c>
      <c r="AD224" s="39" t="s">
        <v>103</v>
      </c>
      <c r="AE224" s="39" t="s">
        <v>104</v>
      </c>
      <c r="AF224" s="39" t="s">
        <v>105</v>
      </c>
      <c r="AG224" s="39">
        <v>497867494</v>
      </c>
      <c r="AH224" s="140" t="str">
        <f t="shared" ref="AH224:AH227" si="369">AH223</f>
        <v>GVV-Concord-OP</v>
      </c>
      <c r="AI224" s="273"/>
      <c r="AJ224" s="140" t="str">
        <f t="shared" ref="AJ224:AJ227" si="370">AJ223</f>
        <v>WP</v>
      </c>
      <c r="AK224" s="273"/>
      <c r="AL224" s="140" t="str">
        <f t="shared" ref="AL224:AL227" si="371">AL223</f>
        <v>Operational</v>
      </c>
      <c r="AM224" s="277"/>
      <c r="AN224" s="140" t="str">
        <f t="shared" ref="AN224:AN227" si="372">AN223</f>
        <v>Toronto</v>
      </c>
      <c r="AO224" s="82" t="s">
        <v>7</v>
      </c>
      <c r="AP224" s="273"/>
      <c r="AQ224" s="140" t="str">
        <f t="shared" ref="AQ224:AQ227" si="373">AQ223</f>
        <v>Storage</v>
      </c>
      <c r="AR224" s="306"/>
    </row>
    <row r="225" spans="1:44" s="2" customFormat="1" x14ac:dyDescent="0.3">
      <c r="A225" s="283"/>
      <c r="B225" s="28" t="str">
        <f t="shared" si="366"/>
        <v>ETS 12</v>
      </c>
      <c r="C225" s="271" t="s">
        <v>55</v>
      </c>
      <c r="D225" s="38" t="s">
        <v>25</v>
      </c>
      <c r="E225" s="39">
        <v>1</v>
      </c>
      <c r="F225" s="39" t="s">
        <v>14</v>
      </c>
      <c r="G225" s="39">
        <v>0</v>
      </c>
      <c r="H225" s="39">
        <v>0</v>
      </c>
      <c r="I225" s="43"/>
      <c r="J225" s="95" t="s">
        <v>99</v>
      </c>
      <c r="K225" s="95" t="s">
        <v>100</v>
      </c>
      <c r="L225" s="96">
        <v>0</v>
      </c>
      <c r="M225" s="97" t="str">
        <f t="shared" si="306"/>
        <v>No</v>
      </c>
      <c r="N225" s="98">
        <v>1</v>
      </c>
      <c r="O225" s="99" t="str">
        <f t="shared" si="307"/>
        <v>Yes</v>
      </c>
      <c r="P225" s="100">
        <v>0</v>
      </c>
      <c r="Q225" s="101" t="str">
        <f t="shared" si="308"/>
        <v>No</v>
      </c>
      <c r="R225" s="96">
        <v>0</v>
      </c>
      <c r="S225" s="11" t="str">
        <f t="shared" si="309"/>
        <v>No</v>
      </c>
      <c r="T225" s="28" t="str">
        <f t="shared" si="367"/>
        <v>115 VDC</v>
      </c>
      <c r="U225" s="297"/>
      <c r="V225" s="140">
        <f t="shared" si="368"/>
        <v>1</v>
      </c>
      <c r="W225" s="273"/>
      <c r="X225" s="39">
        <v>0</v>
      </c>
      <c r="Y225" s="39">
        <v>1</v>
      </c>
      <c r="Z225" s="39">
        <v>0</v>
      </c>
      <c r="AA225" s="39"/>
      <c r="AB225" s="39"/>
      <c r="AC225" s="39" t="s">
        <v>102</v>
      </c>
      <c r="AD225" s="39" t="s">
        <v>103</v>
      </c>
      <c r="AE225" s="39" t="s">
        <v>104</v>
      </c>
      <c r="AF225" s="39" t="s">
        <v>105</v>
      </c>
      <c r="AG225" s="39">
        <v>497867494</v>
      </c>
      <c r="AH225" s="140" t="str">
        <f t="shared" si="369"/>
        <v>GVV-Concord-OP</v>
      </c>
      <c r="AI225" s="273"/>
      <c r="AJ225" s="140" t="str">
        <f t="shared" si="370"/>
        <v>WP</v>
      </c>
      <c r="AK225" s="273"/>
      <c r="AL225" s="140" t="str">
        <f t="shared" si="371"/>
        <v>Operational</v>
      </c>
      <c r="AM225" s="277"/>
      <c r="AN225" s="140" t="str">
        <f t="shared" si="372"/>
        <v>Toronto</v>
      </c>
      <c r="AO225" s="82" t="s">
        <v>7</v>
      </c>
      <c r="AP225" s="273"/>
      <c r="AQ225" s="140" t="str">
        <f t="shared" si="373"/>
        <v>Storage</v>
      </c>
      <c r="AR225" s="306"/>
    </row>
    <row r="226" spans="1:44" s="2" customFormat="1" x14ac:dyDescent="0.3">
      <c r="A226" s="283"/>
      <c r="B226" s="28" t="str">
        <f t="shared" si="366"/>
        <v>ETS 12</v>
      </c>
      <c r="C226" s="271" t="s">
        <v>55</v>
      </c>
      <c r="D226" s="38" t="s">
        <v>31</v>
      </c>
      <c r="E226" s="39">
        <v>1</v>
      </c>
      <c r="F226" s="39" t="s">
        <v>14</v>
      </c>
      <c r="G226" s="39">
        <v>0</v>
      </c>
      <c r="H226" s="39">
        <v>0</v>
      </c>
      <c r="I226" s="43"/>
      <c r="J226" s="95" t="s">
        <v>99</v>
      </c>
      <c r="K226" s="95" t="s">
        <v>100</v>
      </c>
      <c r="L226" s="96">
        <v>0</v>
      </c>
      <c r="M226" s="97" t="str">
        <f t="shared" si="306"/>
        <v>No</v>
      </c>
      <c r="N226" s="98">
        <v>1</v>
      </c>
      <c r="O226" s="99" t="str">
        <f t="shared" si="307"/>
        <v>Yes</v>
      </c>
      <c r="P226" s="100">
        <v>0</v>
      </c>
      <c r="Q226" s="101" t="str">
        <f t="shared" si="308"/>
        <v>No</v>
      </c>
      <c r="R226" s="96">
        <v>0</v>
      </c>
      <c r="S226" s="11" t="str">
        <f t="shared" si="309"/>
        <v>No</v>
      </c>
      <c r="T226" s="28" t="str">
        <f t="shared" si="367"/>
        <v>115 VDC</v>
      </c>
      <c r="U226" s="297"/>
      <c r="V226" s="140">
        <f t="shared" si="368"/>
        <v>1</v>
      </c>
      <c r="W226" s="273"/>
      <c r="X226" s="39">
        <v>0</v>
      </c>
      <c r="Y226" s="39">
        <v>1</v>
      </c>
      <c r="Z226" s="39">
        <v>0</v>
      </c>
      <c r="AA226" s="39"/>
      <c r="AB226" s="39"/>
      <c r="AC226" s="39" t="s">
        <v>102</v>
      </c>
      <c r="AD226" s="39" t="s">
        <v>103</v>
      </c>
      <c r="AE226" s="39" t="s">
        <v>104</v>
      </c>
      <c r="AF226" s="39" t="s">
        <v>105</v>
      </c>
      <c r="AG226" s="39">
        <v>497867494</v>
      </c>
      <c r="AH226" s="140" t="str">
        <f t="shared" si="369"/>
        <v>GVV-Concord-OP</v>
      </c>
      <c r="AI226" s="273"/>
      <c r="AJ226" s="140" t="str">
        <f t="shared" si="370"/>
        <v>WP</v>
      </c>
      <c r="AK226" s="273"/>
      <c r="AL226" s="140" t="str">
        <f t="shared" si="371"/>
        <v>Operational</v>
      </c>
      <c r="AM226" s="277"/>
      <c r="AN226" s="140" t="str">
        <f t="shared" si="372"/>
        <v>Toronto</v>
      </c>
      <c r="AO226" s="82" t="s">
        <v>7</v>
      </c>
      <c r="AP226" s="273"/>
      <c r="AQ226" s="140" t="str">
        <f t="shared" si="373"/>
        <v>Storage</v>
      </c>
      <c r="AR226" s="306"/>
    </row>
    <row r="227" spans="1:44" s="3" customFormat="1" ht="15" thickBot="1" x14ac:dyDescent="0.35">
      <c r="A227" s="284"/>
      <c r="B227" s="28" t="str">
        <f t="shared" si="366"/>
        <v>ETS 12</v>
      </c>
      <c r="C227" s="271" t="s">
        <v>55</v>
      </c>
      <c r="D227" s="33" t="s">
        <v>32</v>
      </c>
      <c r="E227" s="34">
        <v>1</v>
      </c>
      <c r="F227" s="34" t="s">
        <v>14</v>
      </c>
      <c r="G227" s="34">
        <v>0</v>
      </c>
      <c r="H227" s="34">
        <v>0</v>
      </c>
      <c r="I227" s="44"/>
      <c r="J227" s="102" t="s">
        <v>99</v>
      </c>
      <c r="K227" s="102" t="s">
        <v>100</v>
      </c>
      <c r="L227" s="103">
        <v>0</v>
      </c>
      <c r="M227" s="104" t="str">
        <f t="shared" si="306"/>
        <v>No</v>
      </c>
      <c r="N227" s="105">
        <v>1</v>
      </c>
      <c r="O227" s="106" t="str">
        <f t="shared" si="307"/>
        <v>Yes</v>
      </c>
      <c r="P227" s="107">
        <v>0</v>
      </c>
      <c r="Q227" s="108" t="str">
        <f t="shared" si="308"/>
        <v>No</v>
      </c>
      <c r="R227" s="103">
        <v>0</v>
      </c>
      <c r="S227" s="10" t="str">
        <f t="shared" si="309"/>
        <v>No</v>
      </c>
      <c r="T227" s="28" t="str">
        <f t="shared" si="367"/>
        <v>115 VDC</v>
      </c>
      <c r="U227" s="298"/>
      <c r="V227" s="140">
        <f t="shared" si="368"/>
        <v>1</v>
      </c>
      <c r="W227" s="274"/>
      <c r="X227" s="34">
        <v>0</v>
      </c>
      <c r="Y227" s="34">
        <v>1</v>
      </c>
      <c r="Z227" s="34">
        <v>0</v>
      </c>
      <c r="AA227" s="34"/>
      <c r="AB227" s="34"/>
      <c r="AC227" s="34" t="s">
        <v>102</v>
      </c>
      <c r="AD227" s="34" t="s">
        <v>103</v>
      </c>
      <c r="AE227" s="34" t="s">
        <v>104</v>
      </c>
      <c r="AF227" s="34" t="s">
        <v>105</v>
      </c>
      <c r="AG227" s="34">
        <v>497867494</v>
      </c>
      <c r="AH227" s="140" t="str">
        <f t="shared" si="369"/>
        <v>GVV-Concord-OP</v>
      </c>
      <c r="AI227" s="274"/>
      <c r="AJ227" s="140" t="str">
        <f t="shared" si="370"/>
        <v>WP</v>
      </c>
      <c r="AK227" s="274"/>
      <c r="AL227" s="140" t="str">
        <f t="shared" si="371"/>
        <v>Operational</v>
      </c>
      <c r="AM227" s="278"/>
      <c r="AN227" s="140" t="str">
        <f t="shared" si="372"/>
        <v>Toronto</v>
      </c>
      <c r="AO227" s="83" t="s">
        <v>7</v>
      </c>
      <c r="AP227" s="274"/>
      <c r="AQ227" s="140" t="str">
        <f t="shared" si="373"/>
        <v>Storage</v>
      </c>
      <c r="AR227" s="307"/>
    </row>
    <row r="228" spans="1:44" s="1" customFormat="1" ht="15" thickTop="1" x14ac:dyDescent="0.3">
      <c r="A228" s="282">
        <f t="shared" si="305"/>
        <v>1</v>
      </c>
      <c r="B228" s="26" t="str">
        <f>C228</f>
        <v>ETS 13</v>
      </c>
      <c r="C228" s="271" t="s">
        <v>56</v>
      </c>
      <c r="D228" s="29" t="s">
        <v>22</v>
      </c>
      <c r="E228" s="30">
        <v>1</v>
      </c>
      <c r="F228" s="30" t="s">
        <v>14</v>
      </c>
      <c r="G228" s="30">
        <v>0</v>
      </c>
      <c r="H228" s="30">
        <v>1</v>
      </c>
      <c r="I228" s="42"/>
      <c r="J228" s="88" t="s">
        <v>99</v>
      </c>
      <c r="K228" s="88" t="s">
        <v>145</v>
      </c>
      <c r="L228" s="89">
        <v>0</v>
      </c>
      <c r="M228" s="90" t="str">
        <f t="shared" si="306"/>
        <v>No</v>
      </c>
      <c r="N228" s="91">
        <v>1</v>
      </c>
      <c r="O228" s="92" t="str">
        <f t="shared" si="307"/>
        <v>Yes</v>
      </c>
      <c r="P228" s="93">
        <v>6</v>
      </c>
      <c r="Q228" s="94" t="str">
        <f t="shared" si="308"/>
        <v>Yes</v>
      </c>
      <c r="R228" s="89">
        <v>0</v>
      </c>
      <c r="S228" s="9" t="str">
        <f t="shared" si="309"/>
        <v>No</v>
      </c>
      <c r="T228" s="26" t="str">
        <f>U228</f>
        <v>115 VDC</v>
      </c>
      <c r="U228" s="296" t="s">
        <v>136</v>
      </c>
      <c r="V228" s="135">
        <f>W228</f>
        <v>1</v>
      </c>
      <c r="W228" s="272">
        <v>1</v>
      </c>
      <c r="X228" s="30">
        <v>0</v>
      </c>
      <c r="Y228" s="30">
        <v>1</v>
      </c>
      <c r="Z228" s="30">
        <v>0</v>
      </c>
      <c r="AA228" s="30"/>
      <c r="AB228" s="30"/>
      <c r="AC228" s="30" t="s">
        <v>106</v>
      </c>
      <c r="AD228" s="30" t="s">
        <v>107</v>
      </c>
      <c r="AE228" s="30" t="s">
        <v>108</v>
      </c>
      <c r="AF228" s="30" t="s">
        <v>109</v>
      </c>
      <c r="AG228" s="30">
        <v>1004054733</v>
      </c>
      <c r="AH228" s="135" t="str">
        <f>AI228</f>
        <v>GVV-Concord-OP</v>
      </c>
      <c r="AI228" s="272" t="s">
        <v>42</v>
      </c>
      <c r="AJ228" s="135" t="str">
        <f>AK228</f>
        <v>WP</v>
      </c>
      <c r="AK228" s="272" t="s">
        <v>9</v>
      </c>
      <c r="AL228" s="135" t="str">
        <f>AM228</f>
        <v>Operational</v>
      </c>
      <c r="AM228" s="276" t="s">
        <v>5</v>
      </c>
      <c r="AN228" s="135" t="str">
        <f>AO228</f>
        <v>Toronto</v>
      </c>
      <c r="AO228" s="136" t="s">
        <v>7</v>
      </c>
      <c r="AP228" s="272" t="s">
        <v>8</v>
      </c>
      <c r="AQ228" s="135" t="str">
        <f>AR228</f>
        <v>Storage</v>
      </c>
      <c r="AR228" s="305" t="s">
        <v>92</v>
      </c>
    </row>
    <row r="229" spans="1:44" s="2" customFormat="1" x14ac:dyDescent="0.3">
      <c r="A229" s="283"/>
      <c r="B229" s="28" t="str">
        <f>B228</f>
        <v>ETS 13</v>
      </c>
      <c r="C229" s="271" t="s">
        <v>56</v>
      </c>
      <c r="D229" s="38" t="s">
        <v>23</v>
      </c>
      <c r="E229" s="39">
        <v>1</v>
      </c>
      <c r="F229" s="39" t="s">
        <v>14</v>
      </c>
      <c r="G229" s="39">
        <v>0</v>
      </c>
      <c r="H229" s="39">
        <v>0</v>
      </c>
      <c r="I229" s="43"/>
      <c r="J229" s="95" t="s">
        <v>99</v>
      </c>
      <c r="K229" s="95" t="s">
        <v>145</v>
      </c>
      <c r="L229" s="96">
        <v>0</v>
      </c>
      <c r="M229" s="97" t="str">
        <f t="shared" si="306"/>
        <v>No</v>
      </c>
      <c r="N229" s="98">
        <v>1</v>
      </c>
      <c r="O229" s="99" t="str">
        <f t="shared" si="307"/>
        <v>Yes</v>
      </c>
      <c r="P229" s="100">
        <v>0</v>
      </c>
      <c r="Q229" s="101" t="str">
        <f t="shared" si="308"/>
        <v>No</v>
      </c>
      <c r="R229" s="96">
        <v>0</v>
      </c>
      <c r="S229" s="11" t="str">
        <f t="shared" si="309"/>
        <v>No</v>
      </c>
      <c r="T229" s="28" t="str">
        <f>T228</f>
        <v>115 VDC</v>
      </c>
      <c r="U229" s="297"/>
      <c r="V229" s="140">
        <f>V228</f>
        <v>1</v>
      </c>
      <c r="W229" s="273"/>
      <c r="X229" s="39">
        <v>0</v>
      </c>
      <c r="Y229" s="39">
        <v>1</v>
      </c>
      <c r="Z229" s="39">
        <v>0</v>
      </c>
      <c r="AA229" s="39"/>
      <c r="AB229" s="39"/>
      <c r="AC229" s="39" t="s">
        <v>106</v>
      </c>
      <c r="AD229" s="39" t="s">
        <v>107</v>
      </c>
      <c r="AE229" s="39" t="s">
        <v>108</v>
      </c>
      <c r="AF229" s="39" t="s">
        <v>109</v>
      </c>
      <c r="AG229" s="39">
        <v>1004054733</v>
      </c>
      <c r="AH229" s="140" t="str">
        <f>AH228</f>
        <v>GVV-Concord-OP</v>
      </c>
      <c r="AI229" s="273"/>
      <c r="AJ229" s="140" t="str">
        <f>AJ228</f>
        <v>WP</v>
      </c>
      <c r="AK229" s="273"/>
      <c r="AL229" s="140" t="str">
        <f>AL228</f>
        <v>Operational</v>
      </c>
      <c r="AM229" s="277"/>
      <c r="AN229" s="140" t="str">
        <f>AN228</f>
        <v>Toronto</v>
      </c>
      <c r="AO229" s="82" t="s">
        <v>7</v>
      </c>
      <c r="AP229" s="273"/>
      <c r="AQ229" s="140" t="str">
        <f>AQ228</f>
        <v>Storage</v>
      </c>
      <c r="AR229" s="306"/>
    </row>
    <row r="230" spans="1:44" s="2" customFormat="1" x14ac:dyDescent="0.3">
      <c r="A230" s="283"/>
      <c r="B230" s="28" t="str">
        <f t="shared" ref="B230:B233" si="374">B229</f>
        <v>ETS 13</v>
      </c>
      <c r="C230" s="271" t="s">
        <v>56</v>
      </c>
      <c r="D230" s="38" t="s">
        <v>24</v>
      </c>
      <c r="E230" s="39">
        <v>1</v>
      </c>
      <c r="F230" s="39" t="s">
        <v>14</v>
      </c>
      <c r="G230" s="39">
        <v>0</v>
      </c>
      <c r="H230" s="39">
        <v>0</v>
      </c>
      <c r="I230" s="43"/>
      <c r="J230" s="95" t="s">
        <v>99</v>
      </c>
      <c r="K230" s="95" t="s">
        <v>145</v>
      </c>
      <c r="L230" s="96">
        <v>0</v>
      </c>
      <c r="M230" s="97" t="str">
        <f t="shared" si="306"/>
        <v>No</v>
      </c>
      <c r="N230" s="98">
        <v>1</v>
      </c>
      <c r="O230" s="99" t="str">
        <f t="shared" si="307"/>
        <v>Yes</v>
      </c>
      <c r="P230" s="100">
        <v>0</v>
      </c>
      <c r="Q230" s="101" t="str">
        <f t="shared" si="308"/>
        <v>No</v>
      </c>
      <c r="R230" s="96">
        <v>0</v>
      </c>
      <c r="S230" s="11" t="str">
        <f t="shared" si="309"/>
        <v>No</v>
      </c>
      <c r="T230" s="28" t="str">
        <f t="shared" ref="T230:T233" si="375">T229</f>
        <v>115 VDC</v>
      </c>
      <c r="U230" s="297"/>
      <c r="V230" s="140">
        <f t="shared" ref="V230:V233" si="376">V229</f>
        <v>1</v>
      </c>
      <c r="W230" s="273"/>
      <c r="X230" s="39">
        <v>0</v>
      </c>
      <c r="Y230" s="39">
        <v>1</v>
      </c>
      <c r="Z230" s="39">
        <v>0</v>
      </c>
      <c r="AA230" s="39"/>
      <c r="AB230" s="39"/>
      <c r="AC230" s="39" t="s">
        <v>106</v>
      </c>
      <c r="AD230" s="39" t="s">
        <v>107</v>
      </c>
      <c r="AE230" s="39" t="s">
        <v>108</v>
      </c>
      <c r="AF230" s="39" t="s">
        <v>109</v>
      </c>
      <c r="AG230" s="39">
        <v>1004054733</v>
      </c>
      <c r="AH230" s="140" t="str">
        <f t="shared" ref="AH230:AH233" si="377">AH229</f>
        <v>GVV-Concord-OP</v>
      </c>
      <c r="AI230" s="273"/>
      <c r="AJ230" s="140" t="str">
        <f t="shared" ref="AJ230:AJ233" si="378">AJ229</f>
        <v>WP</v>
      </c>
      <c r="AK230" s="273"/>
      <c r="AL230" s="140" t="str">
        <f t="shared" ref="AL230:AL233" si="379">AL229</f>
        <v>Operational</v>
      </c>
      <c r="AM230" s="277"/>
      <c r="AN230" s="140" t="str">
        <f t="shared" ref="AN230:AN233" si="380">AN229</f>
        <v>Toronto</v>
      </c>
      <c r="AO230" s="82" t="s">
        <v>7</v>
      </c>
      <c r="AP230" s="273"/>
      <c r="AQ230" s="140" t="str">
        <f t="shared" ref="AQ230:AQ233" si="381">AQ229</f>
        <v>Storage</v>
      </c>
      <c r="AR230" s="306"/>
    </row>
    <row r="231" spans="1:44" s="2" customFormat="1" x14ac:dyDescent="0.3">
      <c r="A231" s="283"/>
      <c r="B231" s="28" t="str">
        <f t="shared" si="374"/>
        <v>ETS 13</v>
      </c>
      <c r="C231" s="271" t="s">
        <v>56</v>
      </c>
      <c r="D231" s="38" t="s">
        <v>25</v>
      </c>
      <c r="E231" s="39">
        <v>1</v>
      </c>
      <c r="F231" s="39" t="s">
        <v>14</v>
      </c>
      <c r="G231" s="39">
        <v>0</v>
      </c>
      <c r="H231" s="39">
        <v>0</v>
      </c>
      <c r="I231" s="43"/>
      <c r="J231" s="95" t="s">
        <v>99</v>
      </c>
      <c r="K231" s="95" t="s">
        <v>145</v>
      </c>
      <c r="L231" s="96">
        <v>0</v>
      </c>
      <c r="M231" s="97" t="str">
        <f t="shared" si="306"/>
        <v>No</v>
      </c>
      <c r="N231" s="98">
        <v>1</v>
      </c>
      <c r="O231" s="99" t="str">
        <f t="shared" si="307"/>
        <v>Yes</v>
      </c>
      <c r="P231" s="100">
        <v>0</v>
      </c>
      <c r="Q231" s="101" t="str">
        <f t="shared" si="308"/>
        <v>No</v>
      </c>
      <c r="R231" s="96">
        <v>0</v>
      </c>
      <c r="S231" s="11" t="str">
        <f t="shared" si="309"/>
        <v>No</v>
      </c>
      <c r="T231" s="28" t="str">
        <f t="shared" si="375"/>
        <v>115 VDC</v>
      </c>
      <c r="U231" s="297"/>
      <c r="V231" s="140">
        <f t="shared" si="376"/>
        <v>1</v>
      </c>
      <c r="W231" s="273"/>
      <c r="X231" s="39">
        <v>0</v>
      </c>
      <c r="Y231" s="39">
        <v>1</v>
      </c>
      <c r="Z231" s="39">
        <v>0</v>
      </c>
      <c r="AA231" s="39"/>
      <c r="AB231" s="39"/>
      <c r="AC231" s="39" t="s">
        <v>106</v>
      </c>
      <c r="AD231" s="39" t="s">
        <v>107</v>
      </c>
      <c r="AE231" s="39" t="s">
        <v>108</v>
      </c>
      <c r="AF231" s="39" t="s">
        <v>109</v>
      </c>
      <c r="AG231" s="39">
        <v>1004054733</v>
      </c>
      <c r="AH231" s="140" t="str">
        <f t="shared" si="377"/>
        <v>GVV-Concord-OP</v>
      </c>
      <c r="AI231" s="273"/>
      <c r="AJ231" s="140" t="str">
        <f t="shared" si="378"/>
        <v>WP</v>
      </c>
      <c r="AK231" s="273"/>
      <c r="AL231" s="140" t="str">
        <f t="shared" si="379"/>
        <v>Operational</v>
      </c>
      <c r="AM231" s="277"/>
      <c r="AN231" s="140" t="str">
        <f t="shared" si="380"/>
        <v>Toronto</v>
      </c>
      <c r="AO231" s="82" t="s">
        <v>7</v>
      </c>
      <c r="AP231" s="273"/>
      <c r="AQ231" s="140" t="str">
        <f t="shared" si="381"/>
        <v>Storage</v>
      </c>
      <c r="AR231" s="306"/>
    </row>
    <row r="232" spans="1:44" s="2" customFormat="1" x14ac:dyDescent="0.3">
      <c r="A232" s="283"/>
      <c r="B232" s="28" t="str">
        <f t="shared" si="374"/>
        <v>ETS 13</v>
      </c>
      <c r="C232" s="271" t="s">
        <v>56</v>
      </c>
      <c r="D232" s="38" t="s">
        <v>31</v>
      </c>
      <c r="E232" s="39">
        <v>1</v>
      </c>
      <c r="F232" s="39" t="s">
        <v>14</v>
      </c>
      <c r="G232" s="39">
        <v>0</v>
      </c>
      <c r="H232" s="39">
        <v>0</v>
      </c>
      <c r="I232" s="43"/>
      <c r="J232" s="95" t="s">
        <v>99</v>
      </c>
      <c r="K232" s="95" t="s">
        <v>145</v>
      </c>
      <c r="L232" s="96">
        <v>0</v>
      </c>
      <c r="M232" s="97" t="str">
        <f t="shared" si="306"/>
        <v>No</v>
      </c>
      <c r="N232" s="98">
        <v>1</v>
      </c>
      <c r="O232" s="99" t="str">
        <f t="shared" si="307"/>
        <v>Yes</v>
      </c>
      <c r="P232" s="100">
        <v>0</v>
      </c>
      <c r="Q232" s="101" t="str">
        <f t="shared" si="308"/>
        <v>No</v>
      </c>
      <c r="R232" s="96">
        <v>0</v>
      </c>
      <c r="S232" s="11" t="str">
        <f t="shared" si="309"/>
        <v>No</v>
      </c>
      <c r="T232" s="28" t="str">
        <f t="shared" si="375"/>
        <v>115 VDC</v>
      </c>
      <c r="U232" s="297"/>
      <c r="V232" s="140">
        <f t="shared" si="376"/>
        <v>1</v>
      </c>
      <c r="W232" s="273"/>
      <c r="X232" s="39">
        <v>0</v>
      </c>
      <c r="Y232" s="39">
        <v>1</v>
      </c>
      <c r="Z232" s="39">
        <v>0</v>
      </c>
      <c r="AA232" s="39"/>
      <c r="AB232" s="39"/>
      <c r="AC232" s="39" t="s">
        <v>106</v>
      </c>
      <c r="AD232" s="39" t="s">
        <v>107</v>
      </c>
      <c r="AE232" s="39" t="s">
        <v>108</v>
      </c>
      <c r="AF232" s="39" t="s">
        <v>109</v>
      </c>
      <c r="AG232" s="39">
        <v>1004054733</v>
      </c>
      <c r="AH232" s="140" t="str">
        <f t="shared" si="377"/>
        <v>GVV-Concord-OP</v>
      </c>
      <c r="AI232" s="273"/>
      <c r="AJ232" s="140" t="str">
        <f t="shared" si="378"/>
        <v>WP</v>
      </c>
      <c r="AK232" s="273"/>
      <c r="AL232" s="140" t="str">
        <f t="shared" si="379"/>
        <v>Operational</v>
      </c>
      <c r="AM232" s="277"/>
      <c r="AN232" s="140" t="str">
        <f t="shared" si="380"/>
        <v>Toronto</v>
      </c>
      <c r="AO232" s="82" t="s">
        <v>7</v>
      </c>
      <c r="AP232" s="273"/>
      <c r="AQ232" s="140" t="str">
        <f t="shared" si="381"/>
        <v>Storage</v>
      </c>
      <c r="AR232" s="306"/>
    </row>
    <row r="233" spans="1:44" s="3" customFormat="1" ht="15" thickBot="1" x14ac:dyDescent="0.35">
      <c r="A233" s="284"/>
      <c r="B233" s="28" t="str">
        <f t="shared" si="374"/>
        <v>ETS 13</v>
      </c>
      <c r="C233" s="271" t="s">
        <v>56</v>
      </c>
      <c r="D233" s="33" t="s">
        <v>32</v>
      </c>
      <c r="E233" s="34">
        <v>1</v>
      </c>
      <c r="F233" s="34" t="s">
        <v>14</v>
      </c>
      <c r="G233" s="34">
        <v>0</v>
      </c>
      <c r="H233" s="39">
        <v>0</v>
      </c>
      <c r="I233" s="44"/>
      <c r="J233" s="102" t="s">
        <v>99</v>
      </c>
      <c r="K233" s="102" t="s">
        <v>145</v>
      </c>
      <c r="L233" s="103">
        <v>0</v>
      </c>
      <c r="M233" s="104" t="str">
        <f t="shared" ref="M233:M264" si="382">IF(L233&gt;=1,"Yes","No")</f>
        <v>No</v>
      </c>
      <c r="N233" s="105">
        <v>1</v>
      </c>
      <c r="O233" s="106" t="str">
        <f t="shared" ref="O233:O264" si="383">IF(N233&gt;=1,"Yes","No")</f>
        <v>Yes</v>
      </c>
      <c r="P233" s="107">
        <v>0</v>
      </c>
      <c r="Q233" s="108" t="str">
        <f t="shared" ref="Q233:Q264" si="384">IF(P233&gt;=1,"Yes","No")</f>
        <v>No</v>
      </c>
      <c r="R233" s="103">
        <v>0</v>
      </c>
      <c r="S233" s="10" t="str">
        <f t="shared" ref="S233:S264" si="385">IF(R233&gt;=1,"Yes","No")</f>
        <v>No</v>
      </c>
      <c r="T233" s="28" t="str">
        <f t="shared" si="375"/>
        <v>115 VDC</v>
      </c>
      <c r="U233" s="298"/>
      <c r="V233" s="140">
        <f t="shared" si="376"/>
        <v>1</v>
      </c>
      <c r="W233" s="274"/>
      <c r="X233" s="34">
        <v>0</v>
      </c>
      <c r="Y233" s="34">
        <v>1</v>
      </c>
      <c r="Z233" s="34">
        <v>0</v>
      </c>
      <c r="AA233" s="34"/>
      <c r="AB233" s="34"/>
      <c r="AC233" s="34" t="s">
        <v>106</v>
      </c>
      <c r="AD233" s="34" t="s">
        <v>107</v>
      </c>
      <c r="AE233" s="34" t="s">
        <v>108</v>
      </c>
      <c r="AF233" s="34" t="s">
        <v>109</v>
      </c>
      <c r="AG233" s="34">
        <v>1004054733</v>
      </c>
      <c r="AH233" s="140" t="str">
        <f t="shared" si="377"/>
        <v>GVV-Concord-OP</v>
      </c>
      <c r="AI233" s="274"/>
      <c r="AJ233" s="140" t="str">
        <f t="shared" si="378"/>
        <v>WP</v>
      </c>
      <c r="AK233" s="274"/>
      <c r="AL233" s="140" t="str">
        <f t="shared" si="379"/>
        <v>Operational</v>
      </c>
      <c r="AM233" s="278"/>
      <c r="AN233" s="140" t="str">
        <f t="shared" si="380"/>
        <v>Toronto</v>
      </c>
      <c r="AO233" s="83" t="s">
        <v>7</v>
      </c>
      <c r="AP233" s="274"/>
      <c r="AQ233" s="140" t="str">
        <f t="shared" si="381"/>
        <v>Storage</v>
      </c>
      <c r="AR233" s="307"/>
    </row>
    <row r="234" spans="1:44" s="1" customFormat="1" ht="15" thickTop="1" x14ac:dyDescent="0.3">
      <c r="A234" s="282">
        <f t="shared" ref="A234" si="386">IF(AM234="Operational",1,0)</f>
        <v>1</v>
      </c>
      <c r="B234" s="26" t="str">
        <f>C234</f>
        <v>ETS 14</v>
      </c>
      <c r="C234" s="271" t="s">
        <v>57</v>
      </c>
      <c r="D234" s="29" t="s">
        <v>22</v>
      </c>
      <c r="E234" s="30">
        <v>1</v>
      </c>
      <c r="F234" s="30" t="s">
        <v>14</v>
      </c>
      <c r="G234" s="30">
        <v>0</v>
      </c>
      <c r="H234" s="30">
        <v>1</v>
      </c>
      <c r="I234" s="42"/>
      <c r="J234" s="88" t="s">
        <v>99</v>
      </c>
      <c r="K234" s="88" t="s">
        <v>145</v>
      </c>
      <c r="L234" s="89">
        <v>0</v>
      </c>
      <c r="M234" s="90" t="str">
        <f t="shared" si="382"/>
        <v>No</v>
      </c>
      <c r="N234" s="91">
        <v>1</v>
      </c>
      <c r="O234" s="92" t="str">
        <f t="shared" si="383"/>
        <v>Yes</v>
      </c>
      <c r="P234" s="93">
        <v>6</v>
      </c>
      <c r="Q234" s="94" t="str">
        <f t="shared" si="384"/>
        <v>Yes</v>
      </c>
      <c r="R234" s="89">
        <v>0</v>
      </c>
      <c r="S234" s="9" t="str">
        <f t="shared" si="385"/>
        <v>No</v>
      </c>
      <c r="T234" s="26" t="str">
        <f>U234</f>
        <v>115 VDC</v>
      </c>
      <c r="U234" s="296" t="s">
        <v>136</v>
      </c>
      <c r="V234" s="135">
        <f>W234</f>
        <v>1</v>
      </c>
      <c r="W234" s="272">
        <v>1</v>
      </c>
      <c r="X234" s="30">
        <v>0</v>
      </c>
      <c r="Y234" s="30">
        <v>1</v>
      </c>
      <c r="Z234" s="30">
        <v>0</v>
      </c>
      <c r="AA234" s="30"/>
      <c r="AB234" s="30"/>
      <c r="AC234" s="30" t="s">
        <v>106</v>
      </c>
      <c r="AD234" s="30" t="s">
        <v>110</v>
      </c>
      <c r="AE234" s="30" t="s">
        <v>108</v>
      </c>
      <c r="AF234" s="30" t="s">
        <v>111</v>
      </c>
      <c r="AG234" s="30">
        <v>691012247</v>
      </c>
      <c r="AH234" s="135" t="str">
        <f>AI234</f>
        <v>GVV-Concord-OP</v>
      </c>
      <c r="AI234" s="272" t="s">
        <v>42</v>
      </c>
      <c r="AJ234" s="135" t="str">
        <f>AK234</f>
        <v>WP</v>
      </c>
      <c r="AK234" s="272" t="s">
        <v>9</v>
      </c>
      <c r="AL234" s="135" t="str">
        <f>AM234</f>
        <v>Operational</v>
      </c>
      <c r="AM234" s="276" t="s">
        <v>5</v>
      </c>
      <c r="AN234" s="135" t="str">
        <f>AO234</f>
        <v>Toronto</v>
      </c>
      <c r="AO234" s="136" t="s">
        <v>7</v>
      </c>
      <c r="AP234" s="272" t="s">
        <v>8</v>
      </c>
      <c r="AQ234" s="135" t="str">
        <f>AR234</f>
        <v>ECH-07</v>
      </c>
      <c r="AR234" s="305" t="s">
        <v>175</v>
      </c>
    </row>
    <row r="235" spans="1:44" s="2" customFormat="1" x14ac:dyDescent="0.3">
      <c r="A235" s="283"/>
      <c r="B235" s="28" t="str">
        <f>B234</f>
        <v>ETS 14</v>
      </c>
      <c r="C235" s="271" t="s">
        <v>57</v>
      </c>
      <c r="D235" s="38" t="s">
        <v>23</v>
      </c>
      <c r="E235" s="39">
        <v>1</v>
      </c>
      <c r="F235" s="39" t="s">
        <v>14</v>
      </c>
      <c r="G235" s="39">
        <v>0</v>
      </c>
      <c r="H235" s="39">
        <v>0</v>
      </c>
      <c r="I235" s="43"/>
      <c r="J235" s="95" t="s">
        <v>99</v>
      </c>
      <c r="K235" s="95" t="s">
        <v>145</v>
      </c>
      <c r="L235" s="96">
        <v>0</v>
      </c>
      <c r="M235" s="97" t="str">
        <f t="shared" si="382"/>
        <v>No</v>
      </c>
      <c r="N235" s="98">
        <v>1</v>
      </c>
      <c r="O235" s="99" t="str">
        <f t="shared" si="383"/>
        <v>Yes</v>
      </c>
      <c r="P235" s="100">
        <v>0</v>
      </c>
      <c r="Q235" s="101" t="str">
        <f t="shared" si="384"/>
        <v>No</v>
      </c>
      <c r="R235" s="96">
        <v>0</v>
      </c>
      <c r="S235" s="11" t="str">
        <f t="shared" si="385"/>
        <v>No</v>
      </c>
      <c r="T235" s="28" t="str">
        <f>T234</f>
        <v>115 VDC</v>
      </c>
      <c r="U235" s="297"/>
      <c r="V235" s="140">
        <f>V234</f>
        <v>1</v>
      </c>
      <c r="W235" s="273"/>
      <c r="X235" s="39">
        <v>0</v>
      </c>
      <c r="Y235" s="39">
        <v>1</v>
      </c>
      <c r="Z235" s="39">
        <v>0</v>
      </c>
      <c r="AA235" s="39"/>
      <c r="AB235" s="39"/>
      <c r="AC235" s="39" t="s">
        <v>106</v>
      </c>
      <c r="AD235" s="39" t="s">
        <v>110</v>
      </c>
      <c r="AE235" s="39" t="s">
        <v>108</v>
      </c>
      <c r="AF235" s="39" t="s">
        <v>111</v>
      </c>
      <c r="AG235" s="39">
        <v>691012247</v>
      </c>
      <c r="AH235" s="140" t="str">
        <f>AH234</f>
        <v>GVV-Concord-OP</v>
      </c>
      <c r="AI235" s="273"/>
      <c r="AJ235" s="140" t="str">
        <f>AJ234</f>
        <v>WP</v>
      </c>
      <c r="AK235" s="273"/>
      <c r="AL235" s="140" t="str">
        <f>AL234</f>
        <v>Operational</v>
      </c>
      <c r="AM235" s="277"/>
      <c r="AN235" s="140" t="str">
        <f>AN234</f>
        <v>Toronto</v>
      </c>
      <c r="AO235" s="82" t="s">
        <v>7</v>
      </c>
      <c r="AP235" s="273"/>
      <c r="AQ235" s="140" t="str">
        <f>AQ234</f>
        <v>ECH-07</v>
      </c>
      <c r="AR235" s="306"/>
    </row>
    <row r="236" spans="1:44" s="2" customFormat="1" x14ac:dyDescent="0.3">
      <c r="A236" s="283"/>
      <c r="B236" s="28" t="str">
        <f t="shared" ref="B236:B239" si="387">B235</f>
        <v>ETS 14</v>
      </c>
      <c r="C236" s="271" t="s">
        <v>57</v>
      </c>
      <c r="D236" s="38" t="s">
        <v>24</v>
      </c>
      <c r="E236" s="39">
        <v>1</v>
      </c>
      <c r="F236" s="39" t="s">
        <v>14</v>
      </c>
      <c r="G236" s="39">
        <v>0</v>
      </c>
      <c r="H236" s="39">
        <v>0</v>
      </c>
      <c r="I236" s="43"/>
      <c r="J236" s="95" t="s">
        <v>99</v>
      </c>
      <c r="K236" s="95" t="s">
        <v>145</v>
      </c>
      <c r="L236" s="96">
        <v>0</v>
      </c>
      <c r="M236" s="97" t="str">
        <f t="shared" si="382"/>
        <v>No</v>
      </c>
      <c r="N236" s="98">
        <v>1</v>
      </c>
      <c r="O236" s="99" t="str">
        <f t="shared" si="383"/>
        <v>Yes</v>
      </c>
      <c r="P236" s="100">
        <v>0</v>
      </c>
      <c r="Q236" s="101" t="str">
        <f t="shared" si="384"/>
        <v>No</v>
      </c>
      <c r="R236" s="96">
        <v>0</v>
      </c>
      <c r="S236" s="11" t="str">
        <f t="shared" si="385"/>
        <v>No</v>
      </c>
      <c r="T236" s="28" t="str">
        <f t="shared" ref="T236:T239" si="388">T235</f>
        <v>115 VDC</v>
      </c>
      <c r="U236" s="297"/>
      <c r="V236" s="140">
        <f t="shared" ref="V236:V239" si="389">V235</f>
        <v>1</v>
      </c>
      <c r="W236" s="273"/>
      <c r="X236" s="39">
        <v>0</v>
      </c>
      <c r="Y236" s="39">
        <v>1</v>
      </c>
      <c r="Z236" s="39">
        <v>0</v>
      </c>
      <c r="AA236" s="39"/>
      <c r="AB236" s="39"/>
      <c r="AC236" s="39" t="s">
        <v>106</v>
      </c>
      <c r="AD236" s="39" t="s">
        <v>110</v>
      </c>
      <c r="AE236" s="39" t="s">
        <v>108</v>
      </c>
      <c r="AF236" s="39" t="s">
        <v>111</v>
      </c>
      <c r="AG236" s="39">
        <v>691012247</v>
      </c>
      <c r="AH236" s="140" t="str">
        <f t="shared" ref="AH236:AH239" si="390">AH235</f>
        <v>GVV-Concord-OP</v>
      </c>
      <c r="AI236" s="273"/>
      <c r="AJ236" s="140" t="str">
        <f t="shared" ref="AJ236:AJ239" si="391">AJ235</f>
        <v>WP</v>
      </c>
      <c r="AK236" s="273"/>
      <c r="AL236" s="140" t="str">
        <f t="shared" ref="AL236:AL239" si="392">AL235</f>
        <v>Operational</v>
      </c>
      <c r="AM236" s="277"/>
      <c r="AN236" s="140" t="str">
        <f t="shared" ref="AN236:AN239" si="393">AN235</f>
        <v>Toronto</v>
      </c>
      <c r="AO236" s="82" t="s">
        <v>7</v>
      </c>
      <c r="AP236" s="273"/>
      <c r="AQ236" s="140" t="str">
        <f t="shared" ref="AQ236:AQ239" si="394">AQ235</f>
        <v>ECH-07</v>
      </c>
      <c r="AR236" s="306"/>
    </row>
    <row r="237" spans="1:44" s="2" customFormat="1" x14ac:dyDescent="0.3">
      <c r="A237" s="283"/>
      <c r="B237" s="28" t="str">
        <f t="shared" si="387"/>
        <v>ETS 14</v>
      </c>
      <c r="C237" s="271" t="s">
        <v>57</v>
      </c>
      <c r="D237" s="38" t="s">
        <v>25</v>
      </c>
      <c r="E237" s="39">
        <v>1</v>
      </c>
      <c r="F237" s="39" t="s">
        <v>14</v>
      </c>
      <c r="G237" s="39">
        <v>0</v>
      </c>
      <c r="H237" s="39">
        <v>0</v>
      </c>
      <c r="I237" s="43"/>
      <c r="J237" s="95" t="s">
        <v>99</v>
      </c>
      <c r="K237" s="95" t="s">
        <v>145</v>
      </c>
      <c r="L237" s="96">
        <v>0</v>
      </c>
      <c r="M237" s="97" t="str">
        <f t="shared" si="382"/>
        <v>No</v>
      </c>
      <c r="N237" s="98">
        <v>1</v>
      </c>
      <c r="O237" s="99" t="str">
        <f t="shared" si="383"/>
        <v>Yes</v>
      </c>
      <c r="P237" s="100">
        <v>0</v>
      </c>
      <c r="Q237" s="101" t="str">
        <f t="shared" si="384"/>
        <v>No</v>
      </c>
      <c r="R237" s="96">
        <v>0</v>
      </c>
      <c r="S237" s="11" t="str">
        <f t="shared" si="385"/>
        <v>No</v>
      </c>
      <c r="T237" s="28" t="str">
        <f t="shared" si="388"/>
        <v>115 VDC</v>
      </c>
      <c r="U237" s="297"/>
      <c r="V237" s="140">
        <f t="shared" si="389"/>
        <v>1</v>
      </c>
      <c r="W237" s="273"/>
      <c r="X237" s="39">
        <v>0</v>
      </c>
      <c r="Y237" s="39">
        <v>1</v>
      </c>
      <c r="Z237" s="39">
        <v>0</v>
      </c>
      <c r="AA237" s="39"/>
      <c r="AB237" s="39"/>
      <c r="AC237" s="39" t="s">
        <v>106</v>
      </c>
      <c r="AD237" s="39" t="s">
        <v>110</v>
      </c>
      <c r="AE237" s="39" t="s">
        <v>108</v>
      </c>
      <c r="AF237" s="39" t="s">
        <v>111</v>
      </c>
      <c r="AG237" s="39">
        <v>691012247</v>
      </c>
      <c r="AH237" s="140" t="str">
        <f t="shared" si="390"/>
        <v>GVV-Concord-OP</v>
      </c>
      <c r="AI237" s="273"/>
      <c r="AJ237" s="140" t="str">
        <f t="shared" si="391"/>
        <v>WP</v>
      </c>
      <c r="AK237" s="273"/>
      <c r="AL237" s="140" t="str">
        <f t="shared" si="392"/>
        <v>Operational</v>
      </c>
      <c r="AM237" s="277"/>
      <c r="AN237" s="140" t="str">
        <f t="shared" si="393"/>
        <v>Toronto</v>
      </c>
      <c r="AO237" s="82" t="s">
        <v>7</v>
      </c>
      <c r="AP237" s="273"/>
      <c r="AQ237" s="140" t="str">
        <f t="shared" si="394"/>
        <v>ECH-07</v>
      </c>
      <c r="AR237" s="306"/>
    </row>
    <row r="238" spans="1:44" s="2" customFormat="1" x14ac:dyDescent="0.3">
      <c r="A238" s="283"/>
      <c r="B238" s="28" t="str">
        <f t="shared" si="387"/>
        <v>ETS 14</v>
      </c>
      <c r="C238" s="271" t="s">
        <v>57</v>
      </c>
      <c r="D238" s="38" t="s">
        <v>31</v>
      </c>
      <c r="E238" s="39">
        <v>1</v>
      </c>
      <c r="F238" s="39" t="s">
        <v>14</v>
      </c>
      <c r="G238" s="39">
        <v>0</v>
      </c>
      <c r="H238" s="39">
        <v>0</v>
      </c>
      <c r="I238" s="43"/>
      <c r="J238" s="95" t="s">
        <v>99</v>
      </c>
      <c r="K238" s="95" t="s">
        <v>145</v>
      </c>
      <c r="L238" s="96">
        <v>0</v>
      </c>
      <c r="M238" s="97" t="str">
        <f t="shared" si="382"/>
        <v>No</v>
      </c>
      <c r="N238" s="98">
        <v>1</v>
      </c>
      <c r="O238" s="99" t="str">
        <f t="shared" si="383"/>
        <v>Yes</v>
      </c>
      <c r="P238" s="100">
        <v>0</v>
      </c>
      <c r="Q238" s="101" t="str">
        <f t="shared" si="384"/>
        <v>No</v>
      </c>
      <c r="R238" s="96">
        <v>0</v>
      </c>
      <c r="S238" s="11" t="str">
        <f t="shared" si="385"/>
        <v>No</v>
      </c>
      <c r="T238" s="28" t="str">
        <f t="shared" si="388"/>
        <v>115 VDC</v>
      </c>
      <c r="U238" s="297"/>
      <c r="V238" s="140">
        <f t="shared" si="389"/>
        <v>1</v>
      </c>
      <c r="W238" s="273"/>
      <c r="X238" s="39">
        <v>0</v>
      </c>
      <c r="Y238" s="39">
        <v>1</v>
      </c>
      <c r="Z238" s="39">
        <v>0</v>
      </c>
      <c r="AA238" s="39"/>
      <c r="AB238" s="39"/>
      <c r="AC238" s="39" t="s">
        <v>106</v>
      </c>
      <c r="AD238" s="39" t="s">
        <v>110</v>
      </c>
      <c r="AE238" s="39" t="s">
        <v>108</v>
      </c>
      <c r="AF238" s="39" t="s">
        <v>111</v>
      </c>
      <c r="AG238" s="39">
        <v>691012247</v>
      </c>
      <c r="AH238" s="140" t="str">
        <f t="shared" si="390"/>
        <v>GVV-Concord-OP</v>
      </c>
      <c r="AI238" s="273"/>
      <c r="AJ238" s="140" t="str">
        <f t="shared" si="391"/>
        <v>WP</v>
      </c>
      <c r="AK238" s="273"/>
      <c r="AL238" s="140" t="str">
        <f t="shared" si="392"/>
        <v>Operational</v>
      </c>
      <c r="AM238" s="277"/>
      <c r="AN238" s="140" t="str">
        <f t="shared" si="393"/>
        <v>Toronto</v>
      </c>
      <c r="AO238" s="82" t="s">
        <v>7</v>
      </c>
      <c r="AP238" s="273"/>
      <c r="AQ238" s="140" t="str">
        <f t="shared" si="394"/>
        <v>ECH-07</v>
      </c>
      <c r="AR238" s="306"/>
    </row>
    <row r="239" spans="1:44" s="3" customFormat="1" ht="15" thickBot="1" x14ac:dyDescent="0.35">
      <c r="A239" s="284"/>
      <c r="B239" s="28" t="str">
        <f t="shared" si="387"/>
        <v>ETS 14</v>
      </c>
      <c r="C239" s="271" t="s">
        <v>57</v>
      </c>
      <c r="D239" s="33" t="s">
        <v>32</v>
      </c>
      <c r="E239" s="34">
        <v>1</v>
      </c>
      <c r="F239" s="34" t="s">
        <v>14</v>
      </c>
      <c r="G239" s="34">
        <v>0</v>
      </c>
      <c r="H239" s="34">
        <v>0</v>
      </c>
      <c r="I239" s="44"/>
      <c r="J239" s="102" t="s">
        <v>99</v>
      </c>
      <c r="K239" s="102" t="s">
        <v>145</v>
      </c>
      <c r="L239" s="103">
        <v>0</v>
      </c>
      <c r="M239" s="104" t="str">
        <f t="shared" si="382"/>
        <v>No</v>
      </c>
      <c r="N239" s="105">
        <v>1</v>
      </c>
      <c r="O239" s="106" t="str">
        <f t="shared" si="383"/>
        <v>Yes</v>
      </c>
      <c r="P239" s="100">
        <v>0</v>
      </c>
      <c r="Q239" s="108" t="str">
        <f t="shared" si="384"/>
        <v>No</v>
      </c>
      <c r="R239" s="103">
        <v>0</v>
      </c>
      <c r="S239" s="10" t="str">
        <f t="shared" si="385"/>
        <v>No</v>
      </c>
      <c r="T239" s="28" t="str">
        <f t="shared" si="388"/>
        <v>115 VDC</v>
      </c>
      <c r="U239" s="298"/>
      <c r="V239" s="140">
        <f t="shared" si="389"/>
        <v>1</v>
      </c>
      <c r="W239" s="274"/>
      <c r="X239" s="34">
        <v>0</v>
      </c>
      <c r="Y239" s="34">
        <v>1</v>
      </c>
      <c r="Z239" s="34">
        <v>0</v>
      </c>
      <c r="AA239" s="34"/>
      <c r="AB239" s="34"/>
      <c r="AC239" s="34" t="s">
        <v>106</v>
      </c>
      <c r="AD239" s="34" t="s">
        <v>110</v>
      </c>
      <c r="AE239" s="34" t="s">
        <v>108</v>
      </c>
      <c r="AF239" s="34" t="s">
        <v>111</v>
      </c>
      <c r="AG239" s="34">
        <v>691012247</v>
      </c>
      <c r="AH239" s="140" t="str">
        <f t="shared" si="390"/>
        <v>GVV-Concord-OP</v>
      </c>
      <c r="AI239" s="274"/>
      <c r="AJ239" s="140" t="str">
        <f t="shared" si="391"/>
        <v>WP</v>
      </c>
      <c r="AK239" s="274"/>
      <c r="AL239" s="140" t="str">
        <f t="shared" si="392"/>
        <v>Operational</v>
      </c>
      <c r="AM239" s="278"/>
      <c r="AN239" s="140" t="str">
        <f t="shared" si="393"/>
        <v>Toronto</v>
      </c>
      <c r="AO239" s="83" t="s">
        <v>7</v>
      </c>
      <c r="AP239" s="274"/>
      <c r="AQ239" s="140" t="str">
        <f t="shared" si="394"/>
        <v>ECH-07</v>
      </c>
      <c r="AR239" s="307"/>
    </row>
    <row r="240" spans="1:44" s="1" customFormat="1" ht="15.6" thickTop="1" thickBot="1" x14ac:dyDescent="0.35">
      <c r="A240" s="26">
        <f t="shared" ref="A240:A262" si="395">IF(AM240="Operational",1,0)</f>
        <v>1</v>
      </c>
      <c r="B240" s="26" t="str">
        <f>C240</f>
        <v>ETS 15</v>
      </c>
      <c r="C240" s="271" t="s">
        <v>58</v>
      </c>
      <c r="D240" s="29" t="s">
        <v>22</v>
      </c>
      <c r="E240" s="30">
        <v>1</v>
      </c>
      <c r="F240" s="30" t="s">
        <v>14</v>
      </c>
      <c r="G240" s="30">
        <v>0</v>
      </c>
      <c r="H240" s="30">
        <v>1</v>
      </c>
      <c r="I240" s="53"/>
      <c r="J240" s="88" t="s">
        <v>94</v>
      </c>
      <c r="K240" s="88" t="s">
        <v>121</v>
      </c>
      <c r="L240" s="89">
        <v>0</v>
      </c>
      <c r="M240" s="90" t="str">
        <f t="shared" si="382"/>
        <v>No</v>
      </c>
      <c r="N240" s="91">
        <v>0</v>
      </c>
      <c r="O240" s="92" t="str">
        <f t="shared" si="383"/>
        <v>No</v>
      </c>
      <c r="P240" s="93">
        <v>0</v>
      </c>
      <c r="Q240" s="94" t="str">
        <f t="shared" si="384"/>
        <v>No</v>
      </c>
      <c r="R240" s="89">
        <v>1</v>
      </c>
      <c r="S240" s="9" t="str">
        <f t="shared" si="385"/>
        <v>Yes</v>
      </c>
      <c r="T240" s="26" t="str">
        <f>U240</f>
        <v>115 VDC</v>
      </c>
      <c r="U240" s="170" t="s">
        <v>136</v>
      </c>
      <c r="V240" s="135">
        <f>W240</f>
        <v>1</v>
      </c>
      <c r="W240" s="65">
        <v>1</v>
      </c>
      <c r="X240" s="30">
        <v>1</v>
      </c>
      <c r="Y240" s="30">
        <v>0</v>
      </c>
      <c r="Z240" s="30">
        <v>0</v>
      </c>
      <c r="AA240" s="30"/>
      <c r="AB240" s="30"/>
      <c r="AC240" s="177" t="s">
        <v>129</v>
      </c>
      <c r="AD240" s="178" t="s">
        <v>149</v>
      </c>
      <c r="AE240" s="177" t="s">
        <v>124</v>
      </c>
      <c r="AF240" s="178" t="s">
        <v>150</v>
      </c>
      <c r="AG240" s="136">
        <v>1005705829</v>
      </c>
      <c r="AH240" s="135" t="str">
        <f>AI240</f>
        <v>GVV-Concord-OP</v>
      </c>
      <c r="AI240" s="61" t="s">
        <v>42</v>
      </c>
      <c r="AJ240" s="135" t="str">
        <f>AK240</f>
        <v>eCF</v>
      </c>
      <c r="AK240" s="61" t="s">
        <v>66</v>
      </c>
      <c r="AL240" s="135" t="str">
        <f>AM240</f>
        <v>Operational</v>
      </c>
      <c r="AM240" s="197" t="s">
        <v>5</v>
      </c>
      <c r="AN240" s="135" t="str">
        <f>AO240</f>
        <v>Toronto</v>
      </c>
      <c r="AO240" s="30" t="s">
        <v>7</v>
      </c>
      <c r="AP240" s="61" t="s">
        <v>8</v>
      </c>
      <c r="AQ240" s="135" t="str">
        <f>AR240</f>
        <v>Storage</v>
      </c>
      <c r="AR240" s="201" t="s">
        <v>92</v>
      </c>
    </row>
    <row r="241" spans="1:44" s="1" customFormat="1" ht="15.6" thickTop="1" thickBot="1" x14ac:dyDescent="0.35">
      <c r="A241" s="26">
        <f t="shared" si="395"/>
        <v>1</v>
      </c>
      <c r="B241" s="26" t="str">
        <f>C241</f>
        <v>ETS 16</v>
      </c>
      <c r="C241" s="271" t="s">
        <v>59</v>
      </c>
      <c r="D241" s="29" t="s">
        <v>22</v>
      </c>
      <c r="E241" s="30">
        <v>1</v>
      </c>
      <c r="F241" s="30" t="s">
        <v>14</v>
      </c>
      <c r="G241" s="30">
        <v>0</v>
      </c>
      <c r="H241" s="30">
        <v>1</v>
      </c>
      <c r="I241" s="53"/>
      <c r="J241" s="88" t="s">
        <v>94</v>
      </c>
      <c r="K241" s="88" t="s">
        <v>145</v>
      </c>
      <c r="L241" s="89">
        <v>0</v>
      </c>
      <c r="M241" s="90" t="str">
        <f t="shared" si="382"/>
        <v>No</v>
      </c>
      <c r="N241" s="91">
        <v>0</v>
      </c>
      <c r="O241" s="92" t="str">
        <f t="shared" si="383"/>
        <v>No</v>
      </c>
      <c r="P241" s="93">
        <v>1</v>
      </c>
      <c r="Q241" s="94" t="str">
        <f t="shared" si="384"/>
        <v>Yes</v>
      </c>
      <c r="R241" s="89">
        <v>0</v>
      </c>
      <c r="S241" s="9" t="str">
        <f t="shared" si="385"/>
        <v>No</v>
      </c>
      <c r="T241" s="26" t="str">
        <f>U241</f>
        <v>115 VDC</v>
      </c>
      <c r="U241" s="170" t="s">
        <v>136</v>
      </c>
      <c r="V241" s="135">
        <f>W241</f>
        <v>1</v>
      </c>
      <c r="W241" s="65">
        <v>1</v>
      </c>
      <c r="X241" s="30">
        <v>1</v>
      </c>
      <c r="Y241" s="30">
        <v>1</v>
      </c>
      <c r="Z241" s="30">
        <v>0</v>
      </c>
      <c r="AA241" s="30" t="s">
        <v>148</v>
      </c>
      <c r="AB241" s="30"/>
      <c r="AC241" s="179" t="s">
        <v>106</v>
      </c>
      <c r="AD241" s="180" t="s">
        <v>146</v>
      </c>
      <c r="AE241" s="181" t="s">
        <v>108</v>
      </c>
      <c r="AF241" s="180" t="s">
        <v>147</v>
      </c>
      <c r="AG241" s="182">
        <v>128890339</v>
      </c>
      <c r="AH241" s="135" t="str">
        <f>AI241</f>
        <v>GVV-Concord-OP</v>
      </c>
      <c r="AI241" s="61" t="s">
        <v>42</v>
      </c>
      <c r="AJ241" s="135" t="str">
        <f>AK241</f>
        <v>OP</v>
      </c>
      <c r="AK241" s="61" t="s">
        <v>43</v>
      </c>
      <c r="AL241" s="135" t="str">
        <f>AM241</f>
        <v>Operational</v>
      </c>
      <c r="AM241" s="197" t="s">
        <v>5</v>
      </c>
      <c r="AN241" s="135" t="str">
        <f>AO241</f>
        <v>Toronto</v>
      </c>
      <c r="AO241" s="30" t="s">
        <v>7</v>
      </c>
      <c r="AP241" s="61" t="s">
        <v>8</v>
      </c>
      <c r="AQ241" s="135" t="str">
        <f>AR241</f>
        <v>Julabo J2/J3</v>
      </c>
      <c r="AR241" s="201" t="s">
        <v>151</v>
      </c>
    </row>
    <row r="242" spans="1:44" s="1" customFormat="1" ht="15.6" thickTop="1" thickBot="1" x14ac:dyDescent="0.35">
      <c r="A242" s="26">
        <f t="shared" si="395"/>
        <v>1</v>
      </c>
      <c r="B242" s="26" t="str">
        <f>C242</f>
        <v>ETS 17</v>
      </c>
      <c r="C242" s="271" t="s">
        <v>60</v>
      </c>
      <c r="D242" s="29" t="s">
        <v>22</v>
      </c>
      <c r="E242" s="30">
        <v>1</v>
      </c>
      <c r="F242" s="30" t="s">
        <v>14</v>
      </c>
      <c r="G242" s="30">
        <v>0</v>
      </c>
      <c r="H242" s="30">
        <v>1</v>
      </c>
      <c r="I242" s="53"/>
      <c r="J242" s="88" t="s">
        <v>94</v>
      </c>
      <c r="K242" s="88" t="s">
        <v>145</v>
      </c>
      <c r="L242" s="89">
        <v>0</v>
      </c>
      <c r="M242" s="90" t="str">
        <f t="shared" si="382"/>
        <v>No</v>
      </c>
      <c r="N242" s="91">
        <v>0</v>
      </c>
      <c r="O242" s="92" t="str">
        <f t="shared" si="383"/>
        <v>No</v>
      </c>
      <c r="P242" s="93">
        <v>1</v>
      </c>
      <c r="Q242" s="94" t="str">
        <f t="shared" si="384"/>
        <v>Yes</v>
      </c>
      <c r="R242" s="89">
        <v>0</v>
      </c>
      <c r="S242" s="9" t="str">
        <f t="shared" si="385"/>
        <v>No</v>
      </c>
      <c r="T242" s="26" t="str">
        <f>U242</f>
        <v>115 VDC</v>
      </c>
      <c r="U242" s="170" t="s">
        <v>136</v>
      </c>
      <c r="V242" s="135">
        <f>W242</f>
        <v>1</v>
      </c>
      <c r="W242" s="65">
        <v>1</v>
      </c>
      <c r="X242" s="30">
        <v>1</v>
      </c>
      <c r="Y242" s="30">
        <v>1</v>
      </c>
      <c r="Z242" s="30">
        <v>0</v>
      </c>
      <c r="AA242" s="30"/>
      <c r="AB242" s="30"/>
      <c r="AC242" s="183" t="s">
        <v>106</v>
      </c>
      <c r="AD242" s="180" t="s">
        <v>152</v>
      </c>
      <c r="AE242" s="181" t="s">
        <v>108</v>
      </c>
      <c r="AF242" s="180" t="s">
        <v>153</v>
      </c>
      <c r="AG242" s="182"/>
      <c r="AH242" s="135" t="str">
        <f>AI242</f>
        <v>GVV-Concord-OP</v>
      </c>
      <c r="AI242" s="61" t="s">
        <v>42</v>
      </c>
      <c r="AJ242" s="135" t="str">
        <f>AK242</f>
        <v>OP</v>
      </c>
      <c r="AK242" s="61" t="s">
        <v>43</v>
      </c>
      <c r="AL242" s="135" t="str">
        <f>AM242</f>
        <v>Operational</v>
      </c>
      <c r="AM242" s="197" t="s">
        <v>5</v>
      </c>
      <c r="AN242" s="135" t="str">
        <f>AO242</f>
        <v>Toronto</v>
      </c>
      <c r="AO242" s="30" t="s">
        <v>7</v>
      </c>
      <c r="AP242" s="61" t="s">
        <v>8</v>
      </c>
      <c r="AQ242" s="135" t="str">
        <f>AR242</f>
        <v>Storage</v>
      </c>
      <c r="AR242" s="201" t="s">
        <v>92</v>
      </c>
    </row>
    <row r="243" spans="1:44" s="1" customFormat="1" ht="15.6" thickTop="1" thickBot="1" x14ac:dyDescent="0.35">
      <c r="A243" s="26">
        <f t="shared" si="395"/>
        <v>1</v>
      </c>
      <c r="B243" s="26" t="str">
        <f>C243</f>
        <v>ETS 18</v>
      </c>
      <c r="C243" s="271" t="s">
        <v>61</v>
      </c>
      <c r="D243" s="29" t="s">
        <v>22</v>
      </c>
      <c r="E243" s="30">
        <v>1</v>
      </c>
      <c r="F243" s="30" t="s">
        <v>14</v>
      </c>
      <c r="G243" s="30">
        <v>0</v>
      </c>
      <c r="H243" s="30">
        <v>1</v>
      </c>
      <c r="I243" s="53"/>
      <c r="J243" s="88" t="s">
        <v>94</v>
      </c>
      <c r="K243" s="88" t="s">
        <v>145</v>
      </c>
      <c r="L243" s="89">
        <v>0</v>
      </c>
      <c r="M243" s="90" t="str">
        <f t="shared" si="382"/>
        <v>No</v>
      </c>
      <c r="N243" s="91">
        <v>0</v>
      </c>
      <c r="O243" s="92" t="str">
        <f t="shared" si="383"/>
        <v>No</v>
      </c>
      <c r="P243" s="93">
        <v>1</v>
      </c>
      <c r="Q243" s="94" t="str">
        <f t="shared" si="384"/>
        <v>Yes</v>
      </c>
      <c r="R243" s="89">
        <v>0</v>
      </c>
      <c r="S243" s="9" t="str">
        <f t="shared" si="385"/>
        <v>No</v>
      </c>
      <c r="T243" s="26" t="str">
        <f>U243</f>
        <v>115 VDC</v>
      </c>
      <c r="U243" s="168" t="s">
        <v>136</v>
      </c>
      <c r="V243" s="135">
        <f>W243</f>
        <v>1</v>
      </c>
      <c r="W243" s="61">
        <v>1</v>
      </c>
      <c r="X243" s="30">
        <v>0</v>
      </c>
      <c r="Y243" s="30">
        <v>1</v>
      </c>
      <c r="Z243" s="30">
        <v>0</v>
      </c>
      <c r="AA243" s="30"/>
      <c r="AB243" s="30"/>
      <c r="AC243" s="183" t="s">
        <v>106</v>
      </c>
      <c r="AD243" s="180" t="s">
        <v>154</v>
      </c>
      <c r="AE243" s="181" t="s">
        <v>108</v>
      </c>
      <c r="AF243" s="180" t="s">
        <v>155</v>
      </c>
      <c r="AG243" s="46">
        <v>308547186</v>
      </c>
      <c r="AH243" s="135" t="str">
        <f>AI243</f>
        <v>GVV-Concord-OP</v>
      </c>
      <c r="AI243" s="61" t="s">
        <v>42</v>
      </c>
      <c r="AJ243" s="135" t="str">
        <f>AK243</f>
        <v>OP</v>
      </c>
      <c r="AK243" s="61" t="s">
        <v>43</v>
      </c>
      <c r="AL243" s="135" t="str">
        <f>AM243</f>
        <v>Operational</v>
      </c>
      <c r="AM243" s="197" t="s">
        <v>5</v>
      </c>
      <c r="AN243" s="135" t="str">
        <f>AO243</f>
        <v>Toronto</v>
      </c>
      <c r="AO243" s="30" t="s">
        <v>7</v>
      </c>
      <c r="AP243" s="61" t="s">
        <v>8</v>
      </c>
      <c r="AQ243" s="135" t="str">
        <f>AR243</f>
        <v>Julabo J2/J3</v>
      </c>
      <c r="AR243" s="201" t="s">
        <v>151</v>
      </c>
    </row>
    <row r="244" spans="1:44" s="1" customFormat="1" ht="15" thickTop="1" x14ac:dyDescent="0.3">
      <c r="A244" s="282">
        <f t="shared" si="395"/>
        <v>1</v>
      </c>
      <c r="B244" s="26" t="str">
        <f>C244</f>
        <v>ETS 19</v>
      </c>
      <c r="C244" s="271" t="s">
        <v>62</v>
      </c>
      <c r="D244" s="29" t="s">
        <v>22</v>
      </c>
      <c r="E244" s="30">
        <v>1</v>
      </c>
      <c r="F244" s="30" t="s">
        <v>14</v>
      </c>
      <c r="G244" s="30">
        <v>0</v>
      </c>
      <c r="H244" s="30">
        <v>1</v>
      </c>
      <c r="I244" s="42"/>
      <c r="J244" s="88" t="s">
        <v>94</v>
      </c>
      <c r="K244" s="88" t="s">
        <v>145</v>
      </c>
      <c r="L244" s="89">
        <v>0</v>
      </c>
      <c r="M244" s="90" t="str">
        <f t="shared" si="382"/>
        <v>No</v>
      </c>
      <c r="N244" s="91">
        <v>1</v>
      </c>
      <c r="O244" s="92" t="str">
        <f t="shared" si="383"/>
        <v>Yes</v>
      </c>
      <c r="P244" s="93">
        <v>0</v>
      </c>
      <c r="Q244" s="94" t="str">
        <f t="shared" si="384"/>
        <v>No</v>
      </c>
      <c r="R244" s="89">
        <v>0</v>
      </c>
      <c r="S244" s="9" t="str">
        <f t="shared" si="385"/>
        <v>No</v>
      </c>
      <c r="T244" s="26" t="str">
        <f>U244</f>
        <v>208 VAC</v>
      </c>
      <c r="U244" s="296" t="s">
        <v>93</v>
      </c>
      <c r="V244" s="135">
        <f>W244</f>
        <v>3</v>
      </c>
      <c r="W244" s="272">
        <v>3</v>
      </c>
      <c r="X244" s="30">
        <v>1</v>
      </c>
      <c r="Y244" s="30">
        <v>0</v>
      </c>
      <c r="Z244" s="30">
        <v>0</v>
      </c>
      <c r="AA244" s="30"/>
      <c r="AB244" s="30"/>
      <c r="AC244" s="46" t="s">
        <v>95</v>
      </c>
      <c r="AD244" s="46" t="s">
        <v>156</v>
      </c>
      <c r="AE244" s="184" t="s">
        <v>108</v>
      </c>
      <c r="AF244" s="176" t="s">
        <v>157</v>
      </c>
      <c r="AG244" s="30">
        <v>743321561</v>
      </c>
      <c r="AH244" s="135" t="str">
        <f>AI244</f>
        <v>GVV-Concord-OP</v>
      </c>
      <c r="AI244" s="272" t="s">
        <v>42</v>
      </c>
      <c r="AJ244" s="135" t="str">
        <f>AK244</f>
        <v>WP</v>
      </c>
      <c r="AK244" s="272" t="s">
        <v>9</v>
      </c>
      <c r="AL244" s="135" t="str">
        <f>AM244</f>
        <v>Operational</v>
      </c>
      <c r="AM244" s="276" t="s">
        <v>5</v>
      </c>
      <c r="AN244" s="135" t="str">
        <f>AO244</f>
        <v>Toronto</v>
      </c>
      <c r="AO244" s="136" t="s">
        <v>7</v>
      </c>
      <c r="AP244" s="272" t="s">
        <v>8</v>
      </c>
      <c r="AQ244" s="135" t="str">
        <f>AR244</f>
        <v>Storage</v>
      </c>
      <c r="AR244" s="305" t="s">
        <v>92</v>
      </c>
    </row>
    <row r="245" spans="1:44" s="2" customFormat="1" x14ac:dyDescent="0.3">
      <c r="A245" s="283"/>
      <c r="B245" s="28" t="str">
        <f>B244</f>
        <v>ETS 19</v>
      </c>
      <c r="C245" s="271" t="s">
        <v>62</v>
      </c>
      <c r="D245" s="38" t="s">
        <v>23</v>
      </c>
      <c r="E245" s="39">
        <v>1</v>
      </c>
      <c r="F245" s="39" t="s">
        <v>14</v>
      </c>
      <c r="G245" s="39">
        <v>0</v>
      </c>
      <c r="H245" s="39">
        <v>1</v>
      </c>
      <c r="I245" s="43"/>
      <c r="J245" s="95" t="s">
        <v>94</v>
      </c>
      <c r="K245" s="95" t="s">
        <v>145</v>
      </c>
      <c r="L245" s="96">
        <v>0</v>
      </c>
      <c r="M245" s="97" t="str">
        <f t="shared" si="382"/>
        <v>No</v>
      </c>
      <c r="N245" s="98">
        <v>1</v>
      </c>
      <c r="O245" s="99" t="str">
        <f t="shared" si="383"/>
        <v>Yes</v>
      </c>
      <c r="P245" s="100">
        <v>0</v>
      </c>
      <c r="Q245" s="101" t="str">
        <f t="shared" si="384"/>
        <v>No</v>
      </c>
      <c r="R245" s="96">
        <v>0</v>
      </c>
      <c r="S245" s="11" t="str">
        <f t="shared" si="385"/>
        <v>No</v>
      </c>
      <c r="T245" s="28" t="str">
        <f>T244</f>
        <v>208 VAC</v>
      </c>
      <c r="U245" s="297"/>
      <c r="V245" s="140">
        <f>V244</f>
        <v>3</v>
      </c>
      <c r="W245" s="273"/>
      <c r="X245" s="39">
        <v>1</v>
      </c>
      <c r="Y245" s="39">
        <v>0</v>
      </c>
      <c r="Z245" s="39">
        <v>0</v>
      </c>
      <c r="AA245" s="39"/>
      <c r="AB245" s="39"/>
      <c r="AC245" s="39" t="s">
        <v>95</v>
      </c>
      <c r="AD245" s="39" t="s">
        <v>156</v>
      </c>
      <c r="AE245" s="39" t="s">
        <v>108</v>
      </c>
      <c r="AF245" s="39" t="s">
        <v>157</v>
      </c>
      <c r="AG245" s="39">
        <v>743321561</v>
      </c>
      <c r="AH245" s="140" t="str">
        <f>AH244</f>
        <v>GVV-Concord-OP</v>
      </c>
      <c r="AI245" s="273"/>
      <c r="AJ245" s="140" t="str">
        <f>AJ244</f>
        <v>WP</v>
      </c>
      <c r="AK245" s="273"/>
      <c r="AL245" s="140" t="str">
        <f>AL244</f>
        <v>Operational</v>
      </c>
      <c r="AM245" s="277"/>
      <c r="AN245" s="140" t="str">
        <f>AN244</f>
        <v>Toronto</v>
      </c>
      <c r="AO245" s="82" t="s">
        <v>7</v>
      </c>
      <c r="AP245" s="273"/>
      <c r="AQ245" s="140" t="str">
        <f>AQ244</f>
        <v>Storage</v>
      </c>
      <c r="AR245" s="306"/>
    </row>
    <row r="246" spans="1:44" s="2" customFormat="1" x14ac:dyDescent="0.3">
      <c r="A246" s="283"/>
      <c r="B246" s="28" t="str">
        <f t="shared" ref="B246:B249" si="396">B245</f>
        <v>ETS 19</v>
      </c>
      <c r="C246" s="271" t="s">
        <v>62</v>
      </c>
      <c r="D246" s="38" t="s">
        <v>24</v>
      </c>
      <c r="E246" s="39">
        <v>1</v>
      </c>
      <c r="F246" s="39" t="s">
        <v>14</v>
      </c>
      <c r="G246" s="39">
        <v>0</v>
      </c>
      <c r="H246" s="39">
        <v>1</v>
      </c>
      <c r="I246" s="43"/>
      <c r="J246" s="95" t="s">
        <v>94</v>
      </c>
      <c r="K246" s="95" t="s">
        <v>145</v>
      </c>
      <c r="L246" s="96">
        <v>0</v>
      </c>
      <c r="M246" s="97" t="str">
        <f t="shared" si="382"/>
        <v>No</v>
      </c>
      <c r="N246" s="98">
        <v>1</v>
      </c>
      <c r="O246" s="99" t="str">
        <f t="shared" si="383"/>
        <v>Yes</v>
      </c>
      <c r="P246" s="100">
        <v>0</v>
      </c>
      <c r="Q246" s="101" t="str">
        <f t="shared" si="384"/>
        <v>No</v>
      </c>
      <c r="R246" s="96">
        <v>0</v>
      </c>
      <c r="S246" s="11" t="str">
        <f t="shared" si="385"/>
        <v>No</v>
      </c>
      <c r="T246" s="28" t="str">
        <f t="shared" ref="T246:T249" si="397">T245</f>
        <v>208 VAC</v>
      </c>
      <c r="U246" s="297"/>
      <c r="V246" s="140">
        <f t="shared" ref="V246:V249" si="398">V245</f>
        <v>3</v>
      </c>
      <c r="W246" s="273"/>
      <c r="X246" s="39">
        <v>1</v>
      </c>
      <c r="Y246" s="39">
        <v>0</v>
      </c>
      <c r="Z246" s="39">
        <v>0</v>
      </c>
      <c r="AA246" s="39"/>
      <c r="AB246" s="39"/>
      <c r="AC246" s="39" t="s">
        <v>95</v>
      </c>
      <c r="AD246" s="39" t="s">
        <v>156</v>
      </c>
      <c r="AE246" s="39" t="s">
        <v>108</v>
      </c>
      <c r="AF246" s="39" t="s">
        <v>157</v>
      </c>
      <c r="AG246" s="39">
        <v>743321561</v>
      </c>
      <c r="AH246" s="140" t="str">
        <f t="shared" ref="AH246:AH249" si="399">AH245</f>
        <v>GVV-Concord-OP</v>
      </c>
      <c r="AI246" s="273"/>
      <c r="AJ246" s="140" t="str">
        <f t="shared" ref="AJ246:AJ249" si="400">AJ245</f>
        <v>WP</v>
      </c>
      <c r="AK246" s="273"/>
      <c r="AL246" s="140" t="str">
        <f t="shared" ref="AL246:AL249" si="401">AL245</f>
        <v>Operational</v>
      </c>
      <c r="AM246" s="277"/>
      <c r="AN246" s="140" t="str">
        <f t="shared" ref="AN246:AN249" si="402">AN245</f>
        <v>Toronto</v>
      </c>
      <c r="AO246" s="82" t="s">
        <v>7</v>
      </c>
      <c r="AP246" s="273"/>
      <c r="AQ246" s="140" t="str">
        <f t="shared" ref="AQ246:AQ249" si="403">AQ245</f>
        <v>Storage</v>
      </c>
      <c r="AR246" s="306"/>
    </row>
    <row r="247" spans="1:44" s="2" customFormat="1" x14ac:dyDescent="0.3">
      <c r="A247" s="283"/>
      <c r="B247" s="28" t="str">
        <f t="shared" si="396"/>
        <v>ETS 19</v>
      </c>
      <c r="C247" s="271" t="s">
        <v>62</v>
      </c>
      <c r="D247" s="38" t="s">
        <v>25</v>
      </c>
      <c r="E247" s="39">
        <v>1</v>
      </c>
      <c r="F247" s="39" t="s">
        <v>14</v>
      </c>
      <c r="G247" s="39">
        <v>0</v>
      </c>
      <c r="H247" s="39">
        <v>1</v>
      </c>
      <c r="I247" s="43"/>
      <c r="J247" s="95" t="s">
        <v>94</v>
      </c>
      <c r="K247" s="95" t="s">
        <v>145</v>
      </c>
      <c r="L247" s="96">
        <v>0</v>
      </c>
      <c r="M247" s="97" t="str">
        <f t="shared" si="382"/>
        <v>No</v>
      </c>
      <c r="N247" s="98">
        <v>1</v>
      </c>
      <c r="O247" s="99" t="str">
        <f t="shared" si="383"/>
        <v>Yes</v>
      </c>
      <c r="P247" s="100">
        <v>0</v>
      </c>
      <c r="Q247" s="101" t="str">
        <f t="shared" si="384"/>
        <v>No</v>
      </c>
      <c r="R247" s="96">
        <v>0</v>
      </c>
      <c r="S247" s="11" t="str">
        <f t="shared" si="385"/>
        <v>No</v>
      </c>
      <c r="T247" s="28" t="str">
        <f t="shared" si="397"/>
        <v>208 VAC</v>
      </c>
      <c r="U247" s="297"/>
      <c r="V247" s="140">
        <f t="shared" si="398"/>
        <v>3</v>
      </c>
      <c r="W247" s="273"/>
      <c r="X247" s="39">
        <v>1</v>
      </c>
      <c r="Y247" s="39">
        <v>0</v>
      </c>
      <c r="Z247" s="39">
        <v>0</v>
      </c>
      <c r="AA247" s="39"/>
      <c r="AB247" s="39"/>
      <c r="AC247" s="39" t="s">
        <v>95</v>
      </c>
      <c r="AD247" s="39" t="s">
        <v>156</v>
      </c>
      <c r="AE247" s="39" t="s">
        <v>108</v>
      </c>
      <c r="AF247" s="39" t="s">
        <v>157</v>
      </c>
      <c r="AG247" s="39">
        <v>743321561</v>
      </c>
      <c r="AH247" s="140" t="str">
        <f t="shared" si="399"/>
        <v>GVV-Concord-OP</v>
      </c>
      <c r="AI247" s="273"/>
      <c r="AJ247" s="140" t="str">
        <f t="shared" si="400"/>
        <v>WP</v>
      </c>
      <c r="AK247" s="273"/>
      <c r="AL247" s="140" t="str">
        <f t="shared" si="401"/>
        <v>Operational</v>
      </c>
      <c r="AM247" s="277"/>
      <c r="AN247" s="140" t="str">
        <f t="shared" si="402"/>
        <v>Toronto</v>
      </c>
      <c r="AO247" s="82" t="s">
        <v>7</v>
      </c>
      <c r="AP247" s="273"/>
      <c r="AQ247" s="140" t="str">
        <f t="shared" si="403"/>
        <v>Storage</v>
      </c>
      <c r="AR247" s="306"/>
    </row>
    <row r="248" spans="1:44" s="2" customFormat="1" x14ac:dyDescent="0.3">
      <c r="A248" s="283"/>
      <c r="B248" s="28" t="str">
        <f t="shared" si="396"/>
        <v>ETS 19</v>
      </c>
      <c r="C248" s="271" t="s">
        <v>62</v>
      </c>
      <c r="D248" s="38" t="s">
        <v>31</v>
      </c>
      <c r="E248" s="39">
        <v>1</v>
      </c>
      <c r="F248" s="39" t="s">
        <v>14</v>
      </c>
      <c r="G248" s="39">
        <v>0</v>
      </c>
      <c r="H248" s="39">
        <v>1</v>
      </c>
      <c r="I248" s="43"/>
      <c r="J248" s="95" t="s">
        <v>94</v>
      </c>
      <c r="K248" s="95" t="s">
        <v>145</v>
      </c>
      <c r="L248" s="96">
        <v>0</v>
      </c>
      <c r="M248" s="97" t="str">
        <f t="shared" si="382"/>
        <v>No</v>
      </c>
      <c r="N248" s="98">
        <v>0</v>
      </c>
      <c r="O248" s="99" t="str">
        <f t="shared" si="383"/>
        <v>No</v>
      </c>
      <c r="P248" s="100">
        <v>0</v>
      </c>
      <c r="Q248" s="101" t="str">
        <f t="shared" si="384"/>
        <v>No</v>
      </c>
      <c r="R248" s="96">
        <v>0</v>
      </c>
      <c r="S248" s="11" t="str">
        <f t="shared" si="385"/>
        <v>No</v>
      </c>
      <c r="T248" s="28" t="str">
        <f t="shared" si="397"/>
        <v>208 VAC</v>
      </c>
      <c r="U248" s="297"/>
      <c r="V248" s="140">
        <f t="shared" si="398"/>
        <v>3</v>
      </c>
      <c r="W248" s="273"/>
      <c r="X248" s="39">
        <v>1</v>
      </c>
      <c r="Y248" s="39">
        <v>0</v>
      </c>
      <c r="Z248" s="39">
        <v>0</v>
      </c>
      <c r="AA248" s="39"/>
      <c r="AB248" s="39"/>
      <c r="AC248" s="39" t="s">
        <v>95</v>
      </c>
      <c r="AD248" s="39" t="s">
        <v>156</v>
      </c>
      <c r="AE248" s="39" t="s">
        <v>108</v>
      </c>
      <c r="AF248" s="39" t="s">
        <v>157</v>
      </c>
      <c r="AG248" s="39">
        <v>743321561</v>
      </c>
      <c r="AH248" s="140" t="str">
        <f t="shared" si="399"/>
        <v>GVV-Concord-OP</v>
      </c>
      <c r="AI248" s="273"/>
      <c r="AJ248" s="140" t="str">
        <f t="shared" si="400"/>
        <v>WP</v>
      </c>
      <c r="AK248" s="273"/>
      <c r="AL248" s="140" t="str">
        <f t="shared" si="401"/>
        <v>Operational</v>
      </c>
      <c r="AM248" s="277"/>
      <c r="AN248" s="140" t="str">
        <f t="shared" si="402"/>
        <v>Toronto</v>
      </c>
      <c r="AO248" s="82" t="s">
        <v>7</v>
      </c>
      <c r="AP248" s="273"/>
      <c r="AQ248" s="140" t="str">
        <f t="shared" si="403"/>
        <v>Storage</v>
      </c>
      <c r="AR248" s="306"/>
    </row>
    <row r="249" spans="1:44" s="3" customFormat="1" ht="15" thickBot="1" x14ac:dyDescent="0.35">
      <c r="A249" s="284"/>
      <c r="B249" s="28" t="str">
        <f t="shared" si="396"/>
        <v>ETS 19</v>
      </c>
      <c r="C249" s="271" t="s">
        <v>62</v>
      </c>
      <c r="D249" s="33" t="s">
        <v>32</v>
      </c>
      <c r="E249" s="34">
        <v>1</v>
      </c>
      <c r="F249" s="34" t="s">
        <v>14</v>
      </c>
      <c r="G249" s="34">
        <v>0</v>
      </c>
      <c r="H249" s="34">
        <v>1</v>
      </c>
      <c r="I249" s="44"/>
      <c r="J249" s="102" t="s">
        <v>94</v>
      </c>
      <c r="K249" s="102" t="s">
        <v>145</v>
      </c>
      <c r="L249" s="96">
        <v>0</v>
      </c>
      <c r="M249" s="104" t="str">
        <f t="shared" si="382"/>
        <v>No</v>
      </c>
      <c r="N249" s="105">
        <v>0</v>
      </c>
      <c r="O249" s="106" t="str">
        <f t="shared" si="383"/>
        <v>No</v>
      </c>
      <c r="P249" s="107">
        <v>0</v>
      </c>
      <c r="Q249" s="108" t="str">
        <f t="shared" si="384"/>
        <v>No</v>
      </c>
      <c r="R249" s="103">
        <v>0</v>
      </c>
      <c r="S249" s="10" t="str">
        <f t="shared" si="385"/>
        <v>No</v>
      </c>
      <c r="T249" s="28" t="str">
        <f t="shared" si="397"/>
        <v>208 VAC</v>
      </c>
      <c r="U249" s="298"/>
      <c r="V249" s="140">
        <f t="shared" si="398"/>
        <v>3</v>
      </c>
      <c r="W249" s="274"/>
      <c r="X249" s="39">
        <v>1</v>
      </c>
      <c r="Y249" s="34">
        <v>0</v>
      </c>
      <c r="Z249" s="34">
        <v>0</v>
      </c>
      <c r="AA249" s="34"/>
      <c r="AB249" s="34"/>
      <c r="AC249" s="34" t="s">
        <v>95</v>
      </c>
      <c r="AD249" s="34" t="s">
        <v>156</v>
      </c>
      <c r="AE249" s="34" t="s">
        <v>108</v>
      </c>
      <c r="AF249" s="34" t="s">
        <v>157</v>
      </c>
      <c r="AG249" s="34">
        <v>743321561</v>
      </c>
      <c r="AH249" s="140" t="str">
        <f t="shared" si="399"/>
        <v>GVV-Concord-OP</v>
      </c>
      <c r="AI249" s="274"/>
      <c r="AJ249" s="140" t="str">
        <f t="shared" si="400"/>
        <v>WP</v>
      </c>
      <c r="AK249" s="274"/>
      <c r="AL249" s="140" t="str">
        <f t="shared" si="401"/>
        <v>Operational</v>
      </c>
      <c r="AM249" s="278"/>
      <c r="AN249" s="140" t="str">
        <f t="shared" si="402"/>
        <v>Toronto</v>
      </c>
      <c r="AO249" s="83" t="s">
        <v>7</v>
      </c>
      <c r="AP249" s="274"/>
      <c r="AQ249" s="140" t="str">
        <f t="shared" si="403"/>
        <v>Storage</v>
      </c>
      <c r="AR249" s="307"/>
    </row>
    <row r="250" spans="1:44" s="1" customFormat="1" ht="15" thickTop="1" x14ac:dyDescent="0.3">
      <c r="A250" s="282">
        <f t="shared" si="395"/>
        <v>1</v>
      </c>
      <c r="B250" s="26" t="str">
        <f>C250</f>
        <v>ETS 20</v>
      </c>
      <c r="C250" s="271" t="s">
        <v>63</v>
      </c>
      <c r="D250" s="29" t="s">
        <v>22</v>
      </c>
      <c r="E250" s="30">
        <v>1</v>
      </c>
      <c r="F250" s="30" t="s">
        <v>14</v>
      </c>
      <c r="G250" s="30">
        <v>0</v>
      </c>
      <c r="H250" s="30">
        <v>1</v>
      </c>
      <c r="I250" s="42"/>
      <c r="J250" s="88" t="s">
        <v>94</v>
      </c>
      <c r="K250" s="88" t="s">
        <v>145</v>
      </c>
      <c r="L250" s="89">
        <v>0</v>
      </c>
      <c r="M250" s="90" t="str">
        <f t="shared" si="382"/>
        <v>No</v>
      </c>
      <c r="N250" s="91">
        <v>0</v>
      </c>
      <c r="O250" s="92" t="str">
        <f t="shared" si="383"/>
        <v>No</v>
      </c>
      <c r="P250" s="93">
        <v>1</v>
      </c>
      <c r="Q250" s="94" t="str">
        <f t="shared" si="384"/>
        <v>Yes</v>
      </c>
      <c r="R250" s="89">
        <v>0</v>
      </c>
      <c r="S250" s="9" t="str">
        <f t="shared" si="385"/>
        <v>No</v>
      </c>
      <c r="T250" s="26" t="str">
        <f>U250</f>
        <v>208 VAC</v>
      </c>
      <c r="U250" s="296" t="s">
        <v>93</v>
      </c>
      <c r="V250" s="135">
        <f>W250</f>
        <v>3</v>
      </c>
      <c r="W250" s="272">
        <v>3</v>
      </c>
      <c r="X250" s="30">
        <v>0</v>
      </c>
      <c r="Y250" s="30">
        <v>1</v>
      </c>
      <c r="Z250" s="30">
        <v>0</v>
      </c>
      <c r="AA250" s="30" t="s">
        <v>494</v>
      </c>
      <c r="AB250" s="30"/>
      <c r="AC250" s="30" t="s">
        <v>95</v>
      </c>
      <c r="AD250" s="30" t="s">
        <v>158</v>
      </c>
      <c r="AE250" s="30" t="s">
        <v>108</v>
      </c>
      <c r="AF250" s="30" t="s">
        <v>159</v>
      </c>
      <c r="AG250" s="30">
        <v>751753952</v>
      </c>
      <c r="AH250" s="135" t="str">
        <f>AI250</f>
        <v>GVV-Concord-OP</v>
      </c>
      <c r="AI250" s="272" t="s">
        <v>42</v>
      </c>
      <c r="AJ250" s="135" t="str">
        <f>AK250</f>
        <v>OP</v>
      </c>
      <c r="AK250" s="272" t="s">
        <v>43</v>
      </c>
      <c r="AL250" s="135" t="str">
        <f>AM250</f>
        <v>Operational</v>
      </c>
      <c r="AM250" s="276" t="s">
        <v>5</v>
      </c>
      <c r="AN250" s="135" t="str">
        <f>AO250</f>
        <v>Toronto</v>
      </c>
      <c r="AO250" s="136" t="s">
        <v>7</v>
      </c>
      <c r="AP250" s="272" t="s">
        <v>8</v>
      </c>
      <c r="AQ250" s="135" t="str">
        <f>AR250</f>
        <v>ECH-B</v>
      </c>
      <c r="AR250" s="305" t="s">
        <v>160</v>
      </c>
    </row>
    <row r="251" spans="1:44" s="2" customFormat="1" x14ac:dyDescent="0.3">
      <c r="A251" s="283"/>
      <c r="B251" s="28" t="str">
        <f>B250</f>
        <v>ETS 20</v>
      </c>
      <c r="C251" s="271" t="s">
        <v>63</v>
      </c>
      <c r="D251" s="38" t="s">
        <v>23</v>
      </c>
      <c r="E251" s="39">
        <v>1</v>
      </c>
      <c r="F251" s="39" t="s">
        <v>14</v>
      </c>
      <c r="G251" s="39">
        <v>0</v>
      </c>
      <c r="H251" s="39">
        <v>1</v>
      </c>
      <c r="I251" s="43"/>
      <c r="J251" s="95" t="s">
        <v>94</v>
      </c>
      <c r="K251" s="95" t="s">
        <v>145</v>
      </c>
      <c r="L251" s="96">
        <v>0</v>
      </c>
      <c r="M251" s="97" t="str">
        <f t="shared" si="382"/>
        <v>No</v>
      </c>
      <c r="N251" s="98">
        <v>0</v>
      </c>
      <c r="O251" s="99" t="str">
        <f t="shared" si="383"/>
        <v>No</v>
      </c>
      <c r="P251" s="100">
        <v>1</v>
      </c>
      <c r="Q251" s="101" t="str">
        <f t="shared" si="384"/>
        <v>Yes</v>
      </c>
      <c r="R251" s="96">
        <v>0</v>
      </c>
      <c r="S251" s="11" t="str">
        <f t="shared" si="385"/>
        <v>No</v>
      </c>
      <c r="T251" s="28" t="str">
        <f>T250</f>
        <v>208 VAC</v>
      </c>
      <c r="U251" s="297"/>
      <c r="V251" s="140">
        <f>V250</f>
        <v>3</v>
      </c>
      <c r="W251" s="273"/>
      <c r="X251" s="39">
        <v>0</v>
      </c>
      <c r="Y251" s="39">
        <v>1</v>
      </c>
      <c r="Z251" s="39">
        <v>0</v>
      </c>
      <c r="AA251" s="39" t="s">
        <v>495</v>
      </c>
      <c r="AB251" s="39"/>
      <c r="AC251" s="39" t="s">
        <v>95</v>
      </c>
      <c r="AD251" s="39" t="s">
        <v>158</v>
      </c>
      <c r="AE251" s="39" t="s">
        <v>108</v>
      </c>
      <c r="AF251" s="39" t="s">
        <v>159</v>
      </c>
      <c r="AG251" s="39">
        <v>751753952</v>
      </c>
      <c r="AH251" s="140" t="str">
        <f>AH250</f>
        <v>GVV-Concord-OP</v>
      </c>
      <c r="AI251" s="273"/>
      <c r="AJ251" s="140" t="str">
        <f>AJ250</f>
        <v>OP</v>
      </c>
      <c r="AK251" s="273"/>
      <c r="AL251" s="140" t="str">
        <f>AL250</f>
        <v>Operational</v>
      </c>
      <c r="AM251" s="277"/>
      <c r="AN251" s="140" t="str">
        <f>AN250</f>
        <v>Toronto</v>
      </c>
      <c r="AO251" s="82" t="s">
        <v>7</v>
      </c>
      <c r="AP251" s="273"/>
      <c r="AQ251" s="140" t="str">
        <f>AQ250</f>
        <v>ECH-B</v>
      </c>
      <c r="AR251" s="306"/>
    </row>
    <row r="252" spans="1:44" s="2" customFormat="1" x14ac:dyDescent="0.3">
      <c r="A252" s="283"/>
      <c r="B252" s="28" t="str">
        <f t="shared" ref="B252:B255" si="404">B251</f>
        <v>ETS 20</v>
      </c>
      <c r="C252" s="271" t="s">
        <v>63</v>
      </c>
      <c r="D252" s="38" t="s">
        <v>24</v>
      </c>
      <c r="E252" s="39">
        <v>1</v>
      </c>
      <c r="F252" s="39" t="s">
        <v>14</v>
      </c>
      <c r="G252" s="39">
        <v>0</v>
      </c>
      <c r="H252" s="39">
        <v>1</v>
      </c>
      <c r="I252" s="43"/>
      <c r="J252" s="95" t="s">
        <v>94</v>
      </c>
      <c r="K252" s="95" t="s">
        <v>145</v>
      </c>
      <c r="L252" s="96">
        <v>0</v>
      </c>
      <c r="M252" s="97" t="str">
        <f t="shared" si="382"/>
        <v>No</v>
      </c>
      <c r="N252" s="98">
        <v>0</v>
      </c>
      <c r="O252" s="99" t="str">
        <f t="shared" si="383"/>
        <v>No</v>
      </c>
      <c r="P252" s="100">
        <v>1</v>
      </c>
      <c r="Q252" s="101" t="str">
        <f t="shared" si="384"/>
        <v>Yes</v>
      </c>
      <c r="R252" s="96">
        <v>0</v>
      </c>
      <c r="S252" s="11" t="str">
        <f t="shared" si="385"/>
        <v>No</v>
      </c>
      <c r="T252" s="28" t="str">
        <f t="shared" ref="T252:T255" si="405">T251</f>
        <v>208 VAC</v>
      </c>
      <c r="U252" s="297"/>
      <c r="V252" s="140">
        <f t="shared" ref="V252:V255" si="406">V251</f>
        <v>3</v>
      </c>
      <c r="W252" s="273"/>
      <c r="X252" s="39">
        <v>0</v>
      </c>
      <c r="Y252" s="39">
        <v>1</v>
      </c>
      <c r="Z252" s="39">
        <v>0</v>
      </c>
      <c r="AA252" s="39" t="s">
        <v>496</v>
      </c>
      <c r="AB252" s="39"/>
      <c r="AC252" s="39" t="s">
        <v>95</v>
      </c>
      <c r="AD252" s="39" t="s">
        <v>158</v>
      </c>
      <c r="AE252" s="39" t="s">
        <v>108</v>
      </c>
      <c r="AF252" s="39" t="s">
        <v>159</v>
      </c>
      <c r="AG252" s="39">
        <v>751753952</v>
      </c>
      <c r="AH252" s="140" t="str">
        <f t="shared" ref="AH252:AH255" si="407">AH251</f>
        <v>GVV-Concord-OP</v>
      </c>
      <c r="AI252" s="273"/>
      <c r="AJ252" s="140" t="str">
        <f t="shared" ref="AJ252:AJ255" si="408">AJ251</f>
        <v>OP</v>
      </c>
      <c r="AK252" s="273"/>
      <c r="AL252" s="140" t="str">
        <f t="shared" ref="AL252:AL255" si="409">AL251</f>
        <v>Operational</v>
      </c>
      <c r="AM252" s="277"/>
      <c r="AN252" s="140" t="str">
        <f t="shared" ref="AN252:AN255" si="410">AN251</f>
        <v>Toronto</v>
      </c>
      <c r="AO252" s="82" t="s">
        <v>7</v>
      </c>
      <c r="AP252" s="273"/>
      <c r="AQ252" s="140" t="str">
        <f t="shared" ref="AQ252:AQ255" si="411">AQ251</f>
        <v>ECH-B</v>
      </c>
      <c r="AR252" s="306"/>
    </row>
    <row r="253" spans="1:44" s="2" customFormat="1" x14ac:dyDescent="0.3">
      <c r="A253" s="283"/>
      <c r="B253" s="28" t="str">
        <f t="shared" si="404"/>
        <v>ETS 20</v>
      </c>
      <c r="C253" s="271" t="s">
        <v>63</v>
      </c>
      <c r="D253" s="38" t="s">
        <v>25</v>
      </c>
      <c r="E253" s="39">
        <v>1</v>
      </c>
      <c r="F253" s="39" t="s">
        <v>14</v>
      </c>
      <c r="G253" s="39">
        <v>0</v>
      </c>
      <c r="H253" s="39">
        <v>1</v>
      </c>
      <c r="I253" s="43"/>
      <c r="J253" s="95" t="s">
        <v>94</v>
      </c>
      <c r="K253" s="95" t="s">
        <v>145</v>
      </c>
      <c r="L253" s="96">
        <v>0</v>
      </c>
      <c r="M253" s="97" t="str">
        <f t="shared" si="382"/>
        <v>No</v>
      </c>
      <c r="N253" s="98">
        <v>0</v>
      </c>
      <c r="O253" s="99" t="str">
        <f t="shared" si="383"/>
        <v>No</v>
      </c>
      <c r="P253" s="100">
        <v>1</v>
      </c>
      <c r="Q253" s="101" t="str">
        <f t="shared" si="384"/>
        <v>Yes</v>
      </c>
      <c r="R253" s="96">
        <v>0</v>
      </c>
      <c r="S253" s="11" t="str">
        <f t="shared" si="385"/>
        <v>No</v>
      </c>
      <c r="T253" s="28" t="str">
        <f t="shared" si="405"/>
        <v>208 VAC</v>
      </c>
      <c r="U253" s="297"/>
      <c r="V253" s="140">
        <f t="shared" si="406"/>
        <v>3</v>
      </c>
      <c r="W253" s="273"/>
      <c r="X253" s="39">
        <v>0</v>
      </c>
      <c r="Y253" s="39">
        <v>1</v>
      </c>
      <c r="Z253" s="39">
        <v>0</v>
      </c>
      <c r="AA253" s="39" t="s">
        <v>497</v>
      </c>
      <c r="AB253" s="39"/>
      <c r="AC253" s="39" t="s">
        <v>95</v>
      </c>
      <c r="AD253" s="39" t="s">
        <v>158</v>
      </c>
      <c r="AE253" s="39" t="s">
        <v>108</v>
      </c>
      <c r="AF253" s="39" t="s">
        <v>159</v>
      </c>
      <c r="AG253" s="39">
        <v>751753952</v>
      </c>
      <c r="AH253" s="140" t="str">
        <f t="shared" si="407"/>
        <v>GVV-Concord-OP</v>
      </c>
      <c r="AI253" s="273"/>
      <c r="AJ253" s="140" t="str">
        <f t="shared" si="408"/>
        <v>OP</v>
      </c>
      <c r="AK253" s="273"/>
      <c r="AL253" s="140" t="str">
        <f t="shared" si="409"/>
        <v>Operational</v>
      </c>
      <c r="AM253" s="277"/>
      <c r="AN253" s="140" t="str">
        <f t="shared" si="410"/>
        <v>Toronto</v>
      </c>
      <c r="AO253" s="82" t="s">
        <v>7</v>
      </c>
      <c r="AP253" s="273"/>
      <c r="AQ253" s="140" t="str">
        <f t="shared" si="411"/>
        <v>ECH-B</v>
      </c>
      <c r="AR253" s="306"/>
    </row>
    <row r="254" spans="1:44" s="2" customFormat="1" x14ac:dyDescent="0.3">
      <c r="A254" s="283"/>
      <c r="B254" s="28" t="str">
        <f t="shared" si="404"/>
        <v>ETS 20</v>
      </c>
      <c r="C254" s="271" t="s">
        <v>63</v>
      </c>
      <c r="D254" s="38" t="s">
        <v>31</v>
      </c>
      <c r="E254" s="39">
        <v>1</v>
      </c>
      <c r="F254" s="39" t="s">
        <v>14</v>
      </c>
      <c r="G254" s="39">
        <v>0</v>
      </c>
      <c r="H254" s="39">
        <v>1</v>
      </c>
      <c r="I254" s="43"/>
      <c r="J254" s="95" t="s">
        <v>94</v>
      </c>
      <c r="K254" s="95" t="s">
        <v>145</v>
      </c>
      <c r="L254" s="96">
        <v>0</v>
      </c>
      <c r="M254" s="97" t="str">
        <f t="shared" si="382"/>
        <v>No</v>
      </c>
      <c r="N254" s="98">
        <v>0</v>
      </c>
      <c r="O254" s="99" t="str">
        <f t="shared" si="383"/>
        <v>No</v>
      </c>
      <c r="P254" s="100">
        <v>1</v>
      </c>
      <c r="Q254" s="101" t="str">
        <f t="shared" si="384"/>
        <v>Yes</v>
      </c>
      <c r="R254" s="96">
        <v>0</v>
      </c>
      <c r="S254" s="11" t="str">
        <f t="shared" si="385"/>
        <v>No</v>
      </c>
      <c r="T254" s="28" t="str">
        <f t="shared" si="405"/>
        <v>208 VAC</v>
      </c>
      <c r="U254" s="297"/>
      <c r="V254" s="140">
        <f t="shared" si="406"/>
        <v>3</v>
      </c>
      <c r="W254" s="273"/>
      <c r="X254" s="39">
        <v>0</v>
      </c>
      <c r="Y254" s="39">
        <v>1</v>
      </c>
      <c r="Z254" s="39">
        <v>0</v>
      </c>
      <c r="AA254" s="39" t="s">
        <v>498</v>
      </c>
      <c r="AB254" s="39"/>
      <c r="AC254" s="39" t="s">
        <v>95</v>
      </c>
      <c r="AD254" s="39" t="s">
        <v>158</v>
      </c>
      <c r="AE254" s="39" t="s">
        <v>108</v>
      </c>
      <c r="AF254" s="39" t="s">
        <v>159</v>
      </c>
      <c r="AG254" s="39">
        <v>751753952</v>
      </c>
      <c r="AH254" s="140" t="str">
        <f t="shared" si="407"/>
        <v>GVV-Concord-OP</v>
      </c>
      <c r="AI254" s="273"/>
      <c r="AJ254" s="140" t="str">
        <f t="shared" si="408"/>
        <v>OP</v>
      </c>
      <c r="AK254" s="273"/>
      <c r="AL254" s="140" t="str">
        <f t="shared" si="409"/>
        <v>Operational</v>
      </c>
      <c r="AM254" s="277"/>
      <c r="AN254" s="140" t="str">
        <f t="shared" si="410"/>
        <v>Toronto</v>
      </c>
      <c r="AO254" s="82" t="s">
        <v>7</v>
      </c>
      <c r="AP254" s="273"/>
      <c r="AQ254" s="140" t="str">
        <f t="shared" si="411"/>
        <v>ECH-B</v>
      </c>
      <c r="AR254" s="306"/>
    </row>
    <row r="255" spans="1:44" s="3" customFormat="1" ht="15" thickBot="1" x14ac:dyDescent="0.35">
      <c r="A255" s="284"/>
      <c r="B255" s="28" t="str">
        <f t="shared" si="404"/>
        <v>ETS 20</v>
      </c>
      <c r="C255" s="271" t="s">
        <v>63</v>
      </c>
      <c r="D255" s="33" t="s">
        <v>32</v>
      </c>
      <c r="E255" s="34">
        <v>1</v>
      </c>
      <c r="F255" s="34" t="s">
        <v>14</v>
      </c>
      <c r="G255" s="34">
        <v>0</v>
      </c>
      <c r="H255" s="34">
        <v>1</v>
      </c>
      <c r="I255" s="44"/>
      <c r="J255" s="102" t="s">
        <v>94</v>
      </c>
      <c r="K255" s="102" t="s">
        <v>145</v>
      </c>
      <c r="L255" s="103">
        <v>0</v>
      </c>
      <c r="M255" s="104" t="str">
        <f t="shared" si="382"/>
        <v>No</v>
      </c>
      <c r="N255" s="105">
        <v>0</v>
      </c>
      <c r="O255" s="106" t="str">
        <f t="shared" si="383"/>
        <v>No</v>
      </c>
      <c r="P255" s="107">
        <v>1</v>
      </c>
      <c r="Q255" s="108" t="str">
        <f t="shared" si="384"/>
        <v>Yes</v>
      </c>
      <c r="R255" s="103">
        <v>0</v>
      </c>
      <c r="S255" s="10" t="str">
        <f t="shared" si="385"/>
        <v>No</v>
      </c>
      <c r="T255" s="28" t="str">
        <f t="shared" si="405"/>
        <v>208 VAC</v>
      </c>
      <c r="U255" s="298"/>
      <c r="V255" s="140">
        <f t="shared" si="406"/>
        <v>3</v>
      </c>
      <c r="W255" s="274"/>
      <c r="X255" s="34">
        <v>0</v>
      </c>
      <c r="Y255" s="34">
        <v>1</v>
      </c>
      <c r="Z255" s="49">
        <v>0</v>
      </c>
      <c r="AA255" s="39" t="s">
        <v>499</v>
      </c>
      <c r="AB255" s="34"/>
      <c r="AC255" s="34" t="s">
        <v>95</v>
      </c>
      <c r="AD255" s="34" t="s">
        <v>158</v>
      </c>
      <c r="AE255" s="34" t="s">
        <v>108</v>
      </c>
      <c r="AF255" s="34" t="s">
        <v>159</v>
      </c>
      <c r="AG255" s="34">
        <v>751753952</v>
      </c>
      <c r="AH255" s="140" t="str">
        <f t="shared" si="407"/>
        <v>GVV-Concord-OP</v>
      </c>
      <c r="AI255" s="274"/>
      <c r="AJ255" s="140" t="str">
        <f t="shared" si="408"/>
        <v>OP</v>
      </c>
      <c r="AK255" s="274"/>
      <c r="AL255" s="140" t="str">
        <f t="shared" si="409"/>
        <v>Operational</v>
      </c>
      <c r="AM255" s="278"/>
      <c r="AN255" s="140" t="str">
        <f t="shared" si="410"/>
        <v>Toronto</v>
      </c>
      <c r="AO255" s="83" t="s">
        <v>7</v>
      </c>
      <c r="AP255" s="274"/>
      <c r="AQ255" s="140" t="str">
        <f t="shared" si="411"/>
        <v>ECH-B</v>
      </c>
      <c r="AR255" s="307"/>
    </row>
    <row r="256" spans="1:44" s="1" customFormat="1" ht="15.6" thickTop="1" thickBot="1" x14ac:dyDescent="0.35">
      <c r="A256" s="282">
        <f t="shared" si="395"/>
        <v>1</v>
      </c>
      <c r="B256" s="26" t="str">
        <f>C256</f>
        <v>ETS 21</v>
      </c>
      <c r="C256" s="271" t="s">
        <v>64</v>
      </c>
      <c r="D256" s="29" t="s">
        <v>22</v>
      </c>
      <c r="E256" s="30">
        <v>1</v>
      </c>
      <c r="F256" s="30" t="s">
        <v>14</v>
      </c>
      <c r="G256" s="30">
        <v>0</v>
      </c>
      <c r="H256" s="30">
        <v>1</v>
      </c>
      <c r="I256" s="42"/>
      <c r="J256" s="88" t="s">
        <v>94</v>
      </c>
      <c r="K256" s="88" t="s">
        <v>145</v>
      </c>
      <c r="L256" s="89">
        <v>0</v>
      </c>
      <c r="M256" s="90" t="str">
        <f t="shared" si="382"/>
        <v>No</v>
      </c>
      <c r="N256" s="91">
        <v>0</v>
      </c>
      <c r="O256" s="92" t="str">
        <f t="shared" si="383"/>
        <v>No</v>
      </c>
      <c r="P256" s="93">
        <v>1</v>
      </c>
      <c r="Q256" s="94" t="str">
        <f t="shared" si="384"/>
        <v>Yes</v>
      </c>
      <c r="R256" s="89">
        <v>0</v>
      </c>
      <c r="S256" s="9" t="str">
        <f t="shared" si="385"/>
        <v>No</v>
      </c>
      <c r="T256" s="26" t="str">
        <f>U256</f>
        <v>208 VAC</v>
      </c>
      <c r="U256" s="296" t="s">
        <v>93</v>
      </c>
      <c r="V256" s="135">
        <f>W256</f>
        <v>3</v>
      </c>
      <c r="W256" s="272">
        <v>3</v>
      </c>
      <c r="X256" s="30">
        <v>1</v>
      </c>
      <c r="Y256" s="30">
        <v>1</v>
      </c>
      <c r="Z256" s="30">
        <v>0</v>
      </c>
      <c r="AA256" s="30" t="s">
        <v>488</v>
      </c>
      <c r="AB256" s="30"/>
      <c r="AC256" s="30" t="s">
        <v>102</v>
      </c>
      <c r="AD256" s="30" t="s">
        <v>112</v>
      </c>
      <c r="AE256" s="30" t="s">
        <v>113</v>
      </c>
      <c r="AF256" s="30" t="s">
        <v>114</v>
      </c>
      <c r="AG256" s="30">
        <v>856881739</v>
      </c>
      <c r="AH256" s="135" t="str">
        <f>AI256</f>
        <v>GVV-Concord-OP</v>
      </c>
      <c r="AI256" s="272" t="s">
        <v>42</v>
      </c>
      <c r="AJ256" s="135" t="str">
        <f>AK256</f>
        <v>OP</v>
      </c>
      <c r="AK256" s="272" t="s">
        <v>43</v>
      </c>
      <c r="AL256" s="135" t="str">
        <f>AM256</f>
        <v>Operational</v>
      </c>
      <c r="AM256" s="276" t="s">
        <v>5</v>
      </c>
      <c r="AN256" s="135" t="str">
        <f>AO256</f>
        <v>Toronto</v>
      </c>
      <c r="AO256" s="136" t="s">
        <v>7</v>
      </c>
      <c r="AP256" s="272" t="s">
        <v>8</v>
      </c>
      <c r="AQ256" s="135" t="str">
        <f>AR256</f>
        <v>Storage</v>
      </c>
      <c r="AR256" s="305" t="s">
        <v>92</v>
      </c>
    </row>
    <row r="257" spans="1:108" s="2" customFormat="1" ht="15" thickTop="1" x14ac:dyDescent="0.3">
      <c r="A257" s="283"/>
      <c r="B257" s="28" t="str">
        <f>B256</f>
        <v>ETS 21</v>
      </c>
      <c r="C257" s="271" t="s">
        <v>64</v>
      </c>
      <c r="D257" s="38" t="s">
        <v>23</v>
      </c>
      <c r="E257" s="39">
        <v>1</v>
      </c>
      <c r="F257" s="39" t="s">
        <v>14</v>
      </c>
      <c r="G257" s="39">
        <v>0</v>
      </c>
      <c r="H257" s="39">
        <v>1</v>
      </c>
      <c r="I257" s="43"/>
      <c r="J257" s="95" t="s">
        <v>94</v>
      </c>
      <c r="K257" s="95" t="s">
        <v>145</v>
      </c>
      <c r="L257" s="96">
        <v>0</v>
      </c>
      <c r="M257" s="97" t="str">
        <f t="shared" si="382"/>
        <v>No</v>
      </c>
      <c r="N257" s="98">
        <v>0</v>
      </c>
      <c r="O257" s="99" t="str">
        <f t="shared" si="383"/>
        <v>No</v>
      </c>
      <c r="P257" s="100">
        <v>1</v>
      </c>
      <c r="Q257" s="101" t="str">
        <f t="shared" si="384"/>
        <v>Yes</v>
      </c>
      <c r="R257" s="96">
        <v>0</v>
      </c>
      <c r="S257" s="11" t="str">
        <f t="shared" si="385"/>
        <v>No</v>
      </c>
      <c r="T257" s="28" t="str">
        <f>T256</f>
        <v>208 VAC</v>
      </c>
      <c r="U257" s="297"/>
      <c r="V257" s="140">
        <f>V256</f>
        <v>3</v>
      </c>
      <c r="W257" s="273"/>
      <c r="X257" s="39">
        <v>1</v>
      </c>
      <c r="Y257" s="39">
        <v>1</v>
      </c>
      <c r="Z257" s="46">
        <v>0</v>
      </c>
      <c r="AA257" s="30" t="s">
        <v>489</v>
      </c>
      <c r="AB257" s="39"/>
      <c r="AC257" s="39" t="s">
        <v>102</v>
      </c>
      <c r="AD257" s="39" t="s">
        <v>112</v>
      </c>
      <c r="AE257" s="39" t="s">
        <v>113</v>
      </c>
      <c r="AF257" s="39" t="s">
        <v>114</v>
      </c>
      <c r="AG257" s="39">
        <v>856881739</v>
      </c>
      <c r="AH257" s="140" t="str">
        <f>AH256</f>
        <v>GVV-Concord-OP</v>
      </c>
      <c r="AI257" s="273"/>
      <c r="AJ257" s="140" t="str">
        <f>AJ256</f>
        <v>OP</v>
      </c>
      <c r="AK257" s="273"/>
      <c r="AL257" s="140" t="str">
        <f>AL256</f>
        <v>Operational</v>
      </c>
      <c r="AM257" s="277"/>
      <c r="AN257" s="140" t="str">
        <f>AN256</f>
        <v>Toronto</v>
      </c>
      <c r="AO257" s="82" t="s">
        <v>7</v>
      </c>
      <c r="AP257" s="273"/>
      <c r="AQ257" s="140" t="str">
        <f>AQ256</f>
        <v>Storage</v>
      </c>
      <c r="AR257" s="306"/>
    </row>
    <row r="258" spans="1:108" s="2" customFormat="1" x14ac:dyDescent="0.3">
      <c r="A258" s="283"/>
      <c r="B258" s="28" t="str">
        <f t="shared" ref="B258:B261" si="412">B257</f>
        <v>ETS 21</v>
      </c>
      <c r="C258" s="271" t="s">
        <v>64</v>
      </c>
      <c r="D258" s="38" t="s">
        <v>24</v>
      </c>
      <c r="E258" s="39">
        <v>1</v>
      </c>
      <c r="F258" s="39" t="s">
        <v>14</v>
      </c>
      <c r="G258" s="39">
        <v>0</v>
      </c>
      <c r="H258" s="39">
        <v>1</v>
      </c>
      <c r="I258" s="43"/>
      <c r="J258" s="95" t="s">
        <v>94</v>
      </c>
      <c r="K258" s="95" t="s">
        <v>145</v>
      </c>
      <c r="L258" s="96">
        <v>0</v>
      </c>
      <c r="M258" s="97" t="str">
        <f t="shared" si="382"/>
        <v>No</v>
      </c>
      <c r="N258" s="98">
        <v>0</v>
      </c>
      <c r="O258" s="99" t="str">
        <f t="shared" si="383"/>
        <v>No</v>
      </c>
      <c r="P258" s="100">
        <v>1</v>
      </c>
      <c r="Q258" s="101" t="str">
        <f t="shared" si="384"/>
        <v>Yes</v>
      </c>
      <c r="R258" s="96">
        <v>0</v>
      </c>
      <c r="S258" s="11" t="str">
        <f t="shared" si="385"/>
        <v>No</v>
      </c>
      <c r="T258" s="28" t="str">
        <f t="shared" ref="T258:T261" si="413">T257</f>
        <v>208 VAC</v>
      </c>
      <c r="U258" s="297"/>
      <c r="V258" s="140">
        <f t="shared" ref="V258:V261" si="414">V257</f>
        <v>3</v>
      </c>
      <c r="W258" s="273"/>
      <c r="X258" s="39">
        <v>1</v>
      </c>
      <c r="Y258" s="39">
        <v>1</v>
      </c>
      <c r="Z258" s="39">
        <v>0</v>
      </c>
      <c r="AA258" s="39" t="s">
        <v>490</v>
      </c>
      <c r="AB258" s="39"/>
      <c r="AC258" s="39" t="s">
        <v>102</v>
      </c>
      <c r="AD258" s="39" t="s">
        <v>112</v>
      </c>
      <c r="AE258" s="39" t="s">
        <v>113</v>
      </c>
      <c r="AF258" s="39" t="s">
        <v>114</v>
      </c>
      <c r="AG258" s="39">
        <v>856881739</v>
      </c>
      <c r="AH258" s="140" t="str">
        <f t="shared" ref="AH258:AH261" si="415">AH257</f>
        <v>GVV-Concord-OP</v>
      </c>
      <c r="AI258" s="273"/>
      <c r="AJ258" s="140" t="str">
        <f t="shared" ref="AJ258:AJ261" si="416">AJ257</f>
        <v>OP</v>
      </c>
      <c r="AK258" s="273"/>
      <c r="AL258" s="140" t="str">
        <f t="shared" ref="AL258:AL261" si="417">AL257</f>
        <v>Operational</v>
      </c>
      <c r="AM258" s="277"/>
      <c r="AN258" s="140" t="str">
        <f t="shared" ref="AN258:AN261" si="418">AN257</f>
        <v>Toronto</v>
      </c>
      <c r="AO258" s="82" t="s">
        <v>7</v>
      </c>
      <c r="AP258" s="273"/>
      <c r="AQ258" s="140" t="str">
        <f t="shared" ref="AQ258:AQ261" si="419">AQ257</f>
        <v>Storage</v>
      </c>
      <c r="AR258" s="306"/>
    </row>
    <row r="259" spans="1:108" s="2" customFormat="1" x14ac:dyDescent="0.3">
      <c r="A259" s="283"/>
      <c r="B259" s="28" t="str">
        <f t="shared" si="412"/>
        <v>ETS 21</v>
      </c>
      <c r="C259" s="271" t="s">
        <v>64</v>
      </c>
      <c r="D259" s="38" t="s">
        <v>25</v>
      </c>
      <c r="E259" s="39">
        <v>1</v>
      </c>
      <c r="F259" s="39" t="s">
        <v>14</v>
      </c>
      <c r="G259" s="39">
        <v>0</v>
      </c>
      <c r="H259" s="39">
        <v>1</v>
      </c>
      <c r="I259" s="43"/>
      <c r="J259" s="95" t="s">
        <v>94</v>
      </c>
      <c r="K259" s="95" t="s">
        <v>145</v>
      </c>
      <c r="L259" s="96">
        <v>0</v>
      </c>
      <c r="M259" s="97" t="str">
        <f t="shared" si="382"/>
        <v>No</v>
      </c>
      <c r="N259" s="98">
        <v>0</v>
      </c>
      <c r="O259" s="99" t="str">
        <f t="shared" si="383"/>
        <v>No</v>
      </c>
      <c r="P259" s="100">
        <v>1</v>
      </c>
      <c r="Q259" s="101" t="str">
        <f t="shared" si="384"/>
        <v>Yes</v>
      </c>
      <c r="R259" s="96">
        <v>0</v>
      </c>
      <c r="S259" s="11" t="str">
        <f t="shared" si="385"/>
        <v>No</v>
      </c>
      <c r="T259" s="28" t="str">
        <f t="shared" si="413"/>
        <v>208 VAC</v>
      </c>
      <c r="U259" s="297"/>
      <c r="V259" s="140">
        <f t="shared" si="414"/>
        <v>3</v>
      </c>
      <c r="W259" s="273"/>
      <c r="X259" s="39">
        <v>1</v>
      </c>
      <c r="Y259" s="39">
        <v>1</v>
      </c>
      <c r="Z259" s="39">
        <v>0</v>
      </c>
      <c r="AA259" s="39" t="s">
        <v>491</v>
      </c>
      <c r="AB259" s="39"/>
      <c r="AC259" s="39" t="s">
        <v>102</v>
      </c>
      <c r="AD259" s="39" t="s">
        <v>112</v>
      </c>
      <c r="AE259" s="39" t="s">
        <v>113</v>
      </c>
      <c r="AF259" s="39" t="s">
        <v>114</v>
      </c>
      <c r="AG259" s="39">
        <v>856881739</v>
      </c>
      <c r="AH259" s="140" t="str">
        <f t="shared" si="415"/>
        <v>GVV-Concord-OP</v>
      </c>
      <c r="AI259" s="273"/>
      <c r="AJ259" s="140" t="str">
        <f t="shared" si="416"/>
        <v>OP</v>
      </c>
      <c r="AK259" s="273"/>
      <c r="AL259" s="140" t="str">
        <f t="shared" si="417"/>
        <v>Operational</v>
      </c>
      <c r="AM259" s="277"/>
      <c r="AN259" s="140" t="str">
        <f t="shared" si="418"/>
        <v>Toronto</v>
      </c>
      <c r="AO259" s="82" t="s">
        <v>7</v>
      </c>
      <c r="AP259" s="273"/>
      <c r="AQ259" s="140" t="str">
        <f t="shared" si="419"/>
        <v>Storage</v>
      </c>
      <c r="AR259" s="306"/>
    </row>
    <row r="260" spans="1:108" s="2" customFormat="1" x14ac:dyDescent="0.3">
      <c r="A260" s="283"/>
      <c r="B260" s="28" t="str">
        <f t="shared" si="412"/>
        <v>ETS 21</v>
      </c>
      <c r="C260" s="271" t="s">
        <v>64</v>
      </c>
      <c r="D260" s="38" t="s">
        <v>31</v>
      </c>
      <c r="E260" s="39">
        <v>1</v>
      </c>
      <c r="F260" s="39" t="s">
        <v>14</v>
      </c>
      <c r="G260" s="39">
        <v>0</v>
      </c>
      <c r="H260" s="39">
        <v>1</v>
      </c>
      <c r="I260" s="43"/>
      <c r="J260" s="95" t="s">
        <v>94</v>
      </c>
      <c r="K260" s="95" t="s">
        <v>145</v>
      </c>
      <c r="L260" s="96">
        <v>0</v>
      </c>
      <c r="M260" s="97" t="str">
        <f t="shared" si="382"/>
        <v>No</v>
      </c>
      <c r="N260" s="98">
        <v>0</v>
      </c>
      <c r="O260" s="99" t="str">
        <f t="shared" si="383"/>
        <v>No</v>
      </c>
      <c r="P260" s="100">
        <v>1</v>
      </c>
      <c r="Q260" s="101" t="str">
        <f t="shared" si="384"/>
        <v>Yes</v>
      </c>
      <c r="R260" s="96">
        <v>0</v>
      </c>
      <c r="S260" s="11" t="str">
        <f t="shared" si="385"/>
        <v>No</v>
      </c>
      <c r="T260" s="28" t="str">
        <f t="shared" si="413"/>
        <v>208 VAC</v>
      </c>
      <c r="U260" s="297"/>
      <c r="V260" s="140">
        <f t="shared" si="414"/>
        <v>3</v>
      </c>
      <c r="W260" s="273"/>
      <c r="X260" s="39">
        <v>1</v>
      </c>
      <c r="Y260" s="39">
        <v>1</v>
      </c>
      <c r="Z260" s="39">
        <v>0</v>
      </c>
      <c r="AA260" s="39" t="s">
        <v>492</v>
      </c>
      <c r="AB260" s="39"/>
      <c r="AC260" s="39" t="s">
        <v>102</v>
      </c>
      <c r="AD260" s="39" t="s">
        <v>112</v>
      </c>
      <c r="AE260" s="39" t="s">
        <v>113</v>
      </c>
      <c r="AF260" s="39" t="s">
        <v>114</v>
      </c>
      <c r="AG260" s="39">
        <v>856881739</v>
      </c>
      <c r="AH260" s="140" t="str">
        <f t="shared" si="415"/>
        <v>GVV-Concord-OP</v>
      </c>
      <c r="AI260" s="273"/>
      <c r="AJ260" s="140" t="str">
        <f t="shared" si="416"/>
        <v>OP</v>
      </c>
      <c r="AK260" s="273"/>
      <c r="AL260" s="140" t="str">
        <f t="shared" si="417"/>
        <v>Operational</v>
      </c>
      <c r="AM260" s="277"/>
      <c r="AN260" s="140" t="str">
        <f t="shared" si="418"/>
        <v>Toronto</v>
      </c>
      <c r="AO260" s="82" t="s">
        <v>7</v>
      </c>
      <c r="AP260" s="273"/>
      <c r="AQ260" s="140" t="str">
        <f t="shared" si="419"/>
        <v>Storage</v>
      </c>
      <c r="AR260" s="306"/>
    </row>
    <row r="261" spans="1:108" s="3" customFormat="1" ht="15" thickBot="1" x14ac:dyDescent="0.35">
      <c r="A261" s="284"/>
      <c r="B261" s="28" t="str">
        <f t="shared" si="412"/>
        <v>ETS 21</v>
      </c>
      <c r="C261" s="271" t="s">
        <v>64</v>
      </c>
      <c r="D261" s="33" t="s">
        <v>32</v>
      </c>
      <c r="E261" s="34">
        <v>1</v>
      </c>
      <c r="F261" s="34" t="s">
        <v>14</v>
      </c>
      <c r="G261" s="34">
        <v>0</v>
      </c>
      <c r="H261" s="34">
        <v>1</v>
      </c>
      <c r="I261" s="44"/>
      <c r="J261" s="102" t="s">
        <v>94</v>
      </c>
      <c r="K261" s="102" t="s">
        <v>145</v>
      </c>
      <c r="L261" s="103">
        <v>0</v>
      </c>
      <c r="M261" s="104" t="str">
        <f t="shared" si="382"/>
        <v>No</v>
      </c>
      <c r="N261" s="105">
        <v>0</v>
      </c>
      <c r="O261" s="106" t="str">
        <f t="shared" si="383"/>
        <v>No</v>
      </c>
      <c r="P261" s="107">
        <v>1</v>
      </c>
      <c r="Q261" s="108" t="str">
        <f t="shared" si="384"/>
        <v>Yes</v>
      </c>
      <c r="R261" s="103">
        <v>0</v>
      </c>
      <c r="S261" s="10" t="str">
        <f t="shared" si="385"/>
        <v>No</v>
      </c>
      <c r="T261" s="28" t="str">
        <f t="shared" si="413"/>
        <v>208 VAC</v>
      </c>
      <c r="U261" s="298"/>
      <c r="V261" s="140">
        <f t="shared" si="414"/>
        <v>3</v>
      </c>
      <c r="W261" s="274"/>
      <c r="X261" s="34">
        <v>1</v>
      </c>
      <c r="Y261" s="34">
        <v>1</v>
      </c>
      <c r="Z261" s="49">
        <v>0</v>
      </c>
      <c r="AA261" s="39" t="s">
        <v>493</v>
      </c>
      <c r="AB261" s="34"/>
      <c r="AC261" s="34" t="s">
        <v>102</v>
      </c>
      <c r="AD261" s="34" t="s">
        <v>112</v>
      </c>
      <c r="AE261" s="34" t="s">
        <v>113</v>
      </c>
      <c r="AF261" s="34" t="s">
        <v>114</v>
      </c>
      <c r="AG261" s="34">
        <v>856881739</v>
      </c>
      <c r="AH261" s="140" t="str">
        <f t="shared" si="415"/>
        <v>GVV-Concord-OP</v>
      </c>
      <c r="AI261" s="274"/>
      <c r="AJ261" s="140" t="str">
        <f t="shared" si="416"/>
        <v>OP</v>
      </c>
      <c r="AK261" s="274"/>
      <c r="AL261" s="140" t="str">
        <f t="shared" si="417"/>
        <v>Operational</v>
      </c>
      <c r="AM261" s="278"/>
      <c r="AN261" s="140" t="str">
        <f t="shared" si="418"/>
        <v>Toronto</v>
      </c>
      <c r="AO261" s="83" t="s">
        <v>7</v>
      </c>
      <c r="AP261" s="274"/>
      <c r="AQ261" s="140" t="str">
        <f t="shared" si="419"/>
        <v>Storage</v>
      </c>
      <c r="AR261" s="307"/>
    </row>
    <row r="262" spans="1:108" s="4" customFormat="1" ht="15" thickTop="1" x14ac:dyDescent="0.3">
      <c r="A262" s="282">
        <f t="shared" si="395"/>
        <v>1</v>
      </c>
      <c r="B262" s="26" t="str">
        <f>C262</f>
        <v>eCF Unit 01</v>
      </c>
      <c r="C262" s="271" t="s">
        <v>671</v>
      </c>
      <c r="D262" s="50" t="s">
        <v>22</v>
      </c>
      <c r="E262" s="30">
        <v>1</v>
      </c>
      <c r="F262" s="30" t="s">
        <v>14</v>
      </c>
      <c r="G262" s="30">
        <v>1</v>
      </c>
      <c r="H262" s="30">
        <v>1</v>
      </c>
      <c r="I262" s="42" t="s">
        <v>72</v>
      </c>
      <c r="J262" s="42" t="s">
        <v>73</v>
      </c>
      <c r="K262" s="88" t="s">
        <v>558</v>
      </c>
      <c r="L262" s="89">
        <v>1</v>
      </c>
      <c r="M262" s="90" t="str">
        <f t="shared" si="382"/>
        <v>Yes</v>
      </c>
      <c r="N262" s="91">
        <v>0</v>
      </c>
      <c r="O262" s="92" t="str">
        <f t="shared" si="383"/>
        <v>No</v>
      </c>
      <c r="P262" s="93">
        <v>0</v>
      </c>
      <c r="Q262" s="94" t="str">
        <f t="shared" si="384"/>
        <v>No</v>
      </c>
      <c r="R262" s="89">
        <v>1</v>
      </c>
      <c r="S262" s="9" t="str">
        <f t="shared" si="385"/>
        <v>Yes</v>
      </c>
      <c r="T262" s="26" t="str">
        <f>U262</f>
        <v>208 VAC</v>
      </c>
      <c r="U262" s="272" t="s">
        <v>93</v>
      </c>
      <c r="V262" s="135">
        <f>W262</f>
        <v>3</v>
      </c>
      <c r="W262" s="272">
        <v>3</v>
      </c>
      <c r="X262" s="30">
        <v>1</v>
      </c>
      <c r="Y262" s="30">
        <v>0</v>
      </c>
      <c r="Z262" s="30">
        <v>0</v>
      </c>
      <c r="AA262" s="30"/>
      <c r="AB262" s="30"/>
      <c r="AC262" s="30" t="s">
        <v>478</v>
      </c>
      <c r="AD262" s="30" t="s">
        <v>311</v>
      </c>
      <c r="AE262" s="30" t="s">
        <v>479</v>
      </c>
      <c r="AF262" s="30" t="s">
        <v>480</v>
      </c>
      <c r="AG262" s="30"/>
      <c r="AH262" s="135" t="str">
        <f>AI262</f>
        <v>GVV-Concord-OP</v>
      </c>
      <c r="AI262" s="272" t="s">
        <v>42</v>
      </c>
      <c r="AJ262" s="135" t="str">
        <f>AK262</f>
        <v>eCF</v>
      </c>
      <c r="AK262" s="272" t="s">
        <v>66</v>
      </c>
      <c r="AL262" s="135" t="str">
        <f>AM262</f>
        <v>Operational</v>
      </c>
      <c r="AM262" s="276" t="s">
        <v>5</v>
      </c>
      <c r="AN262" s="135" t="str">
        <f>AO262</f>
        <v>Toronto</v>
      </c>
      <c r="AO262" s="136" t="s">
        <v>7</v>
      </c>
      <c r="AP262" s="272" t="s">
        <v>8</v>
      </c>
      <c r="AQ262" s="135" t="str">
        <f>AR262</f>
        <v>Storage</v>
      </c>
      <c r="AR262" s="279" t="s">
        <v>92</v>
      </c>
    </row>
    <row r="263" spans="1:108" s="7" customFormat="1" x14ac:dyDescent="0.3">
      <c r="A263" s="283"/>
      <c r="B263" s="28" t="str">
        <f>B262</f>
        <v>eCF Unit 01</v>
      </c>
      <c r="C263" s="271" t="s">
        <v>671</v>
      </c>
      <c r="D263" s="51" t="s">
        <v>23</v>
      </c>
      <c r="E263" s="39">
        <v>1</v>
      </c>
      <c r="F263" s="39" t="s">
        <v>14</v>
      </c>
      <c r="G263" s="39">
        <v>1</v>
      </c>
      <c r="H263" s="39">
        <v>1</v>
      </c>
      <c r="I263" s="43" t="s">
        <v>72</v>
      </c>
      <c r="J263" s="43" t="s">
        <v>73</v>
      </c>
      <c r="K263" s="95" t="s">
        <v>558</v>
      </c>
      <c r="L263" s="96">
        <v>1</v>
      </c>
      <c r="M263" s="97" t="str">
        <f t="shared" si="382"/>
        <v>Yes</v>
      </c>
      <c r="N263" s="98">
        <v>0</v>
      </c>
      <c r="O263" s="99" t="str">
        <f t="shared" si="383"/>
        <v>No</v>
      </c>
      <c r="P263" s="100">
        <v>0</v>
      </c>
      <c r="Q263" s="101" t="str">
        <f t="shared" si="384"/>
        <v>No</v>
      </c>
      <c r="R263" s="96">
        <v>1</v>
      </c>
      <c r="S263" s="11" t="str">
        <f t="shared" si="385"/>
        <v>Yes</v>
      </c>
      <c r="T263" s="28" t="str">
        <f>T262</f>
        <v>208 VAC</v>
      </c>
      <c r="U263" s="273"/>
      <c r="V263" s="140">
        <f>V262</f>
        <v>3</v>
      </c>
      <c r="W263" s="273"/>
      <c r="X263" s="39">
        <v>1</v>
      </c>
      <c r="Y263" s="39">
        <v>0</v>
      </c>
      <c r="Z263" s="39">
        <v>0</v>
      </c>
      <c r="AA263" s="39"/>
      <c r="AB263" s="39"/>
      <c r="AC263" s="39"/>
      <c r="AD263" s="39"/>
      <c r="AE263" s="39"/>
      <c r="AF263" s="39"/>
      <c r="AG263" s="39"/>
      <c r="AH263" s="140" t="str">
        <f>AH262</f>
        <v>GVV-Concord-OP</v>
      </c>
      <c r="AI263" s="273"/>
      <c r="AJ263" s="140" t="str">
        <f>AJ262</f>
        <v>eCF</v>
      </c>
      <c r="AK263" s="273"/>
      <c r="AL263" s="140" t="str">
        <f>AL262</f>
        <v>Operational</v>
      </c>
      <c r="AM263" s="277"/>
      <c r="AN263" s="140" t="str">
        <f>AN262</f>
        <v>Toronto</v>
      </c>
      <c r="AO263" s="82" t="s">
        <v>7</v>
      </c>
      <c r="AP263" s="273"/>
      <c r="AQ263" s="140" t="str">
        <f>AQ262</f>
        <v>Storage</v>
      </c>
      <c r="AR263" s="280"/>
    </row>
    <row r="264" spans="1:108" s="5" customFormat="1" ht="15" thickBot="1" x14ac:dyDescent="0.35">
      <c r="A264" s="284"/>
      <c r="B264" s="28" t="str">
        <f>B263</f>
        <v>eCF Unit 01</v>
      </c>
      <c r="C264" s="271" t="s">
        <v>671</v>
      </c>
      <c r="D264" s="52" t="s">
        <v>24</v>
      </c>
      <c r="E264" s="34">
        <v>1</v>
      </c>
      <c r="F264" s="34" t="s">
        <v>14</v>
      </c>
      <c r="G264" s="34">
        <v>1</v>
      </c>
      <c r="H264" s="34">
        <v>1</v>
      </c>
      <c r="I264" s="44" t="s">
        <v>72</v>
      </c>
      <c r="J264" s="44" t="s">
        <v>73</v>
      </c>
      <c r="K264" s="102" t="s">
        <v>558</v>
      </c>
      <c r="L264" s="103">
        <v>1</v>
      </c>
      <c r="M264" s="104" t="str">
        <f t="shared" si="382"/>
        <v>Yes</v>
      </c>
      <c r="N264" s="105">
        <v>0</v>
      </c>
      <c r="O264" s="106" t="str">
        <f t="shared" si="383"/>
        <v>No</v>
      </c>
      <c r="P264" s="107">
        <v>0</v>
      </c>
      <c r="Q264" s="108" t="str">
        <f t="shared" si="384"/>
        <v>No</v>
      </c>
      <c r="R264" s="103">
        <v>1</v>
      </c>
      <c r="S264" s="10" t="str">
        <f t="shared" si="385"/>
        <v>Yes</v>
      </c>
      <c r="T264" s="28" t="str">
        <f>T263</f>
        <v>208 VAC</v>
      </c>
      <c r="U264" s="274"/>
      <c r="V264" s="140">
        <f>V263</f>
        <v>3</v>
      </c>
      <c r="W264" s="274"/>
      <c r="X264" s="34">
        <v>1</v>
      </c>
      <c r="Y264" s="34">
        <v>0</v>
      </c>
      <c r="Z264" s="34">
        <v>0</v>
      </c>
      <c r="AA264" s="34"/>
      <c r="AB264" s="34"/>
      <c r="AC264" s="34"/>
      <c r="AD264" s="34"/>
      <c r="AE264" s="34"/>
      <c r="AF264" s="34"/>
      <c r="AG264" s="34"/>
      <c r="AH264" s="140" t="str">
        <f>AH263</f>
        <v>GVV-Concord-OP</v>
      </c>
      <c r="AI264" s="274"/>
      <c r="AJ264" s="140" t="str">
        <f>AJ263</f>
        <v>eCF</v>
      </c>
      <c r="AK264" s="274"/>
      <c r="AL264" s="140" t="str">
        <f>AL263</f>
        <v>Operational</v>
      </c>
      <c r="AM264" s="278"/>
      <c r="AN264" s="140" t="str">
        <f>AN263</f>
        <v>Toronto</v>
      </c>
      <c r="AO264" s="83" t="s">
        <v>7</v>
      </c>
      <c r="AP264" s="274"/>
      <c r="AQ264" s="140" t="str">
        <f>AQ263</f>
        <v>Storage</v>
      </c>
      <c r="AR264" s="281"/>
    </row>
    <row r="265" spans="1:108" s="4" customFormat="1" ht="15" thickTop="1" x14ac:dyDescent="0.3">
      <c r="A265" s="282">
        <f t="shared" ref="A265" si="420">IF(AM265="Operational",1,0)</f>
        <v>1</v>
      </c>
      <c r="B265" s="26" t="str">
        <f>C265</f>
        <v>Mobile Test Control Unit 01 (12V-DC)</v>
      </c>
      <c r="C265" s="271" t="s">
        <v>672</v>
      </c>
      <c r="D265" s="50" t="s">
        <v>22</v>
      </c>
      <c r="E265" s="30">
        <v>1</v>
      </c>
      <c r="F265" s="30" t="s">
        <v>74</v>
      </c>
      <c r="G265" s="30">
        <v>0</v>
      </c>
      <c r="H265" s="30">
        <v>1</v>
      </c>
      <c r="I265" s="42"/>
      <c r="J265" s="285" t="s">
        <v>587</v>
      </c>
      <c r="K265" s="285" t="s">
        <v>588</v>
      </c>
      <c r="L265" s="89">
        <v>1</v>
      </c>
      <c r="M265" s="90" t="str">
        <f t="shared" ref="M265:M267" si="421">IF(L265&gt;=1,"Yes","No")</f>
        <v>Yes</v>
      </c>
      <c r="N265" s="91">
        <v>1</v>
      </c>
      <c r="O265" s="92" t="str">
        <f t="shared" ref="O265:O267" si="422">IF(N265&gt;=1,"Yes","No")</f>
        <v>Yes</v>
      </c>
      <c r="P265" s="93">
        <v>0</v>
      </c>
      <c r="Q265" s="94" t="str">
        <f t="shared" ref="Q265:Q267" si="423">IF(P265&gt;=1,"Yes","No")</f>
        <v>No</v>
      </c>
      <c r="R265" s="89">
        <v>0</v>
      </c>
      <c r="S265" s="9" t="str">
        <f t="shared" ref="S265:S267" si="424">IF(R265&gt;=1,"Yes","No")</f>
        <v>No</v>
      </c>
      <c r="T265" s="26" t="str">
        <f>U265</f>
        <v>115 VDC</v>
      </c>
      <c r="U265" s="272" t="s">
        <v>136</v>
      </c>
      <c r="V265" s="135">
        <f>W265</f>
        <v>1</v>
      </c>
      <c r="W265" s="272">
        <v>1</v>
      </c>
      <c r="X265" s="30">
        <v>1</v>
      </c>
      <c r="Y265" s="30">
        <v>0</v>
      </c>
      <c r="Z265" s="30">
        <v>0</v>
      </c>
      <c r="AA265" s="30"/>
      <c r="AB265" s="30"/>
      <c r="AC265" s="30" t="s">
        <v>478</v>
      </c>
      <c r="AD265" s="30"/>
      <c r="AE265" s="30"/>
      <c r="AF265" s="30"/>
      <c r="AG265" s="30"/>
      <c r="AH265" s="135" t="str">
        <f>AI265</f>
        <v>GVV-Concord-OP</v>
      </c>
      <c r="AI265" s="272" t="s">
        <v>42</v>
      </c>
      <c r="AJ265" s="135" t="str">
        <f>AK265</f>
        <v>WP</v>
      </c>
      <c r="AK265" s="272" t="s">
        <v>9</v>
      </c>
      <c r="AL265" s="135" t="str">
        <f>AM265</f>
        <v>Operational</v>
      </c>
      <c r="AM265" s="276" t="s">
        <v>5</v>
      </c>
      <c r="AN265" s="135" t="str">
        <f>AO265</f>
        <v>Toronto</v>
      </c>
      <c r="AO265" s="136" t="s">
        <v>7</v>
      </c>
      <c r="AP265" s="272" t="s">
        <v>8</v>
      </c>
      <c r="AQ265" s="135" t="str">
        <f>AR265</f>
        <v>Storage</v>
      </c>
      <c r="AR265" s="279" t="s">
        <v>92</v>
      </c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</row>
    <row r="266" spans="1:108" s="7" customFormat="1" x14ac:dyDescent="0.3">
      <c r="A266" s="283"/>
      <c r="B266" s="28" t="str">
        <f>B265</f>
        <v>Mobile Test Control Unit 01 (12V-DC)</v>
      </c>
      <c r="C266" s="271" t="s">
        <v>672</v>
      </c>
      <c r="D266" s="51" t="s">
        <v>23</v>
      </c>
      <c r="E266" s="39">
        <v>1</v>
      </c>
      <c r="F266" s="39" t="s">
        <v>74</v>
      </c>
      <c r="G266" s="39">
        <v>0</v>
      </c>
      <c r="H266" s="39">
        <v>1</v>
      </c>
      <c r="I266" s="215"/>
      <c r="J266" s="286"/>
      <c r="K266" s="286"/>
      <c r="L266" s="96">
        <v>1</v>
      </c>
      <c r="M266" s="97" t="str">
        <f t="shared" si="421"/>
        <v>Yes</v>
      </c>
      <c r="N266" s="98">
        <v>1</v>
      </c>
      <c r="O266" s="99" t="str">
        <f t="shared" si="422"/>
        <v>Yes</v>
      </c>
      <c r="P266" s="100">
        <v>0</v>
      </c>
      <c r="Q266" s="101" t="str">
        <f t="shared" si="423"/>
        <v>No</v>
      </c>
      <c r="R266" s="96">
        <v>0</v>
      </c>
      <c r="S266" s="11" t="str">
        <f t="shared" si="424"/>
        <v>No</v>
      </c>
      <c r="T266" s="28" t="str">
        <f>T265</f>
        <v>115 VDC</v>
      </c>
      <c r="U266" s="273"/>
      <c r="V266" s="140">
        <f>V265</f>
        <v>1</v>
      </c>
      <c r="W266" s="273"/>
      <c r="X266" s="39">
        <v>1</v>
      </c>
      <c r="Y266" s="39">
        <v>0</v>
      </c>
      <c r="Z266" s="39">
        <v>0</v>
      </c>
      <c r="AA266" s="39"/>
      <c r="AB266" s="39"/>
      <c r="AC266" s="39"/>
      <c r="AD266" s="39"/>
      <c r="AE266" s="39"/>
      <c r="AF266" s="39"/>
      <c r="AG266" s="39"/>
      <c r="AH266" s="140" t="str">
        <f>AH265</f>
        <v>GVV-Concord-OP</v>
      </c>
      <c r="AI266" s="273"/>
      <c r="AJ266" s="140" t="str">
        <f>AJ265</f>
        <v>WP</v>
      </c>
      <c r="AK266" s="273"/>
      <c r="AL266" s="140" t="str">
        <f>AL265</f>
        <v>Operational</v>
      </c>
      <c r="AM266" s="277"/>
      <c r="AN266" s="140" t="str">
        <f>AN265</f>
        <v>Toronto</v>
      </c>
      <c r="AO266" s="82" t="s">
        <v>7</v>
      </c>
      <c r="AP266" s="273"/>
      <c r="AQ266" s="140" t="str">
        <f>AQ265</f>
        <v>Storage</v>
      </c>
      <c r="AR266" s="280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</row>
    <row r="267" spans="1:108" s="5" customFormat="1" ht="15" thickBot="1" x14ac:dyDescent="0.35">
      <c r="A267" s="284"/>
      <c r="B267" s="28" t="str">
        <f>B266</f>
        <v>Mobile Test Control Unit 01 (12V-DC)</v>
      </c>
      <c r="C267" s="271" t="s">
        <v>672</v>
      </c>
      <c r="D267" s="52" t="s">
        <v>24</v>
      </c>
      <c r="E267" s="34">
        <v>1</v>
      </c>
      <c r="F267" s="34" t="s">
        <v>74</v>
      </c>
      <c r="G267" s="34">
        <v>0</v>
      </c>
      <c r="H267" s="34">
        <v>1</v>
      </c>
      <c r="I267" s="216"/>
      <c r="J267" s="287"/>
      <c r="K267" s="287"/>
      <c r="L267" s="103">
        <v>1</v>
      </c>
      <c r="M267" s="104" t="str">
        <f t="shared" si="421"/>
        <v>Yes</v>
      </c>
      <c r="N267" s="105">
        <v>1</v>
      </c>
      <c r="O267" s="106" t="str">
        <f t="shared" si="422"/>
        <v>Yes</v>
      </c>
      <c r="P267" s="107">
        <v>0</v>
      </c>
      <c r="Q267" s="108" t="str">
        <f t="shared" si="423"/>
        <v>No</v>
      </c>
      <c r="R267" s="103">
        <v>0</v>
      </c>
      <c r="S267" s="10" t="str">
        <f t="shared" si="424"/>
        <v>No</v>
      </c>
      <c r="T267" s="28" t="str">
        <f>T266</f>
        <v>115 VDC</v>
      </c>
      <c r="U267" s="274"/>
      <c r="V267" s="140">
        <f>V266</f>
        <v>1</v>
      </c>
      <c r="W267" s="274"/>
      <c r="X267" s="34">
        <v>1</v>
      </c>
      <c r="Y267" s="34">
        <v>0</v>
      </c>
      <c r="Z267" s="34">
        <v>0</v>
      </c>
      <c r="AA267" s="34"/>
      <c r="AB267" s="34"/>
      <c r="AC267" s="34"/>
      <c r="AD267" s="34"/>
      <c r="AE267" s="34"/>
      <c r="AF267" s="34"/>
      <c r="AG267" s="34"/>
      <c r="AH267" s="140" t="str">
        <f>AH266</f>
        <v>GVV-Concord-OP</v>
      </c>
      <c r="AI267" s="274"/>
      <c r="AJ267" s="140" t="str">
        <f>AJ266</f>
        <v>WP</v>
      </c>
      <c r="AK267" s="274"/>
      <c r="AL267" s="140" t="str">
        <f>AL266</f>
        <v>Operational</v>
      </c>
      <c r="AM267" s="278"/>
      <c r="AN267" s="140" t="str">
        <f>AN266</f>
        <v>Toronto</v>
      </c>
      <c r="AO267" s="83" t="s">
        <v>7</v>
      </c>
      <c r="AP267" s="274"/>
      <c r="AQ267" s="140" t="str">
        <f>AQ266</f>
        <v>Storage</v>
      </c>
      <c r="AR267" s="281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</row>
    <row r="268" spans="1:108" ht="15" thickTop="1" x14ac:dyDescent="0.3">
      <c r="C268" s="271" t="s">
        <v>673</v>
      </c>
      <c r="D268" s="50" t="s">
        <v>22</v>
      </c>
      <c r="E268" s="30">
        <v>1</v>
      </c>
      <c r="F268" s="30" t="s">
        <v>74</v>
      </c>
      <c r="G268" s="30">
        <v>0</v>
      </c>
      <c r="H268" s="30">
        <v>1</v>
      </c>
      <c r="I268" s="225"/>
      <c r="J268" s="285" t="s">
        <v>587</v>
      </c>
      <c r="K268" s="285" t="s">
        <v>588</v>
      </c>
      <c r="L268" s="89">
        <v>1</v>
      </c>
      <c r="M268" s="90" t="str">
        <f t="shared" ref="M268:M279" si="425">IF(L268&gt;=1,"Yes","No")</f>
        <v>Yes</v>
      </c>
      <c r="N268" s="91">
        <v>1</v>
      </c>
      <c r="O268" s="92" t="str">
        <f t="shared" ref="O268:O279" si="426">IF(N268&gt;=1,"Yes","No")</f>
        <v>Yes</v>
      </c>
      <c r="P268" s="93">
        <v>0</v>
      </c>
      <c r="Q268" s="94" t="str">
        <f t="shared" ref="Q268:Q279" si="427">IF(P268&gt;=1,"Yes","No")</f>
        <v>No</v>
      </c>
      <c r="R268" s="89">
        <v>0</v>
      </c>
      <c r="S268" s="9" t="str">
        <f t="shared" ref="S268:S279" si="428">IF(R268&gt;=1,"Yes","No")</f>
        <v>No</v>
      </c>
      <c r="T268" s="26" t="str">
        <f>U268</f>
        <v>115 VDC</v>
      </c>
      <c r="U268" s="272" t="s">
        <v>136</v>
      </c>
      <c r="V268" s="135">
        <f>W268</f>
        <v>1</v>
      </c>
      <c r="W268" s="272">
        <v>1</v>
      </c>
      <c r="X268" s="30">
        <v>1</v>
      </c>
      <c r="Y268" s="30">
        <v>0</v>
      </c>
      <c r="Z268" s="30">
        <v>0</v>
      </c>
      <c r="AA268" s="30"/>
      <c r="AB268" s="30"/>
      <c r="AC268" s="30"/>
      <c r="AD268" s="30"/>
      <c r="AE268" s="30"/>
      <c r="AF268" s="30"/>
      <c r="AG268" s="30"/>
      <c r="AH268" s="135" t="str">
        <f>AI268</f>
        <v>GVV-Concord-OP</v>
      </c>
      <c r="AI268" s="272" t="s">
        <v>42</v>
      </c>
      <c r="AJ268" s="135" t="str">
        <f>AK268</f>
        <v>WP</v>
      </c>
      <c r="AK268" s="272" t="s">
        <v>9</v>
      </c>
      <c r="AL268" s="135" t="str">
        <f>AM268</f>
        <v>Operational</v>
      </c>
      <c r="AM268" s="276" t="s">
        <v>5</v>
      </c>
      <c r="AN268" s="135" t="str">
        <f>AO268</f>
        <v>Toronto</v>
      </c>
      <c r="AO268" s="136" t="s">
        <v>7</v>
      </c>
      <c r="AP268" s="272" t="s">
        <v>8</v>
      </c>
      <c r="AQ268" s="135" t="str">
        <f>AR268</f>
        <v>Storage</v>
      </c>
      <c r="AR268" s="279" t="s">
        <v>92</v>
      </c>
    </row>
    <row r="269" spans="1:108" x14ac:dyDescent="0.3">
      <c r="C269" s="271" t="s">
        <v>673</v>
      </c>
      <c r="D269" s="51" t="s">
        <v>23</v>
      </c>
      <c r="E269" s="39">
        <v>1</v>
      </c>
      <c r="F269" s="39" t="s">
        <v>74</v>
      </c>
      <c r="G269" s="39">
        <v>0</v>
      </c>
      <c r="H269" s="39">
        <v>1</v>
      </c>
      <c r="I269" s="223"/>
      <c r="J269" s="286"/>
      <c r="K269" s="286"/>
      <c r="L269" s="96">
        <v>1</v>
      </c>
      <c r="M269" s="97" t="str">
        <f t="shared" si="425"/>
        <v>Yes</v>
      </c>
      <c r="N269" s="98">
        <v>1</v>
      </c>
      <c r="O269" s="99" t="str">
        <f t="shared" si="426"/>
        <v>Yes</v>
      </c>
      <c r="P269" s="100">
        <v>0</v>
      </c>
      <c r="Q269" s="101" t="str">
        <f t="shared" si="427"/>
        <v>No</v>
      </c>
      <c r="R269" s="96">
        <v>0</v>
      </c>
      <c r="S269" s="11" t="str">
        <f t="shared" si="428"/>
        <v>No</v>
      </c>
      <c r="T269" s="28" t="str">
        <f>T268</f>
        <v>115 VDC</v>
      </c>
      <c r="U269" s="273"/>
      <c r="V269" s="140">
        <f>V268</f>
        <v>1</v>
      </c>
      <c r="W269" s="273"/>
      <c r="X269" s="39">
        <v>1</v>
      </c>
      <c r="Y269" s="39">
        <v>0</v>
      </c>
      <c r="Z269" s="39">
        <v>0</v>
      </c>
      <c r="AA269" s="39"/>
      <c r="AB269" s="39"/>
      <c r="AC269" s="39"/>
      <c r="AD269" s="39"/>
      <c r="AE269" s="39"/>
      <c r="AF269" s="39"/>
      <c r="AG269" s="39"/>
      <c r="AH269" s="140" t="str">
        <f>AH268</f>
        <v>GVV-Concord-OP</v>
      </c>
      <c r="AI269" s="273"/>
      <c r="AJ269" s="140" t="str">
        <f>AJ268</f>
        <v>WP</v>
      </c>
      <c r="AK269" s="273"/>
      <c r="AL269" s="140" t="str">
        <f>AL268</f>
        <v>Operational</v>
      </c>
      <c r="AM269" s="277"/>
      <c r="AN269" s="140" t="str">
        <f>AN268</f>
        <v>Toronto</v>
      </c>
      <c r="AO269" s="82" t="s">
        <v>7</v>
      </c>
      <c r="AP269" s="273"/>
      <c r="AQ269" s="140" t="str">
        <f>AQ268</f>
        <v>Storage</v>
      </c>
      <c r="AR269" s="280"/>
    </row>
    <row r="270" spans="1:108" ht="15" thickBot="1" x14ac:dyDescent="0.35">
      <c r="C270" s="271" t="s">
        <v>673</v>
      </c>
      <c r="D270" s="52" t="s">
        <v>24</v>
      </c>
      <c r="E270" s="34">
        <v>1</v>
      </c>
      <c r="F270" s="34" t="s">
        <v>74</v>
      </c>
      <c r="G270" s="34">
        <v>0</v>
      </c>
      <c r="H270" s="34">
        <v>1</v>
      </c>
      <c r="I270" s="224"/>
      <c r="J270" s="287"/>
      <c r="K270" s="287"/>
      <c r="L270" s="103">
        <v>1</v>
      </c>
      <c r="M270" s="104" t="str">
        <f t="shared" si="425"/>
        <v>Yes</v>
      </c>
      <c r="N270" s="105">
        <v>1</v>
      </c>
      <c r="O270" s="106" t="str">
        <f t="shared" si="426"/>
        <v>Yes</v>
      </c>
      <c r="P270" s="107">
        <v>0</v>
      </c>
      <c r="Q270" s="108" t="str">
        <f t="shared" si="427"/>
        <v>No</v>
      </c>
      <c r="R270" s="103">
        <v>0</v>
      </c>
      <c r="S270" s="10" t="str">
        <f t="shared" si="428"/>
        <v>No</v>
      </c>
      <c r="T270" s="28" t="str">
        <f>T269</f>
        <v>115 VDC</v>
      </c>
      <c r="U270" s="274"/>
      <c r="V270" s="140">
        <f>V269</f>
        <v>1</v>
      </c>
      <c r="W270" s="274"/>
      <c r="X270" s="34">
        <v>1</v>
      </c>
      <c r="Y270" s="34">
        <v>0</v>
      </c>
      <c r="Z270" s="34">
        <v>0</v>
      </c>
      <c r="AA270" s="34"/>
      <c r="AB270" s="34"/>
      <c r="AC270" s="34"/>
      <c r="AD270" s="34"/>
      <c r="AE270" s="34"/>
      <c r="AF270" s="34"/>
      <c r="AG270" s="34"/>
      <c r="AH270" s="140" t="str">
        <f>AH269</f>
        <v>GVV-Concord-OP</v>
      </c>
      <c r="AI270" s="274"/>
      <c r="AJ270" s="140" t="str">
        <f>AJ269</f>
        <v>WP</v>
      </c>
      <c r="AK270" s="274"/>
      <c r="AL270" s="140" t="str">
        <f>AL269</f>
        <v>Operational</v>
      </c>
      <c r="AM270" s="278"/>
      <c r="AN270" s="140" t="str">
        <f>AN269</f>
        <v>Toronto</v>
      </c>
      <c r="AO270" s="83" t="s">
        <v>7</v>
      </c>
      <c r="AP270" s="274"/>
      <c r="AQ270" s="140" t="str">
        <f>AQ269</f>
        <v>Storage</v>
      </c>
      <c r="AR270" s="281"/>
    </row>
    <row r="271" spans="1:108" ht="15" thickTop="1" x14ac:dyDescent="0.3">
      <c r="C271" s="271" t="s">
        <v>674</v>
      </c>
      <c r="D271" s="50" t="s">
        <v>22</v>
      </c>
      <c r="E271" s="30">
        <v>1</v>
      </c>
      <c r="F271" s="30" t="s">
        <v>74</v>
      </c>
      <c r="G271" s="30">
        <v>0</v>
      </c>
      <c r="H271" s="30">
        <v>1</v>
      </c>
      <c r="I271" s="225"/>
      <c r="J271" s="285"/>
      <c r="K271" s="285" t="s">
        <v>626</v>
      </c>
      <c r="L271" s="89">
        <v>1</v>
      </c>
      <c r="M271" s="90" t="str">
        <f t="shared" si="425"/>
        <v>Yes</v>
      </c>
      <c r="N271" s="91">
        <v>1</v>
      </c>
      <c r="O271" s="92" t="str">
        <f t="shared" si="426"/>
        <v>Yes</v>
      </c>
      <c r="P271" s="93">
        <v>0</v>
      </c>
      <c r="Q271" s="94" t="str">
        <f t="shared" si="427"/>
        <v>No</v>
      </c>
      <c r="R271" s="89">
        <v>0</v>
      </c>
      <c r="S271" s="9" t="str">
        <f t="shared" si="428"/>
        <v>No</v>
      </c>
      <c r="T271" s="26" t="str">
        <f>U271</f>
        <v>115 VDC</v>
      </c>
      <c r="U271" s="272" t="s">
        <v>136</v>
      </c>
      <c r="V271" s="135">
        <f>W271</f>
        <v>1</v>
      </c>
      <c r="W271" s="272">
        <v>1</v>
      </c>
      <c r="X271" s="30">
        <v>1</v>
      </c>
      <c r="Y271" s="30">
        <v>0</v>
      </c>
      <c r="Z271" s="30">
        <v>0</v>
      </c>
      <c r="AA271" s="30"/>
      <c r="AB271" s="30"/>
      <c r="AC271" s="30" t="s">
        <v>478</v>
      </c>
      <c r="AD271" s="30"/>
      <c r="AE271" s="30"/>
      <c r="AF271" s="30"/>
      <c r="AG271" s="30"/>
      <c r="AH271" s="135" t="str">
        <f>AI271</f>
        <v>GVV-Concord-OP</v>
      </c>
      <c r="AI271" s="272" t="s">
        <v>42</v>
      </c>
      <c r="AJ271" s="135" t="str">
        <f>AK271</f>
        <v>WP</v>
      </c>
      <c r="AK271" s="272" t="s">
        <v>9</v>
      </c>
      <c r="AL271" s="135" t="str">
        <f>AM271</f>
        <v>Operational</v>
      </c>
      <c r="AM271" s="276" t="s">
        <v>5</v>
      </c>
      <c r="AN271" s="135" t="str">
        <f>AO271</f>
        <v>Toronto</v>
      </c>
      <c r="AO271" s="136" t="s">
        <v>7</v>
      </c>
      <c r="AP271" s="272" t="s">
        <v>8</v>
      </c>
      <c r="AQ271" s="135" t="str">
        <f>AR271</f>
        <v>Storage</v>
      </c>
      <c r="AR271" s="279" t="s">
        <v>92</v>
      </c>
    </row>
    <row r="272" spans="1:108" x14ac:dyDescent="0.3">
      <c r="C272" s="271" t="s">
        <v>674</v>
      </c>
      <c r="D272" s="51" t="s">
        <v>23</v>
      </c>
      <c r="E272" s="39">
        <v>1</v>
      </c>
      <c r="F272" s="39" t="s">
        <v>74</v>
      </c>
      <c r="G272" s="39">
        <v>0</v>
      </c>
      <c r="H272" s="39">
        <v>1</v>
      </c>
      <c r="I272" s="223" t="s">
        <v>552</v>
      </c>
      <c r="J272" s="286"/>
      <c r="K272" s="286"/>
      <c r="L272" s="96">
        <v>1</v>
      </c>
      <c r="M272" s="97" t="str">
        <f t="shared" si="425"/>
        <v>Yes</v>
      </c>
      <c r="N272" s="98">
        <v>1</v>
      </c>
      <c r="O272" s="99" t="str">
        <f t="shared" si="426"/>
        <v>Yes</v>
      </c>
      <c r="P272" s="100">
        <v>0</v>
      </c>
      <c r="Q272" s="101" t="str">
        <f t="shared" si="427"/>
        <v>No</v>
      </c>
      <c r="R272" s="96">
        <v>0</v>
      </c>
      <c r="S272" s="11" t="str">
        <f t="shared" si="428"/>
        <v>No</v>
      </c>
      <c r="T272" s="28" t="str">
        <f>T271</f>
        <v>115 VDC</v>
      </c>
      <c r="U272" s="273"/>
      <c r="V272" s="140">
        <f>V271</f>
        <v>1</v>
      </c>
      <c r="W272" s="273"/>
      <c r="X272" s="39">
        <v>1</v>
      </c>
      <c r="Y272" s="39">
        <v>0</v>
      </c>
      <c r="Z272" s="39">
        <v>0</v>
      </c>
      <c r="AA272" s="39"/>
      <c r="AB272" s="39"/>
      <c r="AC272" s="39"/>
      <c r="AD272" s="39"/>
      <c r="AE272" s="39"/>
      <c r="AF272" s="39"/>
      <c r="AG272" s="39"/>
      <c r="AH272" s="140" t="str">
        <f>AH271</f>
        <v>GVV-Concord-OP</v>
      </c>
      <c r="AI272" s="273"/>
      <c r="AJ272" s="140" t="str">
        <f>AJ271</f>
        <v>WP</v>
      </c>
      <c r="AK272" s="273"/>
      <c r="AL272" s="140" t="str">
        <f>AL271</f>
        <v>Operational</v>
      </c>
      <c r="AM272" s="277"/>
      <c r="AN272" s="140" t="str">
        <f>AN271</f>
        <v>Toronto</v>
      </c>
      <c r="AO272" s="82" t="s">
        <v>7</v>
      </c>
      <c r="AP272" s="273"/>
      <c r="AQ272" s="140" t="str">
        <f>AQ271</f>
        <v>Storage</v>
      </c>
      <c r="AR272" s="280"/>
    </row>
    <row r="273" spans="3:44" ht="15" thickBot="1" x14ac:dyDescent="0.35">
      <c r="C273" s="271" t="s">
        <v>674</v>
      </c>
      <c r="D273" s="52" t="s">
        <v>24</v>
      </c>
      <c r="E273" s="34">
        <v>1</v>
      </c>
      <c r="F273" s="34" t="s">
        <v>74</v>
      </c>
      <c r="G273" s="34">
        <v>0</v>
      </c>
      <c r="H273" s="34">
        <v>1</v>
      </c>
      <c r="I273" s="224"/>
      <c r="J273" s="287"/>
      <c r="K273" s="287"/>
      <c r="L273" s="103">
        <v>1</v>
      </c>
      <c r="M273" s="104" t="str">
        <f t="shared" si="425"/>
        <v>Yes</v>
      </c>
      <c r="N273" s="105">
        <v>1</v>
      </c>
      <c r="O273" s="106" t="str">
        <f t="shared" si="426"/>
        <v>Yes</v>
      </c>
      <c r="P273" s="107">
        <v>0</v>
      </c>
      <c r="Q273" s="108" t="str">
        <f t="shared" si="427"/>
        <v>No</v>
      </c>
      <c r="R273" s="103">
        <v>0</v>
      </c>
      <c r="S273" s="10" t="str">
        <f t="shared" si="428"/>
        <v>No</v>
      </c>
      <c r="T273" s="28" t="str">
        <f>T272</f>
        <v>115 VDC</v>
      </c>
      <c r="U273" s="274"/>
      <c r="V273" s="140">
        <f>V272</f>
        <v>1</v>
      </c>
      <c r="W273" s="274"/>
      <c r="X273" s="34">
        <v>1</v>
      </c>
      <c r="Y273" s="34">
        <v>0</v>
      </c>
      <c r="Z273" s="34">
        <v>0</v>
      </c>
      <c r="AA273" s="34"/>
      <c r="AB273" s="34"/>
      <c r="AC273" s="34"/>
      <c r="AD273" s="34"/>
      <c r="AE273" s="34"/>
      <c r="AF273" s="34"/>
      <c r="AG273" s="34"/>
      <c r="AH273" s="140" t="str">
        <f>AH272</f>
        <v>GVV-Concord-OP</v>
      </c>
      <c r="AI273" s="274"/>
      <c r="AJ273" s="140" t="str">
        <f>AJ272</f>
        <v>WP</v>
      </c>
      <c r="AK273" s="274"/>
      <c r="AL273" s="140" t="str">
        <f>AL272</f>
        <v>Operational</v>
      </c>
      <c r="AM273" s="278"/>
      <c r="AN273" s="140" t="str">
        <f>AN272</f>
        <v>Toronto</v>
      </c>
      <c r="AO273" s="83" t="s">
        <v>7</v>
      </c>
      <c r="AP273" s="274"/>
      <c r="AQ273" s="140" t="str">
        <f>AQ272</f>
        <v>Storage</v>
      </c>
      <c r="AR273" s="281"/>
    </row>
    <row r="274" spans="3:44" ht="15" thickTop="1" x14ac:dyDescent="0.3">
      <c r="C274" s="271" t="s">
        <v>675</v>
      </c>
      <c r="D274" s="50" t="s">
        <v>22</v>
      </c>
      <c r="E274" s="30">
        <v>1</v>
      </c>
      <c r="F274" s="30" t="s">
        <v>14</v>
      </c>
      <c r="G274" s="30">
        <v>0</v>
      </c>
      <c r="H274" s="30">
        <v>1</v>
      </c>
      <c r="I274" s="228"/>
      <c r="J274" s="228" t="s">
        <v>75</v>
      </c>
      <c r="K274" s="88" t="s">
        <v>585</v>
      </c>
      <c r="L274" s="89">
        <v>0</v>
      </c>
      <c r="M274" s="90" t="str">
        <f t="shared" si="425"/>
        <v>No</v>
      </c>
      <c r="N274" s="91">
        <v>1</v>
      </c>
      <c r="O274" s="92" t="str">
        <f t="shared" si="426"/>
        <v>Yes</v>
      </c>
      <c r="P274" s="93">
        <v>0</v>
      </c>
      <c r="Q274" s="94" t="str">
        <f t="shared" si="427"/>
        <v>No</v>
      </c>
      <c r="R274" s="89">
        <v>0</v>
      </c>
      <c r="S274" s="9" t="str">
        <f t="shared" si="428"/>
        <v>No</v>
      </c>
      <c r="T274" s="26" t="str">
        <f>U274</f>
        <v>120/208 AC</v>
      </c>
      <c r="U274" s="272" t="s">
        <v>548</v>
      </c>
      <c r="V274" s="135">
        <f>W274</f>
        <v>3</v>
      </c>
      <c r="W274" s="272">
        <v>3</v>
      </c>
      <c r="X274" s="30">
        <v>1</v>
      </c>
      <c r="Y274" s="30">
        <v>1</v>
      </c>
      <c r="Z274" s="30">
        <v>0</v>
      </c>
      <c r="AA274" s="30"/>
      <c r="AB274" s="30"/>
      <c r="AC274" s="30" t="s">
        <v>478</v>
      </c>
      <c r="AD274" s="221"/>
      <c r="AE274" s="220"/>
      <c r="AF274" s="222"/>
      <c r="AG274" s="30"/>
      <c r="AH274" s="135" t="str">
        <f>AI274</f>
        <v>GVV-Concord-OP</v>
      </c>
      <c r="AI274" s="272" t="s">
        <v>42</v>
      </c>
      <c r="AJ274" s="135" t="str">
        <f>AK274</f>
        <v>WP</v>
      </c>
      <c r="AK274" s="275" t="s">
        <v>9</v>
      </c>
      <c r="AL274" s="135" t="str">
        <f>AM274</f>
        <v>Operational</v>
      </c>
      <c r="AM274" s="276" t="s">
        <v>5</v>
      </c>
      <c r="AN274" s="135" t="str">
        <f>AO274</f>
        <v>Toronto</v>
      </c>
      <c r="AO274" s="49" t="s">
        <v>7</v>
      </c>
      <c r="AP274" s="275" t="s">
        <v>8</v>
      </c>
      <c r="AQ274" s="135" t="str">
        <f>AR274</f>
        <v>Storage</v>
      </c>
      <c r="AR274" s="279" t="s">
        <v>92</v>
      </c>
    </row>
    <row r="275" spans="3:44" x14ac:dyDescent="0.3">
      <c r="C275" s="271" t="s">
        <v>675</v>
      </c>
      <c r="D275" s="51" t="s">
        <v>23</v>
      </c>
      <c r="E275" s="39">
        <v>1</v>
      </c>
      <c r="F275" s="39" t="s">
        <v>14</v>
      </c>
      <c r="G275" s="39">
        <v>0</v>
      </c>
      <c r="H275" s="39">
        <v>1</v>
      </c>
      <c r="I275" s="226"/>
      <c r="J275" s="226" t="s">
        <v>75</v>
      </c>
      <c r="K275" s="70" t="s">
        <v>585</v>
      </c>
      <c r="L275" s="217">
        <v>0</v>
      </c>
      <c r="M275" s="97" t="str">
        <f t="shared" si="425"/>
        <v>No</v>
      </c>
      <c r="N275" s="98">
        <v>1</v>
      </c>
      <c r="O275" s="99" t="str">
        <f t="shared" si="426"/>
        <v>Yes</v>
      </c>
      <c r="P275" s="100">
        <v>0</v>
      </c>
      <c r="Q275" s="101" t="str">
        <f t="shared" si="427"/>
        <v>No</v>
      </c>
      <c r="R275" s="96">
        <v>0</v>
      </c>
      <c r="S275" s="11" t="str">
        <f t="shared" si="428"/>
        <v>No</v>
      </c>
      <c r="T275" s="28" t="str">
        <f>T274</f>
        <v>120/208 AC</v>
      </c>
      <c r="U275" s="273"/>
      <c r="V275" s="140">
        <f>V274</f>
        <v>3</v>
      </c>
      <c r="W275" s="273"/>
      <c r="X275" s="39">
        <v>1</v>
      </c>
      <c r="Y275" s="39">
        <v>1</v>
      </c>
      <c r="Z275" s="39">
        <v>0</v>
      </c>
      <c r="AA275" s="39"/>
      <c r="AB275" s="39"/>
      <c r="AC275" s="39"/>
      <c r="AD275" s="39"/>
      <c r="AE275" s="39"/>
      <c r="AF275" s="39"/>
      <c r="AG275" s="39"/>
      <c r="AH275" s="140" t="str">
        <f>AH274</f>
        <v>GVV-Concord-OP</v>
      </c>
      <c r="AI275" s="273"/>
      <c r="AJ275" s="140" t="str">
        <f>AJ274</f>
        <v>WP</v>
      </c>
      <c r="AK275" s="273"/>
      <c r="AL275" s="140" t="str">
        <f>AL274</f>
        <v>Operational</v>
      </c>
      <c r="AM275" s="277"/>
      <c r="AN275" s="140" t="str">
        <f>AN274</f>
        <v>Toronto</v>
      </c>
      <c r="AO275" s="82" t="s">
        <v>7</v>
      </c>
      <c r="AP275" s="273"/>
      <c r="AQ275" s="140" t="str">
        <f>AQ274</f>
        <v>Storage</v>
      </c>
      <c r="AR275" s="280"/>
    </row>
    <row r="276" spans="3:44" x14ac:dyDescent="0.3">
      <c r="C276" s="271" t="s">
        <v>675</v>
      </c>
      <c r="D276" s="51" t="s">
        <v>24</v>
      </c>
      <c r="E276" s="39">
        <v>1</v>
      </c>
      <c r="F276" s="39" t="s">
        <v>14</v>
      </c>
      <c r="G276" s="39">
        <v>0</v>
      </c>
      <c r="H276" s="39">
        <v>1</v>
      </c>
      <c r="I276" s="226"/>
      <c r="J276" s="226" t="s">
        <v>75</v>
      </c>
      <c r="K276" s="70" t="s">
        <v>585</v>
      </c>
      <c r="L276" s="217">
        <v>0</v>
      </c>
      <c r="M276" s="97" t="str">
        <f t="shared" si="425"/>
        <v>No</v>
      </c>
      <c r="N276" s="98">
        <v>1</v>
      </c>
      <c r="O276" s="99" t="str">
        <f t="shared" si="426"/>
        <v>Yes</v>
      </c>
      <c r="P276" s="100">
        <v>0</v>
      </c>
      <c r="Q276" s="101" t="str">
        <f t="shared" si="427"/>
        <v>No</v>
      </c>
      <c r="R276" s="96">
        <v>0</v>
      </c>
      <c r="S276" s="11" t="str">
        <f t="shared" si="428"/>
        <v>No</v>
      </c>
      <c r="T276" s="28" t="str">
        <f t="shared" ref="T276:T279" si="429">T275</f>
        <v>120/208 AC</v>
      </c>
      <c r="U276" s="273"/>
      <c r="V276" s="140">
        <f t="shared" ref="V276:V279" si="430">V275</f>
        <v>3</v>
      </c>
      <c r="W276" s="273"/>
      <c r="X276" s="39">
        <v>1</v>
      </c>
      <c r="Y276" s="39">
        <v>1</v>
      </c>
      <c r="Z276" s="39">
        <v>0</v>
      </c>
      <c r="AA276" s="39"/>
      <c r="AB276" s="39"/>
      <c r="AC276" s="39"/>
      <c r="AD276" s="39"/>
      <c r="AE276" s="39"/>
      <c r="AF276" s="39"/>
      <c r="AG276" s="39"/>
      <c r="AH276" s="140" t="str">
        <f t="shared" ref="AH276:AH279" si="431">AH275</f>
        <v>GVV-Concord-OP</v>
      </c>
      <c r="AI276" s="273"/>
      <c r="AJ276" s="140" t="str">
        <f t="shared" ref="AJ276:AJ279" si="432">AJ275</f>
        <v>WP</v>
      </c>
      <c r="AK276" s="273"/>
      <c r="AL276" s="140" t="str">
        <f t="shared" ref="AL276:AL279" si="433">AL275</f>
        <v>Operational</v>
      </c>
      <c r="AM276" s="277"/>
      <c r="AN276" s="140" t="str">
        <f t="shared" ref="AN276:AN279" si="434">AN275</f>
        <v>Toronto</v>
      </c>
      <c r="AO276" s="82" t="s">
        <v>7</v>
      </c>
      <c r="AP276" s="273"/>
      <c r="AQ276" s="140" t="str">
        <f t="shared" ref="AQ276:AQ279" si="435">AQ275</f>
        <v>Storage</v>
      </c>
      <c r="AR276" s="280"/>
    </row>
    <row r="277" spans="3:44" x14ac:dyDescent="0.3">
      <c r="C277" s="271" t="s">
        <v>675</v>
      </c>
      <c r="D277" s="51" t="s">
        <v>25</v>
      </c>
      <c r="E277" s="39">
        <v>1</v>
      </c>
      <c r="F277" s="39" t="s">
        <v>14</v>
      </c>
      <c r="G277" s="39">
        <v>0</v>
      </c>
      <c r="H277" s="39">
        <v>1</v>
      </c>
      <c r="I277" s="226"/>
      <c r="J277" s="226" t="s">
        <v>75</v>
      </c>
      <c r="K277" s="70" t="s">
        <v>585</v>
      </c>
      <c r="L277" s="217">
        <v>0</v>
      </c>
      <c r="M277" s="97" t="str">
        <f t="shared" si="425"/>
        <v>No</v>
      </c>
      <c r="N277" s="98">
        <v>1</v>
      </c>
      <c r="O277" s="99" t="str">
        <f t="shared" si="426"/>
        <v>Yes</v>
      </c>
      <c r="P277" s="100">
        <v>0</v>
      </c>
      <c r="Q277" s="101" t="str">
        <f t="shared" si="427"/>
        <v>No</v>
      </c>
      <c r="R277" s="96">
        <v>0</v>
      </c>
      <c r="S277" s="11" t="str">
        <f t="shared" si="428"/>
        <v>No</v>
      </c>
      <c r="T277" s="28" t="str">
        <f t="shared" si="429"/>
        <v>120/208 AC</v>
      </c>
      <c r="U277" s="273"/>
      <c r="V277" s="140">
        <f t="shared" si="430"/>
        <v>3</v>
      </c>
      <c r="W277" s="273"/>
      <c r="X277" s="39">
        <v>1</v>
      </c>
      <c r="Y277" s="39">
        <v>1</v>
      </c>
      <c r="Z277" s="39">
        <v>0</v>
      </c>
      <c r="AA277" s="39"/>
      <c r="AB277" s="39"/>
      <c r="AC277" s="39"/>
      <c r="AD277" s="39"/>
      <c r="AE277" s="39"/>
      <c r="AF277" s="39"/>
      <c r="AG277" s="39"/>
      <c r="AH277" s="140" t="str">
        <f t="shared" si="431"/>
        <v>GVV-Concord-OP</v>
      </c>
      <c r="AI277" s="273"/>
      <c r="AJ277" s="140" t="str">
        <f t="shared" si="432"/>
        <v>WP</v>
      </c>
      <c r="AK277" s="273"/>
      <c r="AL277" s="140" t="str">
        <f t="shared" si="433"/>
        <v>Operational</v>
      </c>
      <c r="AM277" s="277"/>
      <c r="AN277" s="140" t="str">
        <f t="shared" si="434"/>
        <v>Toronto</v>
      </c>
      <c r="AO277" s="82" t="s">
        <v>7</v>
      </c>
      <c r="AP277" s="273"/>
      <c r="AQ277" s="140" t="str">
        <f t="shared" si="435"/>
        <v>Storage</v>
      </c>
      <c r="AR277" s="280"/>
    </row>
    <row r="278" spans="3:44" x14ac:dyDescent="0.3">
      <c r="C278" s="271" t="s">
        <v>675</v>
      </c>
      <c r="D278" s="51" t="s">
        <v>31</v>
      </c>
      <c r="E278" s="39">
        <v>1</v>
      </c>
      <c r="F278" s="39" t="s">
        <v>14</v>
      </c>
      <c r="G278" s="39">
        <v>0</v>
      </c>
      <c r="H278" s="39">
        <v>1</v>
      </c>
      <c r="I278" s="226"/>
      <c r="J278" s="226" t="s">
        <v>75</v>
      </c>
      <c r="K278" s="70" t="s">
        <v>585</v>
      </c>
      <c r="L278" s="217">
        <v>0</v>
      </c>
      <c r="M278" s="97" t="str">
        <f t="shared" si="425"/>
        <v>No</v>
      </c>
      <c r="N278" s="98">
        <v>1</v>
      </c>
      <c r="O278" s="99" t="str">
        <f t="shared" si="426"/>
        <v>Yes</v>
      </c>
      <c r="P278" s="100">
        <v>0</v>
      </c>
      <c r="Q278" s="101" t="str">
        <f t="shared" si="427"/>
        <v>No</v>
      </c>
      <c r="R278" s="96">
        <v>0</v>
      </c>
      <c r="S278" s="11" t="str">
        <f t="shared" si="428"/>
        <v>No</v>
      </c>
      <c r="T278" s="28" t="str">
        <f t="shared" si="429"/>
        <v>120/208 AC</v>
      </c>
      <c r="U278" s="273"/>
      <c r="V278" s="140">
        <f t="shared" si="430"/>
        <v>3</v>
      </c>
      <c r="W278" s="273"/>
      <c r="X278" s="39">
        <v>1</v>
      </c>
      <c r="Y278" s="39">
        <v>1</v>
      </c>
      <c r="Z278" s="39">
        <v>0</v>
      </c>
      <c r="AA278" s="39"/>
      <c r="AB278" s="39"/>
      <c r="AC278" s="39"/>
      <c r="AD278" s="39"/>
      <c r="AE278" s="39"/>
      <c r="AF278" s="39"/>
      <c r="AG278" s="39"/>
      <c r="AH278" s="140" t="str">
        <f t="shared" si="431"/>
        <v>GVV-Concord-OP</v>
      </c>
      <c r="AI278" s="273"/>
      <c r="AJ278" s="140" t="str">
        <f t="shared" si="432"/>
        <v>WP</v>
      </c>
      <c r="AK278" s="273"/>
      <c r="AL278" s="140" t="str">
        <f t="shared" si="433"/>
        <v>Operational</v>
      </c>
      <c r="AM278" s="277"/>
      <c r="AN278" s="140" t="str">
        <f t="shared" si="434"/>
        <v>Toronto</v>
      </c>
      <c r="AO278" s="82" t="s">
        <v>7</v>
      </c>
      <c r="AP278" s="273"/>
      <c r="AQ278" s="140" t="str">
        <f t="shared" si="435"/>
        <v>Storage</v>
      </c>
      <c r="AR278" s="280"/>
    </row>
    <row r="279" spans="3:44" ht="15" thickBot="1" x14ac:dyDescent="0.35">
      <c r="C279" s="271" t="s">
        <v>675</v>
      </c>
      <c r="D279" s="52" t="s">
        <v>32</v>
      </c>
      <c r="E279" s="34">
        <v>1</v>
      </c>
      <c r="F279" s="34" t="s">
        <v>14</v>
      </c>
      <c r="G279" s="34">
        <v>0</v>
      </c>
      <c r="H279" s="34">
        <v>1</v>
      </c>
      <c r="I279" s="227"/>
      <c r="J279" s="227" t="s">
        <v>75</v>
      </c>
      <c r="K279" s="95" t="s">
        <v>585</v>
      </c>
      <c r="L279" s="103">
        <v>0</v>
      </c>
      <c r="M279" s="104" t="str">
        <f t="shared" si="425"/>
        <v>No</v>
      </c>
      <c r="N279" s="105">
        <v>1</v>
      </c>
      <c r="O279" s="106" t="str">
        <f t="shared" si="426"/>
        <v>Yes</v>
      </c>
      <c r="P279" s="107">
        <v>0</v>
      </c>
      <c r="Q279" s="108" t="str">
        <f t="shared" si="427"/>
        <v>No</v>
      </c>
      <c r="R279" s="103">
        <v>0</v>
      </c>
      <c r="S279" s="10" t="str">
        <f t="shared" si="428"/>
        <v>No</v>
      </c>
      <c r="T279" s="28" t="str">
        <f t="shared" si="429"/>
        <v>120/208 AC</v>
      </c>
      <c r="U279" s="274"/>
      <c r="V279" s="140">
        <f t="shared" si="430"/>
        <v>3</v>
      </c>
      <c r="W279" s="274"/>
      <c r="X279" s="34">
        <v>1</v>
      </c>
      <c r="Y279" s="34">
        <v>1</v>
      </c>
      <c r="Z279" s="34">
        <v>0</v>
      </c>
      <c r="AA279" s="34"/>
      <c r="AB279" s="34"/>
      <c r="AC279" s="34"/>
      <c r="AD279" s="34"/>
      <c r="AE279" s="34"/>
      <c r="AF279" s="34"/>
      <c r="AG279" s="34"/>
      <c r="AH279" s="140" t="str">
        <f t="shared" si="431"/>
        <v>GVV-Concord-OP</v>
      </c>
      <c r="AI279" s="274"/>
      <c r="AJ279" s="140" t="str">
        <f t="shared" si="432"/>
        <v>WP</v>
      </c>
      <c r="AK279" s="274"/>
      <c r="AL279" s="140" t="str">
        <f t="shared" si="433"/>
        <v>Operational</v>
      </c>
      <c r="AM279" s="278"/>
      <c r="AN279" s="140" t="str">
        <f t="shared" si="434"/>
        <v>Toronto</v>
      </c>
      <c r="AO279" s="83" t="s">
        <v>7</v>
      </c>
      <c r="AP279" s="274"/>
      <c r="AQ279" s="140" t="str">
        <f t="shared" si="435"/>
        <v>Storage</v>
      </c>
      <c r="AR279" s="281"/>
    </row>
    <row r="280" spans="3:44" ht="15" thickTop="1" x14ac:dyDescent="0.3">
      <c r="C280" s="271" t="s">
        <v>676</v>
      </c>
      <c r="D280" s="50" t="s">
        <v>22</v>
      </c>
      <c r="E280" s="30">
        <v>1</v>
      </c>
      <c r="F280" s="30" t="s">
        <v>14</v>
      </c>
      <c r="G280" s="30">
        <v>0</v>
      </c>
      <c r="H280" s="30">
        <v>1</v>
      </c>
      <c r="I280" s="228"/>
      <c r="J280" s="228" t="s">
        <v>75</v>
      </c>
      <c r="K280" s="88" t="s">
        <v>585</v>
      </c>
      <c r="L280" s="89">
        <v>0</v>
      </c>
      <c r="M280" s="90" t="str">
        <f t="shared" ref="M280:M297" si="436">IF(L280&gt;=1,"Yes","No")</f>
        <v>No</v>
      </c>
      <c r="N280" s="91">
        <v>1</v>
      </c>
      <c r="O280" s="92" t="str">
        <f t="shared" ref="O280:O297" si="437">IF(N280&gt;=1,"Yes","No")</f>
        <v>Yes</v>
      </c>
      <c r="P280" s="93">
        <v>0</v>
      </c>
      <c r="Q280" s="94" t="str">
        <f t="shared" ref="Q280:Q297" si="438">IF(P280&gt;=1,"Yes","No")</f>
        <v>No</v>
      </c>
      <c r="R280" s="89">
        <v>0</v>
      </c>
      <c r="S280" s="9" t="str">
        <f t="shared" ref="S280:S297" si="439">IF(R280&gt;=1,"Yes","No")</f>
        <v>No</v>
      </c>
      <c r="T280" s="26" t="str">
        <f>U280</f>
        <v>120/208 AC</v>
      </c>
      <c r="U280" s="272" t="s">
        <v>548</v>
      </c>
      <c r="V280" s="135">
        <f>W280</f>
        <v>3</v>
      </c>
      <c r="W280" s="272">
        <v>3</v>
      </c>
      <c r="X280" s="30">
        <v>1</v>
      </c>
      <c r="Y280" s="30">
        <v>1</v>
      </c>
      <c r="Z280" s="30">
        <v>0</v>
      </c>
      <c r="AA280" s="30"/>
      <c r="AB280" s="30"/>
      <c r="AC280" s="30" t="s">
        <v>478</v>
      </c>
      <c r="AD280" s="221"/>
      <c r="AE280" s="220"/>
      <c r="AF280" s="222"/>
      <c r="AG280" s="30"/>
      <c r="AH280" s="135" t="str">
        <f>AI280</f>
        <v>GVV-Concord-OP</v>
      </c>
      <c r="AI280" s="272" t="s">
        <v>42</v>
      </c>
      <c r="AJ280" s="135" t="str">
        <f>AK280</f>
        <v>WP</v>
      </c>
      <c r="AK280" s="275" t="s">
        <v>9</v>
      </c>
      <c r="AL280" s="135" t="str">
        <f>AM280</f>
        <v>Operational</v>
      </c>
      <c r="AM280" s="276" t="s">
        <v>5</v>
      </c>
      <c r="AN280" s="135" t="str">
        <f>AO280</f>
        <v>Toronto</v>
      </c>
      <c r="AO280" s="49" t="s">
        <v>7</v>
      </c>
      <c r="AP280" s="275" t="s">
        <v>8</v>
      </c>
      <c r="AQ280" s="135" t="str">
        <f>AR280</f>
        <v>Storage</v>
      </c>
      <c r="AR280" s="279" t="s">
        <v>92</v>
      </c>
    </row>
    <row r="281" spans="3:44" x14ac:dyDescent="0.3">
      <c r="C281" s="271" t="s">
        <v>676</v>
      </c>
      <c r="D281" s="51" t="s">
        <v>23</v>
      </c>
      <c r="E281" s="39">
        <v>1</v>
      </c>
      <c r="F281" s="39" t="s">
        <v>14</v>
      </c>
      <c r="G281" s="39">
        <v>0</v>
      </c>
      <c r="H281" s="39">
        <v>1</v>
      </c>
      <c r="I281" s="226"/>
      <c r="J281" s="226" t="s">
        <v>75</v>
      </c>
      <c r="K281" s="70" t="s">
        <v>585</v>
      </c>
      <c r="L281" s="217">
        <v>0</v>
      </c>
      <c r="M281" s="97" t="str">
        <f t="shared" si="436"/>
        <v>No</v>
      </c>
      <c r="N281" s="98">
        <v>1</v>
      </c>
      <c r="O281" s="99" t="str">
        <f t="shared" si="437"/>
        <v>Yes</v>
      </c>
      <c r="P281" s="100">
        <v>0</v>
      </c>
      <c r="Q281" s="101" t="str">
        <f t="shared" si="438"/>
        <v>No</v>
      </c>
      <c r="R281" s="96">
        <v>0</v>
      </c>
      <c r="S281" s="11" t="str">
        <f t="shared" si="439"/>
        <v>No</v>
      </c>
      <c r="T281" s="28" t="str">
        <f>T280</f>
        <v>120/208 AC</v>
      </c>
      <c r="U281" s="273"/>
      <c r="V281" s="140">
        <f>V280</f>
        <v>3</v>
      </c>
      <c r="W281" s="273"/>
      <c r="X281" s="39">
        <v>1</v>
      </c>
      <c r="Y281" s="39">
        <v>1</v>
      </c>
      <c r="Z281" s="39">
        <v>0</v>
      </c>
      <c r="AA281" s="39"/>
      <c r="AB281" s="39"/>
      <c r="AC281" s="39"/>
      <c r="AD281" s="39"/>
      <c r="AE281" s="39"/>
      <c r="AF281" s="39"/>
      <c r="AG281" s="39"/>
      <c r="AH281" s="140" t="str">
        <f>AH280</f>
        <v>GVV-Concord-OP</v>
      </c>
      <c r="AI281" s="273"/>
      <c r="AJ281" s="140" t="str">
        <f>AJ280</f>
        <v>WP</v>
      </c>
      <c r="AK281" s="273"/>
      <c r="AL281" s="140" t="str">
        <f>AL280</f>
        <v>Operational</v>
      </c>
      <c r="AM281" s="277"/>
      <c r="AN281" s="140" t="str">
        <f>AN280</f>
        <v>Toronto</v>
      </c>
      <c r="AO281" s="82" t="s">
        <v>7</v>
      </c>
      <c r="AP281" s="273"/>
      <c r="AQ281" s="140" t="str">
        <f>AQ280</f>
        <v>Storage</v>
      </c>
      <c r="AR281" s="280"/>
    </row>
    <row r="282" spans="3:44" x14ac:dyDescent="0.3">
      <c r="C282" s="271" t="s">
        <v>676</v>
      </c>
      <c r="D282" s="51" t="s">
        <v>24</v>
      </c>
      <c r="E282" s="39">
        <v>1</v>
      </c>
      <c r="F282" s="39" t="s">
        <v>14</v>
      </c>
      <c r="G282" s="39">
        <v>0</v>
      </c>
      <c r="H282" s="39">
        <v>1</v>
      </c>
      <c r="I282" s="226"/>
      <c r="J282" s="226" t="s">
        <v>75</v>
      </c>
      <c r="K282" s="70" t="s">
        <v>585</v>
      </c>
      <c r="L282" s="217">
        <v>0</v>
      </c>
      <c r="M282" s="97" t="str">
        <f t="shared" si="436"/>
        <v>No</v>
      </c>
      <c r="N282" s="98">
        <v>1</v>
      </c>
      <c r="O282" s="99" t="str">
        <f t="shared" si="437"/>
        <v>Yes</v>
      </c>
      <c r="P282" s="100">
        <v>0</v>
      </c>
      <c r="Q282" s="101" t="str">
        <f t="shared" si="438"/>
        <v>No</v>
      </c>
      <c r="R282" s="96">
        <v>0</v>
      </c>
      <c r="S282" s="11" t="str">
        <f t="shared" si="439"/>
        <v>No</v>
      </c>
      <c r="T282" s="28" t="str">
        <f t="shared" ref="T282:T285" si="440">T281</f>
        <v>120/208 AC</v>
      </c>
      <c r="U282" s="273"/>
      <c r="V282" s="140">
        <f t="shared" ref="V282:V285" si="441">V281</f>
        <v>3</v>
      </c>
      <c r="W282" s="273"/>
      <c r="X282" s="39">
        <v>1</v>
      </c>
      <c r="Y282" s="39">
        <v>1</v>
      </c>
      <c r="Z282" s="39">
        <v>0</v>
      </c>
      <c r="AA282" s="39"/>
      <c r="AB282" s="39"/>
      <c r="AC282" s="39"/>
      <c r="AD282" s="39"/>
      <c r="AE282" s="39"/>
      <c r="AF282" s="39"/>
      <c r="AG282" s="39"/>
      <c r="AH282" s="140" t="str">
        <f t="shared" ref="AH282:AH285" si="442">AH281</f>
        <v>GVV-Concord-OP</v>
      </c>
      <c r="AI282" s="273"/>
      <c r="AJ282" s="140" t="str">
        <f t="shared" ref="AJ282:AJ285" si="443">AJ281</f>
        <v>WP</v>
      </c>
      <c r="AK282" s="273"/>
      <c r="AL282" s="140" t="str">
        <f t="shared" ref="AL282:AL285" si="444">AL281</f>
        <v>Operational</v>
      </c>
      <c r="AM282" s="277"/>
      <c r="AN282" s="140" t="str">
        <f t="shared" ref="AN282:AN285" si="445">AN281</f>
        <v>Toronto</v>
      </c>
      <c r="AO282" s="82" t="s">
        <v>7</v>
      </c>
      <c r="AP282" s="273"/>
      <c r="AQ282" s="140" t="str">
        <f t="shared" ref="AQ282:AQ285" si="446">AQ281</f>
        <v>Storage</v>
      </c>
      <c r="AR282" s="280"/>
    </row>
    <row r="283" spans="3:44" x14ac:dyDescent="0.3">
      <c r="C283" s="271" t="s">
        <v>676</v>
      </c>
      <c r="D283" s="51" t="s">
        <v>25</v>
      </c>
      <c r="E283" s="39">
        <v>1</v>
      </c>
      <c r="F283" s="39" t="s">
        <v>14</v>
      </c>
      <c r="G283" s="39">
        <v>0</v>
      </c>
      <c r="H283" s="39">
        <v>1</v>
      </c>
      <c r="I283" s="226"/>
      <c r="J283" s="226" t="s">
        <v>75</v>
      </c>
      <c r="K283" s="70" t="s">
        <v>585</v>
      </c>
      <c r="L283" s="217">
        <v>0</v>
      </c>
      <c r="M283" s="97" t="str">
        <f t="shared" si="436"/>
        <v>No</v>
      </c>
      <c r="N283" s="98">
        <v>1</v>
      </c>
      <c r="O283" s="99" t="str">
        <f t="shared" si="437"/>
        <v>Yes</v>
      </c>
      <c r="P283" s="100">
        <v>0</v>
      </c>
      <c r="Q283" s="101" t="str">
        <f t="shared" si="438"/>
        <v>No</v>
      </c>
      <c r="R283" s="96">
        <v>0</v>
      </c>
      <c r="S283" s="11" t="str">
        <f t="shared" si="439"/>
        <v>No</v>
      </c>
      <c r="T283" s="28" t="str">
        <f t="shared" si="440"/>
        <v>120/208 AC</v>
      </c>
      <c r="U283" s="273"/>
      <c r="V283" s="140">
        <f t="shared" si="441"/>
        <v>3</v>
      </c>
      <c r="W283" s="273"/>
      <c r="X283" s="39">
        <v>1</v>
      </c>
      <c r="Y283" s="39">
        <v>1</v>
      </c>
      <c r="Z283" s="39">
        <v>0</v>
      </c>
      <c r="AA283" s="39"/>
      <c r="AB283" s="39"/>
      <c r="AC283" s="39"/>
      <c r="AD283" s="39"/>
      <c r="AE283" s="39"/>
      <c r="AF283" s="39"/>
      <c r="AG283" s="39"/>
      <c r="AH283" s="140" t="str">
        <f t="shared" si="442"/>
        <v>GVV-Concord-OP</v>
      </c>
      <c r="AI283" s="273"/>
      <c r="AJ283" s="140" t="str">
        <f t="shared" si="443"/>
        <v>WP</v>
      </c>
      <c r="AK283" s="273"/>
      <c r="AL283" s="140" t="str">
        <f t="shared" si="444"/>
        <v>Operational</v>
      </c>
      <c r="AM283" s="277"/>
      <c r="AN283" s="140" t="str">
        <f t="shared" si="445"/>
        <v>Toronto</v>
      </c>
      <c r="AO283" s="82" t="s">
        <v>7</v>
      </c>
      <c r="AP283" s="273"/>
      <c r="AQ283" s="140" t="str">
        <f t="shared" si="446"/>
        <v>Storage</v>
      </c>
      <c r="AR283" s="280"/>
    </row>
    <row r="284" spans="3:44" x14ac:dyDescent="0.3">
      <c r="C284" s="271" t="s">
        <v>676</v>
      </c>
      <c r="D284" s="51" t="s">
        <v>31</v>
      </c>
      <c r="E284" s="39">
        <v>1</v>
      </c>
      <c r="F284" s="39" t="s">
        <v>14</v>
      </c>
      <c r="G284" s="39">
        <v>0</v>
      </c>
      <c r="H284" s="39">
        <v>1</v>
      </c>
      <c r="I284" s="226"/>
      <c r="J284" s="226" t="s">
        <v>75</v>
      </c>
      <c r="K284" s="70" t="s">
        <v>585</v>
      </c>
      <c r="L284" s="217">
        <v>0</v>
      </c>
      <c r="M284" s="97" t="str">
        <f t="shared" si="436"/>
        <v>No</v>
      </c>
      <c r="N284" s="98">
        <v>1</v>
      </c>
      <c r="O284" s="99" t="str">
        <f t="shared" si="437"/>
        <v>Yes</v>
      </c>
      <c r="P284" s="100">
        <v>0</v>
      </c>
      <c r="Q284" s="101" t="str">
        <f t="shared" si="438"/>
        <v>No</v>
      </c>
      <c r="R284" s="96">
        <v>0</v>
      </c>
      <c r="S284" s="11" t="str">
        <f t="shared" si="439"/>
        <v>No</v>
      </c>
      <c r="T284" s="28" t="str">
        <f t="shared" si="440"/>
        <v>120/208 AC</v>
      </c>
      <c r="U284" s="273"/>
      <c r="V284" s="140">
        <f t="shared" si="441"/>
        <v>3</v>
      </c>
      <c r="W284" s="273"/>
      <c r="X284" s="39">
        <v>1</v>
      </c>
      <c r="Y284" s="39">
        <v>1</v>
      </c>
      <c r="Z284" s="39">
        <v>0</v>
      </c>
      <c r="AA284" s="39"/>
      <c r="AB284" s="39"/>
      <c r="AC284" s="39"/>
      <c r="AD284" s="39"/>
      <c r="AE284" s="39"/>
      <c r="AF284" s="39"/>
      <c r="AG284" s="39"/>
      <c r="AH284" s="140" t="str">
        <f t="shared" si="442"/>
        <v>GVV-Concord-OP</v>
      </c>
      <c r="AI284" s="273"/>
      <c r="AJ284" s="140" t="str">
        <f t="shared" si="443"/>
        <v>WP</v>
      </c>
      <c r="AK284" s="273"/>
      <c r="AL284" s="140" t="str">
        <f t="shared" si="444"/>
        <v>Operational</v>
      </c>
      <c r="AM284" s="277"/>
      <c r="AN284" s="140" t="str">
        <f t="shared" si="445"/>
        <v>Toronto</v>
      </c>
      <c r="AO284" s="82" t="s">
        <v>7</v>
      </c>
      <c r="AP284" s="273"/>
      <c r="AQ284" s="140" t="str">
        <f t="shared" si="446"/>
        <v>Storage</v>
      </c>
      <c r="AR284" s="280"/>
    </row>
    <row r="285" spans="3:44" ht="15" thickBot="1" x14ac:dyDescent="0.35">
      <c r="C285" s="271" t="s">
        <v>676</v>
      </c>
      <c r="D285" s="52" t="s">
        <v>32</v>
      </c>
      <c r="E285" s="34">
        <v>1</v>
      </c>
      <c r="F285" s="34" t="s">
        <v>14</v>
      </c>
      <c r="G285" s="34">
        <v>0</v>
      </c>
      <c r="H285" s="34">
        <v>1</v>
      </c>
      <c r="I285" s="227"/>
      <c r="J285" s="227" t="s">
        <v>75</v>
      </c>
      <c r="K285" s="95" t="s">
        <v>585</v>
      </c>
      <c r="L285" s="103">
        <v>0</v>
      </c>
      <c r="M285" s="104" t="str">
        <f t="shared" si="436"/>
        <v>No</v>
      </c>
      <c r="N285" s="105">
        <v>1</v>
      </c>
      <c r="O285" s="106" t="str">
        <f t="shared" si="437"/>
        <v>Yes</v>
      </c>
      <c r="P285" s="107">
        <v>0</v>
      </c>
      <c r="Q285" s="108" t="str">
        <f t="shared" si="438"/>
        <v>No</v>
      </c>
      <c r="R285" s="103">
        <v>0</v>
      </c>
      <c r="S285" s="10" t="str">
        <f t="shared" si="439"/>
        <v>No</v>
      </c>
      <c r="T285" s="28" t="str">
        <f t="shared" si="440"/>
        <v>120/208 AC</v>
      </c>
      <c r="U285" s="274"/>
      <c r="V285" s="140">
        <f t="shared" si="441"/>
        <v>3</v>
      </c>
      <c r="W285" s="274"/>
      <c r="X285" s="34">
        <v>1</v>
      </c>
      <c r="Y285" s="34">
        <v>1</v>
      </c>
      <c r="Z285" s="34">
        <v>0</v>
      </c>
      <c r="AA285" s="34"/>
      <c r="AB285" s="34"/>
      <c r="AC285" s="34"/>
      <c r="AD285" s="34"/>
      <c r="AE285" s="34"/>
      <c r="AF285" s="34"/>
      <c r="AG285" s="34"/>
      <c r="AH285" s="140" t="str">
        <f t="shared" si="442"/>
        <v>GVV-Concord-OP</v>
      </c>
      <c r="AI285" s="274"/>
      <c r="AJ285" s="140" t="str">
        <f t="shared" si="443"/>
        <v>WP</v>
      </c>
      <c r="AK285" s="274"/>
      <c r="AL285" s="140" t="str">
        <f t="shared" si="444"/>
        <v>Operational</v>
      </c>
      <c r="AM285" s="278"/>
      <c r="AN285" s="140" t="str">
        <f t="shared" si="445"/>
        <v>Toronto</v>
      </c>
      <c r="AO285" s="83" t="s">
        <v>7</v>
      </c>
      <c r="AP285" s="274"/>
      <c r="AQ285" s="140" t="str">
        <f t="shared" si="446"/>
        <v>Storage</v>
      </c>
      <c r="AR285" s="281"/>
    </row>
    <row r="286" spans="3:44" ht="15" thickTop="1" x14ac:dyDescent="0.3">
      <c r="C286" s="271" t="s">
        <v>677</v>
      </c>
      <c r="D286" s="50" t="s">
        <v>22</v>
      </c>
      <c r="E286" s="30">
        <v>1</v>
      </c>
      <c r="F286" s="30" t="s">
        <v>14</v>
      </c>
      <c r="G286" s="30">
        <v>0</v>
      </c>
      <c r="H286" s="30">
        <v>1</v>
      </c>
      <c r="I286" s="228"/>
      <c r="J286" s="228" t="s">
        <v>75</v>
      </c>
      <c r="K286" s="88" t="s">
        <v>585</v>
      </c>
      <c r="L286" s="89">
        <v>0</v>
      </c>
      <c r="M286" s="90" t="str">
        <f t="shared" si="436"/>
        <v>No</v>
      </c>
      <c r="N286" s="91">
        <v>1</v>
      </c>
      <c r="O286" s="92" t="str">
        <f t="shared" si="437"/>
        <v>Yes</v>
      </c>
      <c r="P286" s="93">
        <v>0</v>
      </c>
      <c r="Q286" s="94" t="str">
        <f t="shared" si="438"/>
        <v>No</v>
      </c>
      <c r="R286" s="89">
        <v>0</v>
      </c>
      <c r="S286" s="9" t="str">
        <f t="shared" si="439"/>
        <v>No</v>
      </c>
      <c r="T286" s="26" t="str">
        <f>U286</f>
        <v>120/208 AC</v>
      </c>
      <c r="U286" s="272" t="s">
        <v>548</v>
      </c>
      <c r="V286" s="135">
        <f>W286</f>
        <v>3</v>
      </c>
      <c r="W286" s="272">
        <v>3</v>
      </c>
      <c r="X286" s="30">
        <v>1</v>
      </c>
      <c r="Y286" s="30">
        <v>1</v>
      </c>
      <c r="Z286" s="30">
        <v>0</v>
      </c>
      <c r="AA286" s="30"/>
      <c r="AB286" s="30"/>
      <c r="AC286" s="30" t="s">
        <v>478</v>
      </c>
      <c r="AD286" s="221"/>
      <c r="AE286" s="220"/>
      <c r="AF286" s="222"/>
      <c r="AG286" s="30"/>
      <c r="AH286" s="135" t="str">
        <f>AI286</f>
        <v>GVV-Concord-OP</v>
      </c>
      <c r="AI286" s="272" t="s">
        <v>42</v>
      </c>
      <c r="AJ286" s="135" t="str">
        <f>AK286</f>
        <v>WP</v>
      </c>
      <c r="AK286" s="275" t="s">
        <v>9</v>
      </c>
      <c r="AL286" s="135" t="str">
        <f>AM286</f>
        <v>Operational</v>
      </c>
      <c r="AM286" s="276" t="s">
        <v>5</v>
      </c>
      <c r="AN286" s="135" t="str">
        <f>AO286</f>
        <v>Toronto</v>
      </c>
      <c r="AO286" s="49" t="s">
        <v>7</v>
      </c>
      <c r="AP286" s="275" t="s">
        <v>8</v>
      </c>
      <c r="AQ286" s="135" t="str">
        <f>AR286</f>
        <v>Storage</v>
      </c>
      <c r="AR286" s="279" t="s">
        <v>92</v>
      </c>
    </row>
    <row r="287" spans="3:44" x14ac:dyDescent="0.3">
      <c r="C287" s="271" t="s">
        <v>677</v>
      </c>
      <c r="D287" s="51" t="s">
        <v>23</v>
      </c>
      <c r="E287" s="39">
        <v>1</v>
      </c>
      <c r="F287" s="39" t="s">
        <v>14</v>
      </c>
      <c r="G287" s="39">
        <v>0</v>
      </c>
      <c r="H287" s="39">
        <v>1</v>
      </c>
      <c r="I287" s="226"/>
      <c r="J287" s="226" t="s">
        <v>75</v>
      </c>
      <c r="K287" s="70" t="s">
        <v>585</v>
      </c>
      <c r="L287" s="217">
        <v>0</v>
      </c>
      <c r="M287" s="97" t="str">
        <f t="shared" si="436"/>
        <v>No</v>
      </c>
      <c r="N287" s="98">
        <v>1</v>
      </c>
      <c r="O287" s="99" t="str">
        <f t="shared" si="437"/>
        <v>Yes</v>
      </c>
      <c r="P287" s="100">
        <v>0</v>
      </c>
      <c r="Q287" s="101" t="str">
        <f t="shared" si="438"/>
        <v>No</v>
      </c>
      <c r="R287" s="96">
        <v>0</v>
      </c>
      <c r="S287" s="11" t="str">
        <f t="shared" si="439"/>
        <v>No</v>
      </c>
      <c r="T287" s="28" t="str">
        <f>T286</f>
        <v>120/208 AC</v>
      </c>
      <c r="U287" s="273"/>
      <c r="V287" s="140">
        <f>V286</f>
        <v>3</v>
      </c>
      <c r="W287" s="273"/>
      <c r="X287" s="39">
        <v>1</v>
      </c>
      <c r="Y287" s="39">
        <v>1</v>
      </c>
      <c r="Z287" s="39">
        <v>0</v>
      </c>
      <c r="AA287" s="39"/>
      <c r="AB287" s="39"/>
      <c r="AC287" s="39"/>
      <c r="AD287" s="39"/>
      <c r="AE287" s="39"/>
      <c r="AF287" s="39"/>
      <c r="AG287" s="39"/>
      <c r="AH287" s="140" t="str">
        <f>AH286</f>
        <v>GVV-Concord-OP</v>
      </c>
      <c r="AI287" s="273"/>
      <c r="AJ287" s="140" t="str">
        <f>AJ286</f>
        <v>WP</v>
      </c>
      <c r="AK287" s="273"/>
      <c r="AL287" s="140" t="str">
        <f>AL286</f>
        <v>Operational</v>
      </c>
      <c r="AM287" s="277"/>
      <c r="AN287" s="140" t="str">
        <f>AN286</f>
        <v>Toronto</v>
      </c>
      <c r="AO287" s="82" t="s">
        <v>7</v>
      </c>
      <c r="AP287" s="273"/>
      <c r="AQ287" s="140" t="str">
        <f>AQ286</f>
        <v>Storage</v>
      </c>
      <c r="AR287" s="280"/>
    </row>
    <row r="288" spans="3:44" x14ac:dyDescent="0.3">
      <c r="C288" s="271" t="s">
        <v>677</v>
      </c>
      <c r="D288" s="51" t="s">
        <v>24</v>
      </c>
      <c r="E288" s="39">
        <v>1</v>
      </c>
      <c r="F288" s="39" t="s">
        <v>14</v>
      </c>
      <c r="G288" s="39">
        <v>0</v>
      </c>
      <c r="H288" s="39">
        <v>1</v>
      </c>
      <c r="I288" s="226"/>
      <c r="J288" s="226" t="s">
        <v>75</v>
      </c>
      <c r="K288" s="70" t="s">
        <v>585</v>
      </c>
      <c r="L288" s="217">
        <v>0</v>
      </c>
      <c r="M288" s="97" t="str">
        <f t="shared" si="436"/>
        <v>No</v>
      </c>
      <c r="N288" s="98">
        <v>1</v>
      </c>
      <c r="O288" s="99" t="str">
        <f t="shared" si="437"/>
        <v>Yes</v>
      </c>
      <c r="P288" s="100">
        <v>0</v>
      </c>
      <c r="Q288" s="101" t="str">
        <f t="shared" si="438"/>
        <v>No</v>
      </c>
      <c r="R288" s="96">
        <v>0</v>
      </c>
      <c r="S288" s="11" t="str">
        <f t="shared" si="439"/>
        <v>No</v>
      </c>
      <c r="T288" s="28" t="str">
        <f t="shared" ref="T288:T291" si="447">T287</f>
        <v>120/208 AC</v>
      </c>
      <c r="U288" s="273"/>
      <c r="V288" s="140">
        <f t="shared" ref="V288:V291" si="448">V287</f>
        <v>3</v>
      </c>
      <c r="W288" s="273"/>
      <c r="X288" s="39">
        <v>1</v>
      </c>
      <c r="Y288" s="39">
        <v>1</v>
      </c>
      <c r="Z288" s="39">
        <v>0</v>
      </c>
      <c r="AA288" s="39"/>
      <c r="AB288" s="39"/>
      <c r="AC288" s="39"/>
      <c r="AD288" s="39"/>
      <c r="AE288" s="39"/>
      <c r="AF288" s="39"/>
      <c r="AG288" s="39"/>
      <c r="AH288" s="140" t="str">
        <f t="shared" ref="AH288:AH291" si="449">AH287</f>
        <v>GVV-Concord-OP</v>
      </c>
      <c r="AI288" s="273"/>
      <c r="AJ288" s="140" t="str">
        <f t="shared" ref="AJ288:AJ291" si="450">AJ287</f>
        <v>WP</v>
      </c>
      <c r="AK288" s="273"/>
      <c r="AL288" s="140" t="str">
        <f t="shared" ref="AL288:AL291" si="451">AL287</f>
        <v>Operational</v>
      </c>
      <c r="AM288" s="277"/>
      <c r="AN288" s="140" t="str">
        <f t="shared" ref="AN288:AN291" si="452">AN287</f>
        <v>Toronto</v>
      </c>
      <c r="AO288" s="82" t="s">
        <v>7</v>
      </c>
      <c r="AP288" s="273"/>
      <c r="AQ288" s="140" t="str">
        <f t="shared" ref="AQ288:AQ291" si="453">AQ287</f>
        <v>Storage</v>
      </c>
      <c r="AR288" s="280"/>
    </row>
    <row r="289" spans="3:44" x14ac:dyDescent="0.3">
      <c r="C289" s="271" t="s">
        <v>677</v>
      </c>
      <c r="D289" s="51" t="s">
        <v>25</v>
      </c>
      <c r="E289" s="39">
        <v>1</v>
      </c>
      <c r="F289" s="39" t="s">
        <v>14</v>
      </c>
      <c r="G289" s="39">
        <v>0</v>
      </c>
      <c r="H289" s="39">
        <v>1</v>
      </c>
      <c r="I289" s="226"/>
      <c r="J289" s="226" t="s">
        <v>75</v>
      </c>
      <c r="K289" s="70" t="s">
        <v>585</v>
      </c>
      <c r="L289" s="217">
        <v>0</v>
      </c>
      <c r="M289" s="97" t="str">
        <f t="shared" si="436"/>
        <v>No</v>
      </c>
      <c r="N289" s="98">
        <v>1</v>
      </c>
      <c r="O289" s="99" t="str">
        <f t="shared" si="437"/>
        <v>Yes</v>
      </c>
      <c r="P289" s="100">
        <v>0</v>
      </c>
      <c r="Q289" s="101" t="str">
        <f t="shared" si="438"/>
        <v>No</v>
      </c>
      <c r="R289" s="96">
        <v>0</v>
      </c>
      <c r="S289" s="11" t="str">
        <f t="shared" si="439"/>
        <v>No</v>
      </c>
      <c r="T289" s="28" t="str">
        <f t="shared" si="447"/>
        <v>120/208 AC</v>
      </c>
      <c r="U289" s="273"/>
      <c r="V289" s="140">
        <f t="shared" si="448"/>
        <v>3</v>
      </c>
      <c r="W289" s="273"/>
      <c r="X289" s="39">
        <v>1</v>
      </c>
      <c r="Y289" s="39">
        <v>1</v>
      </c>
      <c r="Z289" s="39">
        <v>0</v>
      </c>
      <c r="AA289" s="39"/>
      <c r="AB289" s="39"/>
      <c r="AC289" s="39"/>
      <c r="AD289" s="39"/>
      <c r="AE289" s="39"/>
      <c r="AF289" s="39"/>
      <c r="AG289" s="39"/>
      <c r="AH289" s="140" t="str">
        <f t="shared" si="449"/>
        <v>GVV-Concord-OP</v>
      </c>
      <c r="AI289" s="273"/>
      <c r="AJ289" s="140" t="str">
        <f t="shared" si="450"/>
        <v>WP</v>
      </c>
      <c r="AK289" s="273"/>
      <c r="AL289" s="140" t="str">
        <f t="shared" si="451"/>
        <v>Operational</v>
      </c>
      <c r="AM289" s="277"/>
      <c r="AN289" s="140" t="str">
        <f t="shared" si="452"/>
        <v>Toronto</v>
      </c>
      <c r="AO289" s="82" t="s">
        <v>7</v>
      </c>
      <c r="AP289" s="273"/>
      <c r="AQ289" s="140" t="str">
        <f t="shared" si="453"/>
        <v>Storage</v>
      </c>
      <c r="AR289" s="280"/>
    </row>
    <row r="290" spans="3:44" x14ac:dyDescent="0.3">
      <c r="C290" s="271" t="s">
        <v>677</v>
      </c>
      <c r="D290" s="51" t="s">
        <v>31</v>
      </c>
      <c r="E290" s="39">
        <v>1</v>
      </c>
      <c r="F290" s="39" t="s">
        <v>14</v>
      </c>
      <c r="G290" s="39">
        <v>0</v>
      </c>
      <c r="H290" s="39">
        <v>1</v>
      </c>
      <c r="I290" s="226"/>
      <c r="J290" s="226" t="s">
        <v>75</v>
      </c>
      <c r="K290" s="70" t="s">
        <v>585</v>
      </c>
      <c r="L290" s="217">
        <v>0</v>
      </c>
      <c r="M290" s="97" t="str">
        <f t="shared" si="436"/>
        <v>No</v>
      </c>
      <c r="N290" s="98">
        <v>1</v>
      </c>
      <c r="O290" s="99" t="str">
        <f t="shared" si="437"/>
        <v>Yes</v>
      </c>
      <c r="P290" s="100">
        <v>0</v>
      </c>
      <c r="Q290" s="101" t="str">
        <f t="shared" si="438"/>
        <v>No</v>
      </c>
      <c r="R290" s="96">
        <v>0</v>
      </c>
      <c r="S290" s="11" t="str">
        <f t="shared" si="439"/>
        <v>No</v>
      </c>
      <c r="T290" s="28" t="str">
        <f t="shared" si="447"/>
        <v>120/208 AC</v>
      </c>
      <c r="U290" s="273"/>
      <c r="V290" s="140">
        <f t="shared" si="448"/>
        <v>3</v>
      </c>
      <c r="W290" s="273"/>
      <c r="X290" s="39">
        <v>1</v>
      </c>
      <c r="Y290" s="39">
        <v>1</v>
      </c>
      <c r="Z290" s="39">
        <v>0</v>
      </c>
      <c r="AA290" s="39"/>
      <c r="AB290" s="39"/>
      <c r="AC290" s="39"/>
      <c r="AD290" s="39"/>
      <c r="AE290" s="39"/>
      <c r="AF290" s="39"/>
      <c r="AG290" s="39"/>
      <c r="AH290" s="140" t="str">
        <f t="shared" si="449"/>
        <v>GVV-Concord-OP</v>
      </c>
      <c r="AI290" s="273"/>
      <c r="AJ290" s="140" t="str">
        <f t="shared" si="450"/>
        <v>WP</v>
      </c>
      <c r="AK290" s="273"/>
      <c r="AL290" s="140" t="str">
        <f t="shared" si="451"/>
        <v>Operational</v>
      </c>
      <c r="AM290" s="277"/>
      <c r="AN290" s="140" t="str">
        <f t="shared" si="452"/>
        <v>Toronto</v>
      </c>
      <c r="AO290" s="82" t="s">
        <v>7</v>
      </c>
      <c r="AP290" s="273"/>
      <c r="AQ290" s="140" t="str">
        <f t="shared" si="453"/>
        <v>Storage</v>
      </c>
      <c r="AR290" s="280"/>
    </row>
    <row r="291" spans="3:44" ht="15" thickBot="1" x14ac:dyDescent="0.35">
      <c r="C291" s="271" t="s">
        <v>677</v>
      </c>
      <c r="D291" s="52" t="s">
        <v>32</v>
      </c>
      <c r="E291" s="34">
        <v>1</v>
      </c>
      <c r="F291" s="34" t="s">
        <v>14</v>
      </c>
      <c r="G291" s="34">
        <v>0</v>
      </c>
      <c r="H291" s="34">
        <v>1</v>
      </c>
      <c r="I291" s="227"/>
      <c r="J291" s="227" t="s">
        <v>75</v>
      </c>
      <c r="K291" s="95" t="s">
        <v>585</v>
      </c>
      <c r="L291" s="103">
        <v>0</v>
      </c>
      <c r="M291" s="104" t="str">
        <f t="shared" si="436"/>
        <v>No</v>
      </c>
      <c r="N291" s="105">
        <v>1</v>
      </c>
      <c r="O291" s="106" t="str">
        <f t="shared" si="437"/>
        <v>Yes</v>
      </c>
      <c r="P291" s="107">
        <v>0</v>
      </c>
      <c r="Q291" s="108" t="str">
        <f t="shared" si="438"/>
        <v>No</v>
      </c>
      <c r="R291" s="103">
        <v>0</v>
      </c>
      <c r="S291" s="10" t="str">
        <f t="shared" si="439"/>
        <v>No</v>
      </c>
      <c r="T291" s="28" t="str">
        <f t="shared" si="447"/>
        <v>120/208 AC</v>
      </c>
      <c r="U291" s="274"/>
      <c r="V291" s="140">
        <f t="shared" si="448"/>
        <v>3</v>
      </c>
      <c r="W291" s="274"/>
      <c r="X291" s="34">
        <v>1</v>
      </c>
      <c r="Y291" s="34">
        <v>1</v>
      </c>
      <c r="Z291" s="34">
        <v>0</v>
      </c>
      <c r="AA291" s="34"/>
      <c r="AB291" s="34"/>
      <c r="AC291" s="34"/>
      <c r="AD291" s="34"/>
      <c r="AE291" s="34"/>
      <c r="AF291" s="34"/>
      <c r="AG291" s="34"/>
      <c r="AH291" s="140" t="str">
        <f t="shared" si="449"/>
        <v>GVV-Concord-OP</v>
      </c>
      <c r="AI291" s="274"/>
      <c r="AJ291" s="140" t="str">
        <f t="shared" si="450"/>
        <v>WP</v>
      </c>
      <c r="AK291" s="274"/>
      <c r="AL291" s="140" t="str">
        <f t="shared" si="451"/>
        <v>Operational</v>
      </c>
      <c r="AM291" s="278"/>
      <c r="AN291" s="140" t="str">
        <f t="shared" si="452"/>
        <v>Toronto</v>
      </c>
      <c r="AO291" s="83" t="s">
        <v>7</v>
      </c>
      <c r="AP291" s="274"/>
      <c r="AQ291" s="140" t="str">
        <f t="shared" si="453"/>
        <v>Storage</v>
      </c>
      <c r="AR291" s="281"/>
    </row>
    <row r="292" spans="3:44" ht="15" thickTop="1" x14ac:dyDescent="0.3">
      <c r="C292" s="271" t="s">
        <v>678</v>
      </c>
      <c r="D292" s="50" t="s">
        <v>22</v>
      </c>
      <c r="E292" s="30">
        <v>1</v>
      </c>
      <c r="F292" s="30" t="s">
        <v>14</v>
      </c>
      <c r="G292" s="30">
        <v>0</v>
      </c>
      <c r="H292" s="30">
        <v>1</v>
      </c>
      <c r="I292" s="228"/>
      <c r="J292" s="228" t="s">
        <v>75</v>
      </c>
      <c r="K292" s="88" t="s">
        <v>585</v>
      </c>
      <c r="L292" s="89">
        <v>0</v>
      </c>
      <c r="M292" s="90" t="str">
        <f t="shared" si="436"/>
        <v>No</v>
      </c>
      <c r="N292" s="91">
        <v>1</v>
      </c>
      <c r="O292" s="92" t="str">
        <f t="shared" si="437"/>
        <v>Yes</v>
      </c>
      <c r="P292" s="93">
        <v>0</v>
      </c>
      <c r="Q292" s="94" t="str">
        <f t="shared" si="438"/>
        <v>No</v>
      </c>
      <c r="R292" s="89">
        <v>0</v>
      </c>
      <c r="S292" s="9" t="str">
        <f t="shared" si="439"/>
        <v>No</v>
      </c>
      <c r="T292" s="26" t="str">
        <f>U292</f>
        <v>120/208 AC</v>
      </c>
      <c r="U292" s="272" t="s">
        <v>548</v>
      </c>
      <c r="V292" s="135">
        <f>W292</f>
        <v>3</v>
      </c>
      <c r="W292" s="272">
        <v>3</v>
      </c>
      <c r="X292" s="30">
        <v>1</v>
      </c>
      <c r="Y292" s="30">
        <v>1</v>
      </c>
      <c r="Z292" s="30">
        <v>0</v>
      </c>
      <c r="AA292" s="30"/>
      <c r="AB292" s="30"/>
      <c r="AC292" s="30" t="s">
        <v>478</v>
      </c>
      <c r="AD292" s="221"/>
      <c r="AE292" s="220"/>
      <c r="AF292" s="222"/>
      <c r="AG292" s="30"/>
      <c r="AH292" s="135" t="str">
        <f>AI292</f>
        <v>GVV-Concord-OP</v>
      </c>
      <c r="AI292" s="272" t="s">
        <v>42</v>
      </c>
      <c r="AJ292" s="135" t="str">
        <f>AK292</f>
        <v>WP</v>
      </c>
      <c r="AK292" s="275" t="s">
        <v>9</v>
      </c>
      <c r="AL292" s="135" t="str">
        <f>AM292</f>
        <v>Operational</v>
      </c>
      <c r="AM292" s="276" t="s">
        <v>5</v>
      </c>
      <c r="AN292" s="135" t="str">
        <f>AO292</f>
        <v>Toronto</v>
      </c>
      <c r="AO292" s="49" t="s">
        <v>7</v>
      </c>
      <c r="AP292" s="275" t="s">
        <v>8</v>
      </c>
      <c r="AQ292" s="135" t="str">
        <f>AR292</f>
        <v>Storage</v>
      </c>
      <c r="AR292" s="279" t="s">
        <v>92</v>
      </c>
    </row>
    <row r="293" spans="3:44" x14ac:dyDescent="0.3">
      <c r="C293" s="271" t="s">
        <v>678</v>
      </c>
      <c r="D293" s="51" t="s">
        <v>23</v>
      </c>
      <c r="E293" s="39">
        <v>1</v>
      </c>
      <c r="F293" s="39" t="s">
        <v>14</v>
      </c>
      <c r="G293" s="39">
        <v>0</v>
      </c>
      <c r="H293" s="39">
        <v>1</v>
      </c>
      <c r="I293" s="226"/>
      <c r="J293" s="226" t="s">
        <v>75</v>
      </c>
      <c r="K293" s="70" t="s">
        <v>585</v>
      </c>
      <c r="L293" s="217">
        <v>0</v>
      </c>
      <c r="M293" s="97" t="str">
        <f t="shared" si="436"/>
        <v>No</v>
      </c>
      <c r="N293" s="98">
        <v>1</v>
      </c>
      <c r="O293" s="99" t="str">
        <f t="shared" si="437"/>
        <v>Yes</v>
      </c>
      <c r="P293" s="100">
        <v>0</v>
      </c>
      <c r="Q293" s="101" t="str">
        <f t="shared" si="438"/>
        <v>No</v>
      </c>
      <c r="R293" s="96">
        <v>0</v>
      </c>
      <c r="S293" s="11" t="str">
        <f t="shared" si="439"/>
        <v>No</v>
      </c>
      <c r="T293" s="28" t="str">
        <f>T292</f>
        <v>120/208 AC</v>
      </c>
      <c r="U293" s="273"/>
      <c r="V293" s="140">
        <f>V292</f>
        <v>3</v>
      </c>
      <c r="W293" s="273"/>
      <c r="X293" s="39">
        <v>1</v>
      </c>
      <c r="Y293" s="39">
        <v>1</v>
      </c>
      <c r="Z293" s="39">
        <v>0</v>
      </c>
      <c r="AA293" s="39"/>
      <c r="AB293" s="39"/>
      <c r="AC293" s="39"/>
      <c r="AD293" s="39"/>
      <c r="AE293" s="39"/>
      <c r="AF293" s="39"/>
      <c r="AG293" s="39"/>
      <c r="AH293" s="140" t="str">
        <f>AH292</f>
        <v>GVV-Concord-OP</v>
      </c>
      <c r="AI293" s="273"/>
      <c r="AJ293" s="140" t="str">
        <f>AJ292</f>
        <v>WP</v>
      </c>
      <c r="AK293" s="273"/>
      <c r="AL293" s="140" t="str">
        <f>AL292</f>
        <v>Operational</v>
      </c>
      <c r="AM293" s="277"/>
      <c r="AN293" s="140" t="str">
        <f>AN292</f>
        <v>Toronto</v>
      </c>
      <c r="AO293" s="82" t="s">
        <v>7</v>
      </c>
      <c r="AP293" s="273"/>
      <c r="AQ293" s="140" t="str">
        <f>AQ292</f>
        <v>Storage</v>
      </c>
      <c r="AR293" s="280"/>
    </row>
    <row r="294" spans="3:44" x14ac:dyDescent="0.3">
      <c r="C294" s="271" t="s">
        <v>678</v>
      </c>
      <c r="D294" s="51" t="s">
        <v>24</v>
      </c>
      <c r="E294" s="39">
        <v>1</v>
      </c>
      <c r="F294" s="39" t="s">
        <v>14</v>
      </c>
      <c r="G294" s="39">
        <v>0</v>
      </c>
      <c r="H294" s="39">
        <v>1</v>
      </c>
      <c r="I294" s="226"/>
      <c r="J294" s="226" t="s">
        <v>75</v>
      </c>
      <c r="K294" s="70" t="s">
        <v>585</v>
      </c>
      <c r="L294" s="217">
        <v>0</v>
      </c>
      <c r="M294" s="97" t="str">
        <f t="shared" si="436"/>
        <v>No</v>
      </c>
      <c r="N294" s="98">
        <v>1</v>
      </c>
      <c r="O294" s="99" t="str">
        <f t="shared" si="437"/>
        <v>Yes</v>
      </c>
      <c r="P294" s="100">
        <v>0</v>
      </c>
      <c r="Q294" s="101" t="str">
        <f t="shared" si="438"/>
        <v>No</v>
      </c>
      <c r="R294" s="96">
        <v>0</v>
      </c>
      <c r="S294" s="11" t="str">
        <f t="shared" si="439"/>
        <v>No</v>
      </c>
      <c r="T294" s="28" t="str">
        <f t="shared" ref="T294:T297" si="454">T293</f>
        <v>120/208 AC</v>
      </c>
      <c r="U294" s="273"/>
      <c r="V294" s="140">
        <f t="shared" ref="V294:V297" si="455">V293</f>
        <v>3</v>
      </c>
      <c r="W294" s="273"/>
      <c r="X294" s="39">
        <v>1</v>
      </c>
      <c r="Y294" s="39">
        <v>1</v>
      </c>
      <c r="Z294" s="39">
        <v>0</v>
      </c>
      <c r="AA294" s="39"/>
      <c r="AB294" s="39"/>
      <c r="AC294" s="39"/>
      <c r="AD294" s="39"/>
      <c r="AE294" s="39"/>
      <c r="AF294" s="39"/>
      <c r="AG294" s="39"/>
      <c r="AH294" s="140" t="str">
        <f t="shared" ref="AH294:AH297" si="456">AH293</f>
        <v>GVV-Concord-OP</v>
      </c>
      <c r="AI294" s="273"/>
      <c r="AJ294" s="140" t="str">
        <f t="shared" ref="AJ294:AJ297" si="457">AJ293</f>
        <v>WP</v>
      </c>
      <c r="AK294" s="273"/>
      <c r="AL294" s="140" t="str">
        <f t="shared" ref="AL294:AL297" si="458">AL293</f>
        <v>Operational</v>
      </c>
      <c r="AM294" s="277"/>
      <c r="AN294" s="140" t="str">
        <f t="shared" ref="AN294:AN297" si="459">AN293</f>
        <v>Toronto</v>
      </c>
      <c r="AO294" s="82" t="s">
        <v>7</v>
      </c>
      <c r="AP294" s="273"/>
      <c r="AQ294" s="140" t="str">
        <f t="shared" ref="AQ294:AQ297" si="460">AQ293</f>
        <v>Storage</v>
      </c>
      <c r="AR294" s="280"/>
    </row>
    <row r="295" spans="3:44" x14ac:dyDescent="0.3">
      <c r="C295" s="271" t="s">
        <v>678</v>
      </c>
      <c r="D295" s="51" t="s">
        <v>25</v>
      </c>
      <c r="E295" s="39">
        <v>1</v>
      </c>
      <c r="F295" s="39" t="s">
        <v>14</v>
      </c>
      <c r="G295" s="39">
        <v>0</v>
      </c>
      <c r="H295" s="39">
        <v>1</v>
      </c>
      <c r="I295" s="226"/>
      <c r="J295" s="226" t="s">
        <v>75</v>
      </c>
      <c r="K295" s="70" t="s">
        <v>585</v>
      </c>
      <c r="L295" s="217">
        <v>0</v>
      </c>
      <c r="M295" s="97" t="str">
        <f t="shared" si="436"/>
        <v>No</v>
      </c>
      <c r="N295" s="98">
        <v>1</v>
      </c>
      <c r="O295" s="99" t="str">
        <f t="shared" si="437"/>
        <v>Yes</v>
      </c>
      <c r="P295" s="100">
        <v>0</v>
      </c>
      <c r="Q295" s="101" t="str">
        <f t="shared" si="438"/>
        <v>No</v>
      </c>
      <c r="R295" s="96">
        <v>0</v>
      </c>
      <c r="S295" s="11" t="str">
        <f t="shared" si="439"/>
        <v>No</v>
      </c>
      <c r="T295" s="28" t="str">
        <f t="shared" si="454"/>
        <v>120/208 AC</v>
      </c>
      <c r="U295" s="273"/>
      <c r="V295" s="140">
        <f t="shared" si="455"/>
        <v>3</v>
      </c>
      <c r="W295" s="273"/>
      <c r="X295" s="39">
        <v>1</v>
      </c>
      <c r="Y295" s="39">
        <v>1</v>
      </c>
      <c r="Z295" s="39">
        <v>0</v>
      </c>
      <c r="AA295" s="39"/>
      <c r="AB295" s="39"/>
      <c r="AC295" s="39"/>
      <c r="AD295" s="39"/>
      <c r="AE295" s="39"/>
      <c r="AF295" s="39"/>
      <c r="AG295" s="39"/>
      <c r="AH295" s="140" t="str">
        <f t="shared" si="456"/>
        <v>GVV-Concord-OP</v>
      </c>
      <c r="AI295" s="273"/>
      <c r="AJ295" s="140" t="str">
        <f t="shared" si="457"/>
        <v>WP</v>
      </c>
      <c r="AK295" s="273"/>
      <c r="AL295" s="140" t="str">
        <f t="shared" si="458"/>
        <v>Operational</v>
      </c>
      <c r="AM295" s="277"/>
      <c r="AN295" s="140" t="str">
        <f t="shared" si="459"/>
        <v>Toronto</v>
      </c>
      <c r="AO295" s="82" t="s">
        <v>7</v>
      </c>
      <c r="AP295" s="273"/>
      <c r="AQ295" s="140" t="str">
        <f t="shared" si="460"/>
        <v>Storage</v>
      </c>
      <c r="AR295" s="280"/>
    </row>
    <row r="296" spans="3:44" x14ac:dyDescent="0.3">
      <c r="C296" s="271" t="s">
        <v>678</v>
      </c>
      <c r="D296" s="51" t="s">
        <v>31</v>
      </c>
      <c r="E296" s="39">
        <v>1</v>
      </c>
      <c r="F296" s="39" t="s">
        <v>14</v>
      </c>
      <c r="G296" s="39">
        <v>0</v>
      </c>
      <c r="H296" s="39">
        <v>1</v>
      </c>
      <c r="I296" s="226"/>
      <c r="J296" s="226" t="s">
        <v>75</v>
      </c>
      <c r="K296" s="70" t="s">
        <v>585</v>
      </c>
      <c r="L296" s="217">
        <v>0</v>
      </c>
      <c r="M296" s="97" t="str">
        <f t="shared" si="436"/>
        <v>No</v>
      </c>
      <c r="N296" s="98">
        <v>1</v>
      </c>
      <c r="O296" s="99" t="str">
        <f t="shared" si="437"/>
        <v>Yes</v>
      </c>
      <c r="P296" s="100">
        <v>0</v>
      </c>
      <c r="Q296" s="101" t="str">
        <f t="shared" si="438"/>
        <v>No</v>
      </c>
      <c r="R296" s="96">
        <v>0</v>
      </c>
      <c r="S296" s="11" t="str">
        <f t="shared" si="439"/>
        <v>No</v>
      </c>
      <c r="T296" s="28" t="str">
        <f t="shared" si="454"/>
        <v>120/208 AC</v>
      </c>
      <c r="U296" s="273"/>
      <c r="V296" s="140">
        <f t="shared" si="455"/>
        <v>3</v>
      </c>
      <c r="W296" s="273"/>
      <c r="X296" s="39">
        <v>1</v>
      </c>
      <c r="Y296" s="39">
        <v>1</v>
      </c>
      <c r="Z296" s="39">
        <v>0</v>
      </c>
      <c r="AA296" s="39"/>
      <c r="AB296" s="39"/>
      <c r="AC296" s="39"/>
      <c r="AD296" s="39"/>
      <c r="AE296" s="39"/>
      <c r="AF296" s="39"/>
      <c r="AG296" s="39"/>
      <c r="AH296" s="140" t="str">
        <f t="shared" si="456"/>
        <v>GVV-Concord-OP</v>
      </c>
      <c r="AI296" s="273"/>
      <c r="AJ296" s="140" t="str">
        <f t="shared" si="457"/>
        <v>WP</v>
      </c>
      <c r="AK296" s="273"/>
      <c r="AL296" s="140" t="str">
        <f t="shared" si="458"/>
        <v>Operational</v>
      </c>
      <c r="AM296" s="277"/>
      <c r="AN296" s="140" t="str">
        <f t="shared" si="459"/>
        <v>Toronto</v>
      </c>
      <c r="AO296" s="82" t="s">
        <v>7</v>
      </c>
      <c r="AP296" s="273"/>
      <c r="AQ296" s="140" t="str">
        <f t="shared" si="460"/>
        <v>Storage</v>
      </c>
      <c r="AR296" s="280"/>
    </row>
    <row r="297" spans="3:44" ht="15" thickBot="1" x14ac:dyDescent="0.35">
      <c r="C297" s="271" t="s">
        <v>678</v>
      </c>
      <c r="D297" s="52" t="s">
        <v>32</v>
      </c>
      <c r="E297" s="34">
        <v>1</v>
      </c>
      <c r="F297" s="34" t="s">
        <v>14</v>
      </c>
      <c r="G297" s="34">
        <v>0</v>
      </c>
      <c r="H297" s="34">
        <v>1</v>
      </c>
      <c r="I297" s="227"/>
      <c r="J297" s="227" t="s">
        <v>75</v>
      </c>
      <c r="K297" s="232" t="s">
        <v>585</v>
      </c>
      <c r="L297" s="103">
        <v>0</v>
      </c>
      <c r="M297" s="104" t="str">
        <f t="shared" si="436"/>
        <v>No</v>
      </c>
      <c r="N297" s="105">
        <v>1</v>
      </c>
      <c r="O297" s="106" t="str">
        <f t="shared" si="437"/>
        <v>Yes</v>
      </c>
      <c r="P297" s="107">
        <v>0</v>
      </c>
      <c r="Q297" s="108" t="str">
        <f t="shared" si="438"/>
        <v>No</v>
      </c>
      <c r="R297" s="103">
        <v>0</v>
      </c>
      <c r="S297" s="10" t="str">
        <f t="shared" si="439"/>
        <v>No</v>
      </c>
      <c r="T297" s="28" t="str">
        <f t="shared" si="454"/>
        <v>120/208 AC</v>
      </c>
      <c r="U297" s="274"/>
      <c r="V297" s="140">
        <f t="shared" si="455"/>
        <v>3</v>
      </c>
      <c r="W297" s="274"/>
      <c r="X297" s="34">
        <v>1</v>
      </c>
      <c r="Y297" s="34">
        <v>1</v>
      </c>
      <c r="Z297" s="34">
        <v>0</v>
      </c>
      <c r="AA297" s="34"/>
      <c r="AB297" s="34"/>
      <c r="AC297" s="34"/>
      <c r="AD297" s="34"/>
      <c r="AE297" s="34"/>
      <c r="AF297" s="34"/>
      <c r="AG297" s="34"/>
      <c r="AH297" s="140" t="str">
        <f t="shared" si="456"/>
        <v>GVV-Concord-OP</v>
      </c>
      <c r="AI297" s="274"/>
      <c r="AJ297" s="140" t="str">
        <f t="shared" si="457"/>
        <v>WP</v>
      </c>
      <c r="AK297" s="274"/>
      <c r="AL297" s="140" t="str">
        <f t="shared" si="458"/>
        <v>Operational</v>
      </c>
      <c r="AM297" s="278"/>
      <c r="AN297" s="140" t="str">
        <f t="shared" si="459"/>
        <v>Toronto</v>
      </c>
      <c r="AO297" s="83" t="s">
        <v>7</v>
      </c>
      <c r="AP297" s="274"/>
      <c r="AQ297" s="140" t="str">
        <f t="shared" si="460"/>
        <v>Storage</v>
      </c>
      <c r="AR297" s="281"/>
    </row>
    <row r="298" spans="3:44" ht="15" thickTop="1" x14ac:dyDescent="0.3">
      <c r="C298" s="271" t="s">
        <v>679</v>
      </c>
      <c r="D298" s="50" t="s">
        <v>22</v>
      </c>
      <c r="E298" s="30">
        <v>1</v>
      </c>
      <c r="F298" s="30" t="s">
        <v>14</v>
      </c>
      <c r="G298" s="30">
        <v>0</v>
      </c>
      <c r="H298" s="30">
        <v>1</v>
      </c>
      <c r="I298" s="229" t="s">
        <v>139</v>
      </c>
      <c r="J298" s="229"/>
      <c r="K298" s="88" t="s">
        <v>629</v>
      </c>
      <c r="L298" s="89">
        <v>0</v>
      </c>
      <c r="M298" s="90" t="str">
        <f t="shared" ref="M298:M309" si="461">IF(L298&gt;=1,"Yes","No")</f>
        <v>No</v>
      </c>
      <c r="N298" s="91">
        <v>1</v>
      </c>
      <c r="O298" s="92" t="str">
        <f t="shared" ref="O298:O309" si="462">IF(N298&gt;=1,"Yes","No")</f>
        <v>Yes</v>
      </c>
      <c r="P298" s="93">
        <v>0</v>
      </c>
      <c r="Q298" s="94" t="str">
        <f t="shared" ref="Q298:Q309" si="463">IF(P298&gt;=1,"Yes","No")</f>
        <v>No</v>
      </c>
      <c r="R298" s="89">
        <v>0</v>
      </c>
      <c r="S298" s="9" t="str">
        <f t="shared" ref="S298:S309" si="464">IF(R298&gt;=1,"Yes","No")</f>
        <v>No</v>
      </c>
      <c r="T298" s="26" t="str">
        <f>U298</f>
        <v>120/208 AC</v>
      </c>
      <c r="U298" s="272" t="s">
        <v>548</v>
      </c>
      <c r="V298" s="135">
        <f>W298</f>
        <v>3</v>
      </c>
      <c r="W298" s="272">
        <v>3</v>
      </c>
      <c r="X298" s="30">
        <v>1</v>
      </c>
      <c r="Y298" s="30">
        <v>1</v>
      </c>
      <c r="Z298" s="30">
        <v>0</v>
      </c>
      <c r="AA298" s="30"/>
      <c r="AB298" s="30"/>
      <c r="AC298" s="30" t="s">
        <v>478</v>
      </c>
      <c r="AD298" s="221"/>
      <c r="AE298" s="220"/>
      <c r="AF298" s="222"/>
      <c r="AG298" s="30"/>
      <c r="AH298" s="135" t="str">
        <f>AI298</f>
        <v>GVV-Concord-OP</v>
      </c>
      <c r="AI298" s="272" t="s">
        <v>42</v>
      </c>
      <c r="AJ298" s="135" t="str">
        <f>AK298</f>
        <v>WP</v>
      </c>
      <c r="AK298" s="275" t="s">
        <v>9</v>
      </c>
      <c r="AL298" s="135" t="str">
        <f>AM298</f>
        <v>In Programming Stage</v>
      </c>
      <c r="AM298" s="276" t="s">
        <v>71</v>
      </c>
      <c r="AN298" s="135" t="str">
        <f>AO298</f>
        <v>Toronto</v>
      </c>
      <c r="AO298" s="49" t="s">
        <v>7</v>
      </c>
      <c r="AP298" s="275" t="s">
        <v>8</v>
      </c>
      <c r="AQ298" s="135" t="str">
        <f>AR298</f>
        <v>Storage</v>
      </c>
      <c r="AR298" s="279" t="s">
        <v>92</v>
      </c>
    </row>
    <row r="299" spans="3:44" x14ac:dyDescent="0.3">
      <c r="C299" s="271" t="s">
        <v>679</v>
      </c>
      <c r="D299" s="51" t="s">
        <v>23</v>
      </c>
      <c r="E299" s="39">
        <v>1</v>
      </c>
      <c r="F299" s="39" t="s">
        <v>14</v>
      </c>
      <c r="G299" s="39">
        <v>0</v>
      </c>
      <c r="H299" s="233">
        <v>1</v>
      </c>
      <c r="I299" s="47" t="s">
        <v>139</v>
      </c>
      <c r="J299" s="234"/>
      <c r="K299" s="70" t="s">
        <v>629</v>
      </c>
      <c r="L299" s="217">
        <v>0</v>
      </c>
      <c r="M299" s="97" t="str">
        <f t="shared" si="461"/>
        <v>No</v>
      </c>
      <c r="N299" s="98">
        <v>1</v>
      </c>
      <c r="O299" s="99" t="str">
        <f t="shared" si="462"/>
        <v>Yes</v>
      </c>
      <c r="P299" s="100">
        <v>0</v>
      </c>
      <c r="Q299" s="101" t="str">
        <f t="shared" si="463"/>
        <v>No</v>
      </c>
      <c r="R299" s="96">
        <v>0</v>
      </c>
      <c r="S299" s="11" t="str">
        <f t="shared" si="464"/>
        <v>No</v>
      </c>
      <c r="T299" s="28" t="str">
        <f>T298</f>
        <v>120/208 AC</v>
      </c>
      <c r="U299" s="273"/>
      <c r="V299" s="140">
        <f>V298</f>
        <v>3</v>
      </c>
      <c r="W299" s="273"/>
      <c r="X299" s="39">
        <v>1</v>
      </c>
      <c r="Y299" s="39">
        <v>1</v>
      </c>
      <c r="Z299" s="39">
        <v>0</v>
      </c>
      <c r="AA299" s="39"/>
      <c r="AB299" s="39"/>
      <c r="AC299" s="39"/>
      <c r="AD299" s="39"/>
      <c r="AE299" s="39"/>
      <c r="AF299" s="39"/>
      <c r="AG299" s="39"/>
      <c r="AH299" s="140" t="str">
        <f>AH298</f>
        <v>GVV-Concord-OP</v>
      </c>
      <c r="AI299" s="273"/>
      <c r="AJ299" s="140" t="str">
        <f>AJ298</f>
        <v>WP</v>
      </c>
      <c r="AK299" s="273"/>
      <c r="AL299" s="140" t="str">
        <f>AL298</f>
        <v>In Programming Stage</v>
      </c>
      <c r="AM299" s="277"/>
      <c r="AN299" s="140" t="str">
        <f>AN298</f>
        <v>Toronto</v>
      </c>
      <c r="AO299" s="82" t="s">
        <v>7</v>
      </c>
      <c r="AP299" s="273"/>
      <c r="AQ299" s="140" t="str">
        <f>AQ298</f>
        <v>Storage</v>
      </c>
      <c r="AR299" s="280"/>
    </row>
    <row r="300" spans="3:44" x14ac:dyDescent="0.3">
      <c r="C300" s="271" t="s">
        <v>679</v>
      </c>
      <c r="D300" s="51" t="s">
        <v>24</v>
      </c>
      <c r="E300" s="39">
        <v>1</v>
      </c>
      <c r="F300" s="39" t="s">
        <v>14</v>
      </c>
      <c r="G300" s="39">
        <v>0</v>
      </c>
      <c r="H300" s="233">
        <v>1</v>
      </c>
      <c r="I300" s="47" t="s">
        <v>139</v>
      </c>
      <c r="J300" s="234"/>
      <c r="K300" s="70" t="s">
        <v>629</v>
      </c>
      <c r="L300" s="217">
        <v>0</v>
      </c>
      <c r="M300" s="97" t="str">
        <f t="shared" si="461"/>
        <v>No</v>
      </c>
      <c r="N300" s="98">
        <v>1</v>
      </c>
      <c r="O300" s="99" t="str">
        <f t="shared" si="462"/>
        <v>Yes</v>
      </c>
      <c r="P300" s="100">
        <v>0</v>
      </c>
      <c r="Q300" s="101" t="str">
        <f t="shared" si="463"/>
        <v>No</v>
      </c>
      <c r="R300" s="96">
        <v>0</v>
      </c>
      <c r="S300" s="11" t="str">
        <f t="shared" si="464"/>
        <v>No</v>
      </c>
      <c r="T300" s="28" t="str">
        <f t="shared" ref="T300:T303" si="465">T299</f>
        <v>120/208 AC</v>
      </c>
      <c r="U300" s="273"/>
      <c r="V300" s="140">
        <f t="shared" ref="V300:V303" si="466">V299</f>
        <v>3</v>
      </c>
      <c r="W300" s="273"/>
      <c r="X300" s="39">
        <v>1</v>
      </c>
      <c r="Y300" s="39">
        <v>1</v>
      </c>
      <c r="Z300" s="39">
        <v>0</v>
      </c>
      <c r="AA300" s="39"/>
      <c r="AB300" s="39"/>
      <c r="AC300" s="39"/>
      <c r="AD300" s="39"/>
      <c r="AE300" s="39"/>
      <c r="AF300" s="39"/>
      <c r="AG300" s="39"/>
      <c r="AH300" s="140" t="str">
        <f t="shared" ref="AH300:AH303" si="467">AH299</f>
        <v>GVV-Concord-OP</v>
      </c>
      <c r="AI300" s="273"/>
      <c r="AJ300" s="140" t="str">
        <f t="shared" ref="AJ300:AJ303" si="468">AJ299</f>
        <v>WP</v>
      </c>
      <c r="AK300" s="273"/>
      <c r="AL300" s="140" t="str">
        <f t="shared" ref="AL300:AL303" si="469">AL299</f>
        <v>In Programming Stage</v>
      </c>
      <c r="AM300" s="277"/>
      <c r="AN300" s="140" t="str">
        <f t="shared" ref="AN300:AN303" si="470">AN299</f>
        <v>Toronto</v>
      </c>
      <c r="AO300" s="82" t="s">
        <v>7</v>
      </c>
      <c r="AP300" s="273"/>
      <c r="AQ300" s="140" t="str">
        <f t="shared" ref="AQ300:AQ303" si="471">AQ299</f>
        <v>Storage</v>
      </c>
      <c r="AR300" s="280"/>
    </row>
    <row r="301" spans="3:44" x14ac:dyDescent="0.3">
      <c r="C301" s="271" t="s">
        <v>679</v>
      </c>
      <c r="D301" s="51" t="s">
        <v>25</v>
      </c>
      <c r="E301" s="39">
        <v>1</v>
      </c>
      <c r="F301" s="39" t="s">
        <v>14</v>
      </c>
      <c r="G301" s="39">
        <v>0</v>
      </c>
      <c r="H301" s="233">
        <v>1</v>
      </c>
      <c r="I301" s="47" t="s">
        <v>139</v>
      </c>
      <c r="J301" s="234"/>
      <c r="K301" s="70" t="s">
        <v>629</v>
      </c>
      <c r="L301" s="217">
        <v>0</v>
      </c>
      <c r="M301" s="97" t="str">
        <f t="shared" si="461"/>
        <v>No</v>
      </c>
      <c r="N301" s="98">
        <v>1</v>
      </c>
      <c r="O301" s="99" t="str">
        <f t="shared" si="462"/>
        <v>Yes</v>
      </c>
      <c r="P301" s="100">
        <v>0</v>
      </c>
      <c r="Q301" s="101" t="str">
        <f t="shared" si="463"/>
        <v>No</v>
      </c>
      <c r="R301" s="96">
        <v>0</v>
      </c>
      <c r="S301" s="11" t="str">
        <f t="shared" si="464"/>
        <v>No</v>
      </c>
      <c r="T301" s="28" t="str">
        <f t="shared" si="465"/>
        <v>120/208 AC</v>
      </c>
      <c r="U301" s="273"/>
      <c r="V301" s="140">
        <f t="shared" si="466"/>
        <v>3</v>
      </c>
      <c r="W301" s="273"/>
      <c r="X301" s="39">
        <v>1</v>
      </c>
      <c r="Y301" s="39">
        <v>1</v>
      </c>
      <c r="Z301" s="39">
        <v>0</v>
      </c>
      <c r="AA301" s="39"/>
      <c r="AB301" s="39"/>
      <c r="AC301" s="39"/>
      <c r="AD301" s="39"/>
      <c r="AE301" s="39"/>
      <c r="AF301" s="39"/>
      <c r="AG301" s="39"/>
      <c r="AH301" s="140" t="str">
        <f t="shared" si="467"/>
        <v>GVV-Concord-OP</v>
      </c>
      <c r="AI301" s="273"/>
      <c r="AJ301" s="140" t="str">
        <f t="shared" si="468"/>
        <v>WP</v>
      </c>
      <c r="AK301" s="273"/>
      <c r="AL301" s="140" t="str">
        <f t="shared" si="469"/>
        <v>In Programming Stage</v>
      </c>
      <c r="AM301" s="277"/>
      <c r="AN301" s="140" t="str">
        <f t="shared" si="470"/>
        <v>Toronto</v>
      </c>
      <c r="AO301" s="82" t="s">
        <v>7</v>
      </c>
      <c r="AP301" s="273"/>
      <c r="AQ301" s="140" t="str">
        <f t="shared" si="471"/>
        <v>Storage</v>
      </c>
      <c r="AR301" s="280"/>
    </row>
    <row r="302" spans="3:44" x14ac:dyDescent="0.3">
      <c r="C302" s="271" t="s">
        <v>679</v>
      </c>
      <c r="D302" s="51" t="s">
        <v>31</v>
      </c>
      <c r="E302" s="39">
        <v>1</v>
      </c>
      <c r="F302" s="39" t="s">
        <v>14</v>
      </c>
      <c r="G302" s="39">
        <v>0</v>
      </c>
      <c r="H302" s="233">
        <v>1</v>
      </c>
      <c r="I302" s="47" t="s">
        <v>139</v>
      </c>
      <c r="J302" s="234"/>
      <c r="K302" s="70" t="s">
        <v>629</v>
      </c>
      <c r="L302" s="217">
        <v>0</v>
      </c>
      <c r="M302" s="97" t="str">
        <f t="shared" si="461"/>
        <v>No</v>
      </c>
      <c r="N302" s="98">
        <v>1</v>
      </c>
      <c r="O302" s="99" t="str">
        <f t="shared" si="462"/>
        <v>Yes</v>
      </c>
      <c r="P302" s="100">
        <v>0</v>
      </c>
      <c r="Q302" s="101" t="str">
        <f t="shared" si="463"/>
        <v>No</v>
      </c>
      <c r="R302" s="96">
        <v>0</v>
      </c>
      <c r="S302" s="11" t="str">
        <f t="shared" si="464"/>
        <v>No</v>
      </c>
      <c r="T302" s="28" t="str">
        <f t="shared" si="465"/>
        <v>120/208 AC</v>
      </c>
      <c r="U302" s="273"/>
      <c r="V302" s="140">
        <f t="shared" si="466"/>
        <v>3</v>
      </c>
      <c r="W302" s="273"/>
      <c r="X302" s="39">
        <v>1</v>
      </c>
      <c r="Y302" s="39">
        <v>1</v>
      </c>
      <c r="Z302" s="39">
        <v>0</v>
      </c>
      <c r="AA302" s="39"/>
      <c r="AB302" s="39"/>
      <c r="AC302" s="39"/>
      <c r="AD302" s="39"/>
      <c r="AE302" s="39"/>
      <c r="AF302" s="39"/>
      <c r="AG302" s="39"/>
      <c r="AH302" s="140" t="str">
        <f t="shared" si="467"/>
        <v>GVV-Concord-OP</v>
      </c>
      <c r="AI302" s="273"/>
      <c r="AJ302" s="140" t="str">
        <f t="shared" si="468"/>
        <v>WP</v>
      </c>
      <c r="AK302" s="273"/>
      <c r="AL302" s="140" t="str">
        <f t="shared" si="469"/>
        <v>In Programming Stage</v>
      </c>
      <c r="AM302" s="277"/>
      <c r="AN302" s="140" t="str">
        <f t="shared" si="470"/>
        <v>Toronto</v>
      </c>
      <c r="AO302" s="82" t="s">
        <v>7</v>
      </c>
      <c r="AP302" s="273"/>
      <c r="AQ302" s="140" t="str">
        <f t="shared" si="471"/>
        <v>Storage</v>
      </c>
      <c r="AR302" s="280"/>
    </row>
    <row r="303" spans="3:44" ht="15" thickBot="1" x14ac:dyDescent="0.35">
      <c r="C303" s="271" t="s">
        <v>679</v>
      </c>
      <c r="D303" s="52" t="s">
        <v>32</v>
      </c>
      <c r="E303" s="34">
        <v>1</v>
      </c>
      <c r="F303" s="34" t="s">
        <v>14</v>
      </c>
      <c r="G303" s="34">
        <v>0</v>
      </c>
      <c r="H303" s="34">
        <v>1</v>
      </c>
      <c r="I303" s="75" t="s">
        <v>139</v>
      </c>
      <c r="J303" s="231"/>
      <c r="K303" s="232" t="s">
        <v>629</v>
      </c>
      <c r="L303" s="103">
        <v>0</v>
      </c>
      <c r="M303" s="104" t="str">
        <f t="shared" si="461"/>
        <v>No</v>
      </c>
      <c r="N303" s="105">
        <v>1</v>
      </c>
      <c r="O303" s="106" t="str">
        <f t="shared" si="462"/>
        <v>Yes</v>
      </c>
      <c r="P303" s="107">
        <v>0</v>
      </c>
      <c r="Q303" s="108" t="str">
        <f t="shared" si="463"/>
        <v>No</v>
      </c>
      <c r="R303" s="103">
        <v>0</v>
      </c>
      <c r="S303" s="10" t="str">
        <f t="shared" si="464"/>
        <v>No</v>
      </c>
      <c r="T303" s="28" t="str">
        <f t="shared" si="465"/>
        <v>120/208 AC</v>
      </c>
      <c r="U303" s="274"/>
      <c r="V303" s="140">
        <f t="shared" si="466"/>
        <v>3</v>
      </c>
      <c r="W303" s="274"/>
      <c r="X303" s="34">
        <v>1</v>
      </c>
      <c r="Y303" s="34">
        <v>1</v>
      </c>
      <c r="Z303" s="34">
        <v>0</v>
      </c>
      <c r="AA303" s="34"/>
      <c r="AB303" s="34"/>
      <c r="AC303" s="34"/>
      <c r="AD303" s="34"/>
      <c r="AE303" s="34"/>
      <c r="AF303" s="34"/>
      <c r="AG303" s="34"/>
      <c r="AH303" s="140" t="str">
        <f t="shared" si="467"/>
        <v>GVV-Concord-OP</v>
      </c>
      <c r="AI303" s="274"/>
      <c r="AJ303" s="140" t="str">
        <f t="shared" si="468"/>
        <v>WP</v>
      </c>
      <c r="AK303" s="274"/>
      <c r="AL303" s="140" t="str">
        <f t="shared" si="469"/>
        <v>In Programming Stage</v>
      </c>
      <c r="AM303" s="278"/>
      <c r="AN303" s="140" t="str">
        <f t="shared" si="470"/>
        <v>Toronto</v>
      </c>
      <c r="AO303" s="83" t="s">
        <v>7</v>
      </c>
      <c r="AP303" s="274"/>
      <c r="AQ303" s="140" t="str">
        <f t="shared" si="471"/>
        <v>Storage</v>
      </c>
      <c r="AR303" s="281"/>
    </row>
    <row r="304" spans="3:44" ht="15" thickTop="1" x14ac:dyDescent="0.3">
      <c r="C304" s="271" t="s">
        <v>680</v>
      </c>
      <c r="D304" s="50" t="s">
        <v>22</v>
      </c>
      <c r="E304" s="30">
        <v>1</v>
      </c>
      <c r="F304" s="30" t="s">
        <v>14</v>
      </c>
      <c r="G304" s="30">
        <v>0</v>
      </c>
      <c r="H304" s="30">
        <v>1</v>
      </c>
      <c r="I304" s="229" t="s">
        <v>139</v>
      </c>
      <c r="J304" s="229"/>
      <c r="K304" s="88" t="s">
        <v>629</v>
      </c>
      <c r="L304" s="89">
        <v>0</v>
      </c>
      <c r="M304" s="90" t="str">
        <f t="shared" si="461"/>
        <v>No</v>
      </c>
      <c r="N304" s="91">
        <v>1</v>
      </c>
      <c r="O304" s="92" t="str">
        <f t="shared" si="462"/>
        <v>Yes</v>
      </c>
      <c r="P304" s="93">
        <v>0</v>
      </c>
      <c r="Q304" s="94" t="str">
        <f t="shared" si="463"/>
        <v>No</v>
      </c>
      <c r="R304" s="89">
        <v>0</v>
      </c>
      <c r="S304" s="9" t="str">
        <f t="shared" si="464"/>
        <v>No</v>
      </c>
      <c r="T304" s="26" t="str">
        <f>U304</f>
        <v>120/208 AC</v>
      </c>
      <c r="U304" s="272" t="s">
        <v>548</v>
      </c>
      <c r="V304" s="135">
        <f>W304</f>
        <v>3</v>
      </c>
      <c r="W304" s="272">
        <v>3</v>
      </c>
      <c r="X304" s="30">
        <v>1</v>
      </c>
      <c r="Y304" s="30">
        <v>1</v>
      </c>
      <c r="Z304" s="30">
        <v>0</v>
      </c>
      <c r="AA304" s="30"/>
      <c r="AB304" s="30"/>
      <c r="AC304" s="30" t="s">
        <v>478</v>
      </c>
      <c r="AD304" s="221"/>
      <c r="AE304" s="220"/>
      <c r="AF304" s="222"/>
      <c r="AG304" s="30"/>
      <c r="AH304" s="135" t="str">
        <f>AI304</f>
        <v>GVV-Concord-WP</v>
      </c>
      <c r="AI304" s="272" t="s">
        <v>6</v>
      </c>
      <c r="AJ304" s="135" t="str">
        <f>AK304</f>
        <v>WP</v>
      </c>
      <c r="AK304" s="275" t="s">
        <v>9</v>
      </c>
      <c r="AL304" s="135" t="str">
        <f>AM304</f>
        <v>In Programming Stage</v>
      </c>
      <c r="AM304" s="276" t="s">
        <v>71</v>
      </c>
      <c r="AN304" s="135" t="str">
        <f>AO304</f>
        <v>Toronto</v>
      </c>
      <c r="AO304" s="49" t="s">
        <v>7</v>
      </c>
      <c r="AP304" s="275" t="s">
        <v>8</v>
      </c>
      <c r="AQ304" s="135" t="str">
        <f>AR304</f>
        <v>Storage</v>
      </c>
      <c r="AR304" s="279" t="s">
        <v>92</v>
      </c>
    </row>
    <row r="305" spans="3:44" x14ac:dyDescent="0.3">
      <c r="C305" s="271" t="s">
        <v>680</v>
      </c>
      <c r="D305" s="51" t="s">
        <v>23</v>
      </c>
      <c r="E305" s="39">
        <v>1</v>
      </c>
      <c r="F305" s="39" t="s">
        <v>14</v>
      </c>
      <c r="G305" s="39">
        <v>0</v>
      </c>
      <c r="H305" s="39">
        <v>1</v>
      </c>
      <c r="I305" s="47" t="s">
        <v>139</v>
      </c>
      <c r="J305" s="230"/>
      <c r="K305" s="70" t="s">
        <v>629</v>
      </c>
      <c r="L305" s="217">
        <v>0</v>
      </c>
      <c r="M305" s="97" t="str">
        <f t="shared" si="461"/>
        <v>No</v>
      </c>
      <c r="N305" s="98">
        <v>1</v>
      </c>
      <c r="O305" s="99" t="str">
        <f t="shared" si="462"/>
        <v>Yes</v>
      </c>
      <c r="P305" s="100">
        <v>0</v>
      </c>
      <c r="Q305" s="101" t="str">
        <f t="shared" si="463"/>
        <v>No</v>
      </c>
      <c r="R305" s="96">
        <v>0</v>
      </c>
      <c r="S305" s="11" t="str">
        <f t="shared" si="464"/>
        <v>No</v>
      </c>
      <c r="T305" s="28" t="str">
        <f>T304</f>
        <v>120/208 AC</v>
      </c>
      <c r="U305" s="273"/>
      <c r="V305" s="140">
        <f>V304</f>
        <v>3</v>
      </c>
      <c r="W305" s="273"/>
      <c r="X305" s="39">
        <v>1</v>
      </c>
      <c r="Y305" s="39">
        <v>1</v>
      </c>
      <c r="Z305" s="39">
        <v>0</v>
      </c>
      <c r="AA305" s="39"/>
      <c r="AB305" s="39"/>
      <c r="AC305" s="39"/>
      <c r="AD305" s="39"/>
      <c r="AE305" s="39"/>
      <c r="AF305" s="39"/>
      <c r="AG305" s="39"/>
      <c r="AH305" s="140" t="str">
        <f>AH304</f>
        <v>GVV-Concord-WP</v>
      </c>
      <c r="AI305" s="273"/>
      <c r="AJ305" s="140" t="str">
        <f>AJ304</f>
        <v>WP</v>
      </c>
      <c r="AK305" s="273"/>
      <c r="AL305" s="140" t="str">
        <f>AL304</f>
        <v>In Programming Stage</v>
      </c>
      <c r="AM305" s="277"/>
      <c r="AN305" s="140" t="str">
        <f>AN304</f>
        <v>Toronto</v>
      </c>
      <c r="AO305" s="82" t="s">
        <v>7</v>
      </c>
      <c r="AP305" s="273"/>
      <c r="AQ305" s="140" t="str">
        <f>AQ304</f>
        <v>Storage</v>
      </c>
      <c r="AR305" s="280"/>
    </row>
    <row r="306" spans="3:44" x14ac:dyDescent="0.3">
      <c r="C306" s="271" t="s">
        <v>680</v>
      </c>
      <c r="D306" s="51" t="s">
        <v>24</v>
      </c>
      <c r="E306" s="39">
        <v>1</v>
      </c>
      <c r="F306" s="39" t="s">
        <v>14</v>
      </c>
      <c r="G306" s="39">
        <v>0</v>
      </c>
      <c r="H306" s="39">
        <v>1</v>
      </c>
      <c r="I306" s="47" t="s">
        <v>139</v>
      </c>
      <c r="J306" s="230"/>
      <c r="K306" s="70" t="s">
        <v>629</v>
      </c>
      <c r="L306" s="217">
        <v>0</v>
      </c>
      <c r="M306" s="97" t="str">
        <f t="shared" si="461"/>
        <v>No</v>
      </c>
      <c r="N306" s="98">
        <v>1</v>
      </c>
      <c r="O306" s="99" t="str">
        <f t="shared" si="462"/>
        <v>Yes</v>
      </c>
      <c r="P306" s="100">
        <v>0</v>
      </c>
      <c r="Q306" s="101" t="str">
        <f t="shared" si="463"/>
        <v>No</v>
      </c>
      <c r="R306" s="96">
        <v>0</v>
      </c>
      <c r="S306" s="11" t="str">
        <f t="shared" si="464"/>
        <v>No</v>
      </c>
      <c r="T306" s="28" t="str">
        <f t="shared" ref="T306:T309" si="472">T305</f>
        <v>120/208 AC</v>
      </c>
      <c r="U306" s="273"/>
      <c r="V306" s="140">
        <f t="shared" ref="V306:V309" si="473">V305</f>
        <v>3</v>
      </c>
      <c r="W306" s="273"/>
      <c r="X306" s="39">
        <v>1</v>
      </c>
      <c r="Y306" s="39">
        <v>1</v>
      </c>
      <c r="Z306" s="39">
        <v>0</v>
      </c>
      <c r="AA306" s="39"/>
      <c r="AB306" s="39"/>
      <c r="AC306" s="39"/>
      <c r="AD306" s="39"/>
      <c r="AE306" s="39"/>
      <c r="AF306" s="39"/>
      <c r="AG306" s="39"/>
      <c r="AH306" s="140" t="str">
        <f t="shared" ref="AH306:AH309" si="474">AH305</f>
        <v>GVV-Concord-WP</v>
      </c>
      <c r="AI306" s="273"/>
      <c r="AJ306" s="140" t="str">
        <f t="shared" ref="AJ306:AJ309" si="475">AJ305</f>
        <v>WP</v>
      </c>
      <c r="AK306" s="273"/>
      <c r="AL306" s="140" t="str">
        <f t="shared" ref="AL306:AL309" si="476">AL305</f>
        <v>In Programming Stage</v>
      </c>
      <c r="AM306" s="277"/>
      <c r="AN306" s="140" t="str">
        <f t="shared" ref="AN306:AN309" si="477">AN305</f>
        <v>Toronto</v>
      </c>
      <c r="AO306" s="82" t="s">
        <v>7</v>
      </c>
      <c r="AP306" s="273"/>
      <c r="AQ306" s="140" t="str">
        <f t="shared" ref="AQ306:AQ309" si="478">AQ305</f>
        <v>Storage</v>
      </c>
      <c r="AR306" s="280"/>
    </row>
    <row r="307" spans="3:44" x14ac:dyDescent="0.3">
      <c r="C307" s="271" t="s">
        <v>680</v>
      </c>
      <c r="D307" s="51" t="s">
        <v>25</v>
      </c>
      <c r="E307" s="39">
        <v>1</v>
      </c>
      <c r="F307" s="39" t="s">
        <v>14</v>
      </c>
      <c r="G307" s="39">
        <v>0</v>
      </c>
      <c r="H307" s="39">
        <v>1</v>
      </c>
      <c r="I307" s="47" t="s">
        <v>139</v>
      </c>
      <c r="J307" s="230"/>
      <c r="K307" s="70" t="s">
        <v>629</v>
      </c>
      <c r="L307" s="217">
        <v>0</v>
      </c>
      <c r="M307" s="97" t="str">
        <f t="shared" si="461"/>
        <v>No</v>
      </c>
      <c r="N307" s="98">
        <v>1</v>
      </c>
      <c r="O307" s="99" t="str">
        <f t="shared" si="462"/>
        <v>Yes</v>
      </c>
      <c r="P307" s="100">
        <v>0</v>
      </c>
      <c r="Q307" s="101" t="str">
        <f t="shared" si="463"/>
        <v>No</v>
      </c>
      <c r="R307" s="96">
        <v>0</v>
      </c>
      <c r="S307" s="11" t="str">
        <f t="shared" si="464"/>
        <v>No</v>
      </c>
      <c r="T307" s="28" t="str">
        <f t="shared" si="472"/>
        <v>120/208 AC</v>
      </c>
      <c r="U307" s="273"/>
      <c r="V307" s="140">
        <f t="shared" si="473"/>
        <v>3</v>
      </c>
      <c r="W307" s="273"/>
      <c r="X307" s="39">
        <v>1</v>
      </c>
      <c r="Y307" s="39">
        <v>1</v>
      </c>
      <c r="Z307" s="39">
        <v>0</v>
      </c>
      <c r="AA307" s="39"/>
      <c r="AB307" s="39"/>
      <c r="AC307" s="39"/>
      <c r="AD307" s="39"/>
      <c r="AE307" s="39"/>
      <c r="AF307" s="39"/>
      <c r="AG307" s="39"/>
      <c r="AH307" s="140" t="str">
        <f t="shared" si="474"/>
        <v>GVV-Concord-WP</v>
      </c>
      <c r="AI307" s="273"/>
      <c r="AJ307" s="140" t="str">
        <f t="shared" si="475"/>
        <v>WP</v>
      </c>
      <c r="AK307" s="273"/>
      <c r="AL307" s="140" t="str">
        <f t="shared" si="476"/>
        <v>In Programming Stage</v>
      </c>
      <c r="AM307" s="277"/>
      <c r="AN307" s="140" t="str">
        <f t="shared" si="477"/>
        <v>Toronto</v>
      </c>
      <c r="AO307" s="82" t="s">
        <v>7</v>
      </c>
      <c r="AP307" s="273"/>
      <c r="AQ307" s="140" t="str">
        <f t="shared" si="478"/>
        <v>Storage</v>
      </c>
      <c r="AR307" s="280"/>
    </row>
    <row r="308" spans="3:44" x14ac:dyDescent="0.3">
      <c r="C308" s="271" t="s">
        <v>680</v>
      </c>
      <c r="D308" s="51" t="s">
        <v>31</v>
      </c>
      <c r="E308" s="39">
        <v>1</v>
      </c>
      <c r="F308" s="39" t="s">
        <v>14</v>
      </c>
      <c r="G308" s="39">
        <v>0</v>
      </c>
      <c r="H308" s="39">
        <v>1</v>
      </c>
      <c r="I308" s="47" t="s">
        <v>139</v>
      </c>
      <c r="J308" s="230"/>
      <c r="K308" s="70" t="s">
        <v>629</v>
      </c>
      <c r="L308" s="217">
        <v>0</v>
      </c>
      <c r="M308" s="97" t="str">
        <f t="shared" si="461"/>
        <v>No</v>
      </c>
      <c r="N308" s="98">
        <v>1</v>
      </c>
      <c r="O308" s="99" t="str">
        <f t="shared" si="462"/>
        <v>Yes</v>
      </c>
      <c r="P308" s="100">
        <v>0</v>
      </c>
      <c r="Q308" s="101" t="str">
        <f t="shared" si="463"/>
        <v>No</v>
      </c>
      <c r="R308" s="96">
        <v>0</v>
      </c>
      <c r="S308" s="11" t="str">
        <f t="shared" si="464"/>
        <v>No</v>
      </c>
      <c r="T308" s="28" t="str">
        <f t="shared" si="472"/>
        <v>120/208 AC</v>
      </c>
      <c r="U308" s="273"/>
      <c r="V308" s="140">
        <f t="shared" si="473"/>
        <v>3</v>
      </c>
      <c r="W308" s="273"/>
      <c r="X308" s="39">
        <v>1</v>
      </c>
      <c r="Y308" s="39">
        <v>1</v>
      </c>
      <c r="Z308" s="39">
        <v>0</v>
      </c>
      <c r="AA308" s="39"/>
      <c r="AB308" s="39"/>
      <c r="AC308" s="39"/>
      <c r="AD308" s="39"/>
      <c r="AE308" s="39"/>
      <c r="AF308" s="39"/>
      <c r="AG308" s="39"/>
      <c r="AH308" s="140" t="str">
        <f t="shared" si="474"/>
        <v>GVV-Concord-WP</v>
      </c>
      <c r="AI308" s="273"/>
      <c r="AJ308" s="140" t="str">
        <f t="shared" si="475"/>
        <v>WP</v>
      </c>
      <c r="AK308" s="273"/>
      <c r="AL308" s="140" t="str">
        <f t="shared" si="476"/>
        <v>In Programming Stage</v>
      </c>
      <c r="AM308" s="277"/>
      <c r="AN308" s="140" t="str">
        <f t="shared" si="477"/>
        <v>Toronto</v>
      </c>
      <c r="AO308" s="82" t="s">
        <v>7</v>
      </c>
      <c r="AP308" s="273"/>
      <c r="AQ308" s="140" t="str">
        <f t="shared" si="478"/>
        <v>Storage</v>
      </c>
      <c r="AR308" s="280"/>
    </row>
    <row r="309" spans="3:44" ht="15" thickBot="1" x14ac:dyDescent="0.35">
      <c r="C309" s="271" t="s">
        <v>680</v>
      </c>
      <c r="D309" s="52" t="s">
        <v>32</v>
      </c>
      <c r="E309" s="34">
        <v>1</v>
      </c>
      <c r="F309" s="34" t="s">
        <v>14</v>
      </c>
      <c r="G309" s="34">
        <v>0</v>
      </c>
      <c r="H309" s="34">
        <v>1</v>
      </c>
      <c r="I309" s="231" t="s">
        <v>628</v>
      </c>
      <c r="J309" s="231"/>
      <c r="K309" s="232" t="s">
        <v>629</v>
      </c>
      <c r="L309" s="103">
        <v>0</v>
      </c>
      <c r="M309" s="104" t="str">
        <f t="shared" si="461"/>
        <v>No</v>
      </c>
      <c r="N309" s="105">
        <v>1</v>
      </c>
      <c r="O309" s="106" t="str">
        <f t="shared" si="462"/>
        <v>Yes</v>
      </c>
      <c r="P309" s="107">
        <v>0</v>
      </c>
      <c r="Q309" s="108" t="str">
        <f t="shared" si="463"/>
        <v>No</v>
      </c>
      <c r="R309" s="103">
        <v>0</v>
      </c>
      <c r="S309" s="10" t="str">
        <f t="shared" si="464"/>
        <v>No</v>
      </c>
      <c r="T309" s="28" t="str">
        <f t="shared" si="472"/>
        <v>120/208 AC</v>
      </c>
      <c r="U309" s="274"/>
      <c r="V309" s="140">
        <f t="shared" si="473"/>
        <v>3</v>
      </c>
      <c r="W309" s="274"/>
      <c r="X309" s="34">
        <v>1</v>
      </c>
      <c r="Y309" s="34">
        <v>1</v>
      </c>
      <c r="Z309" s="34">
        <v>0</v>
      </c>
      <c r="AA309" s="34"/>
      <c r="AB309" s="34"/>
      <c r="AC309" s="34"/>
      <c r="AD309" s="34"/>
      <c r="AE309" s="34"/>
      <c r="AF309" s="34"/>
      <c r="AG309" s="34"/>
      <c r="AH309" s="140" t="str">
        <f t="shared" si="474"/>
        <v>GVV-Concord-WP</v>
      </c>
      <c r="AI309" s="288"/>
      <c r="AJ309" s="140" t="str">
        <f t="shared" si="475"/>
        <v>WP</v>
      </c>
      <c r="AK309" s="274"/>
      <c r="AL309" s="140" t="str">
        <f t="shared" si="476"/>
        <v>In Programming Stage</v>
      </c>
      <c r="AM309" s="278"/>
      <c r="AN309" s="140" t="str">
        <f t="shared" si="477"/>
        <v>Toronto</v>
      </c>
      <c r="AO309" s="83" t="s">
        <v>7</v>
      </c>
      <c r="AP309" s="274"/>
      <c r="AQ309" s="140" t="str">
        <f t="shared" si="478"/>
        <v>Storage</v>
      </c>
      <c r="AR309" s="281"/>
    </row>
    <row r="310" spans="3:44" ht="15" thickTop="1" x14ac:dyDescent="0.3"/>
  </sheetData>
  <mergeCells count="515">
    <mergeCell ref="U298:U303"/>
    <mergeCell ref="W298:W303"/>
    <mergeCell ref="AI298:AI303"/>
    <mergeCell ref="AK298:AK303"/>
    <mergeCell ref="AM298:AM303"/>
    <mergeCell ref="AP298:AP303"/>
    <mergeCell ref="AR298:AR303"/>
    <mergeCell ref="U304:U309"/>
    <mergeCell ref="W304:W309"/>
    <mergeCell ref="AI304:AI309"/>
    <mergeCell ref="AK304:AK309"/>
    <mergeCell ref="AM304:AM309"/>
    <mergeCell ref="AP304:AP309"/>
    <mergeCell ref="AR304:AR309"/>
    <mergeCell ref="AR268:AR270"/>
    <mergeCell ref="J271:J273"/>
    <mergeCell ref="K271:K273"/>
    <mergeCell ref="U271:U273"/>
    <mergeCell ref="W271:W273"/>
    <mergeCell ref="AI271:AI273"/>
    <mergeCell ref="AK271:AK273"/>
    <mergeCell ref="AM271:AM273"/>
    <mergeCell ref="AP271:AP273"/>
    <mergeCell ref="AR271:AR273"/>
    <mergeCell ref="J268:J270"/>
    <mergeCell ref="K268:K270"/>
    <mergeCell ref="U268:U270"/>
    <mergeCell ref="W268:W270"/>
    <mergeCell ref="AI268:AI270"/>
    <mergeCell ref="AK268:AK270"/>
    <mergeCell ref="AM268:AM270"/>
    <mergeCell ref="AP268:AP270"/>
    <mergeCell ref="U262:U264"/>
    <mergeCell ref="AP98:AP101"/>
    <mergeCell ref="AR98:AR101"/>
    <mergeCell ref="AP90:AP93"/>
    <mergeCell ref="AR90:AR93"/>
    <mergeCell ref="A94:A97"/>
    <mergeCell ref="U94:U97"/>
    <mergeCell ref="W94:W97"/>
    <mergeCell ref="AI94:AI97"/>
    <mergeCell ref="AK94:AK97"/>
    <mergeCell ref="AM94:AM97"/>
    <mergeCell ref="AP94:AP97"/>
    <mergeCell ref="AR94:AR97"/>
    <mergeCell ref="AI216:AI221"/>
    <mergeCell ref="AI222:AI227"/>
    <mergeCell ref="AI228:AI233"/>
    <mergeCell ref="AI234:AI239"/>
    <mergeCell ref="AI244:AI249"/>
    <mergeCell ref="AI250:AI255"/>
    <mergeCell ref="AI262:AI264"/>
    <mergeCell ref="AI256:AI261"/>
    <mergeCell ref="AK250:AK255"/>
    <mergeCell ref="AK256:AK261"/>
    <mergeCell ref="AK262:AK264"/>
    <mergeCell ref="AK244:AK249"/>
    <mergeCell ref="AK234:AK239"/>
    <mergeCell ref="AK228:AK233"/>
    <mergeCell ref="AK222:AK227"/>
    <mergeCell ref="AK216:AK221"/>
    <mergeCell ref="AI172:AI174"/>
    <mergeCell ref="AK172:AK174"/>
    <mergeCell ref="AI178:AI183"/>
    <mergeCell ref="AI184:AI185"/>
    <mergeCell ref="AI186:AI191"/>
    <mergeCell ref="AI192:AI197"/>
    <mergeCell ref="AI198:AI203"/>
    <mergeCell ref="AI204:AI209"/>
    <mergeCell ref="AI210:AI215"/>
    <mergeCell ref="AK210:AK215"/>
    <mergeCell ref="AK204:AK209"/>
    <mergeCell ref="AK198:AK203"/>
    <mergeCell ref="AK192:AK197"/>
    <mergeCell ref="AK186:AK191"/>
    <mergeCell ref="AK184:AK185"/>
    <mergeCell ref="AK178:AK183"/>
    <mergeCell ref="AI116:AI121"/>
    <mergeCell ref="AK116:AK121"/>
    <mergeCell ref="AI122:AI127"/>
    <mergeCell ref="AK122:AK127"/>
    <mergeCell ref="AI128:AI133"/>
    <mergeCell ref="AK128:AK133"/>
    <mergeCell ref="AI134:AI139"/>
    <mergeCell ref="AK134:AK139"/>
    <mergeCell ref="AI140:AI149"/>
    <mergeCell ref="AK140:AK149"/>
    <mergeCell ref="AI82:AI85"/>
    <mergeCell ref="AK82:AK85"/>
    <mergeCell ref="AI86:AI89"/>
    <mergeCell ref="AK86:AK89"/>
    <mergeCell ref="AI102:AI105"/>
    <mergeCell ref="AK102:AK105"/>
    <mergeCell ref="AI106:AI109"/>
    <mergeCell ref="AK106:AK109"/>
    <mergeCell ref="AI110:AI115"/>
    <mergeCell ref="AK110:AK115"/>
    <mergeCell ref="AI90:AI93"/>
    <mergeCell ref="AK90:AK93"/>
    <mergeCell ref="AI98:AI101"/>
    <mergeCell ref="AK98:AK101"/>
    <mergeCell ref="AI70:AI71"/>
    <mergeCell ref="AK70:AK71"/>
    <mergeCell ref="AI72:AI73"/>
    <mergeCell ref="AK72:AK73"/>
    <mergeCell ref="AI74:AI75"/>
    <mergeCell ref="AK74:AK75"/>
    <mergeCell ref="AI76:AI79"/>
    <mergeCell ref="AK76:AK79"/>
    <mergeCell ref="AI80:AI81"/>
    <mergeCell ref="AK80:AK81"/>
    <mergeCell ref="AI54:AI55"/>
    <mergeCell ref="AK54:AK55"/>
    <mergeCell ref="AI56:AI59"/>
    <mergeCell ref="AK56:AK59"/>
    <mergeCell ref="AI60:AI63"/>
    <mergeCell ref="AK60:AK63"/>
    <mergeCell ref="AI64:AI67"/>
    <mergeCell ref="AK64:AK67"/>
    <mergeCell ref="AI68:AI69"/>
    <mergeCell ref="AK68:AK69"/>
    <mergeCell ref="AK36:AK39"/>
    <mergeCell ref="AI40:AI43"/>
    <mergeCell ref="AK40:AK43"/>
    <mergeCell ref="AI44:AI47"/>
    <mergeCell ref="AK44:AK47"/>
    <mergeCell ref="AI48:AI49"/>
    <mergeCell ref="AK48:AK49"/>
    <mergeCell ref="AI50:AI53"/>
    <mergeCell ref="AK50:AK53"/>
    <mergeCell ref="AR234:AR239"/>
    <mergeCell ref="AR244:AR249"/>
    <mergeCell ref="AR250:AR255"/>
    <mergeCell ref="AR256:AR261"/>
    <mergeCell ref="AR262:AR264"/>
    <mergeCell ref="AI2:AI3"/>
    <mergeCell ref="AI4:AI7"/>
    <mergeCell ref="AI8:AI11"/>
    <mergeCell ref="AK2:AK3"/>
    <mergeCell ref="AK4:AK7"/>
    <mergeCell ref="AK8:AK11"/>
    <mergeCell ref="AI12:AI15"/>
    <mergeCell ref="AK12:AK15"/>
    <mergeCell ref="AI16:AI19"/>
    <mergeCell ref="AK16:AK19"/>
    <mergeCell ref="AI20:AI23"/>
    <mergeCell ref="AK20:AK23"/>
    <mergeCell ref="AI24:AI27"/>
    <mergeCell ref="AK24:AK27"/>
    <mergeCell ref="AI28:AI31"/>
    <mergeCell ref="AK28:AK31"/>
    <mergeCell ref="AI32:AI35"/>
    <mergeCell ref="AK32:AK35"/>
    <mergeCell ref="AI36:AI39"/>
    <mergeCell ref="AR184:AR185"/>
    <mergeCell ref="AR186:AR191"/>
    <mergeCell ref="AR192:AR197"/>
    <mergeCell ref="AR198:AR203"/>
    <mergeCell ref="AR204:AR209"/>
    <mergeCell ref="AR210:AR215"/>
    <mergeCell ref="AR216:AR221"/>
    <mergeCell ref="AR222:AR227"/>
    <mergeCell ref="AR228:AR233"/>
    <mergeCell ref="AR106:AR109"/>
    <mergeCell ref="AR110:AR115"/>
    <mergeCell ref="AR116:AR121"/>
    <mergeCell ref="AR122:AR127"/>
    <mergeCell ref="AR128:AR133"/>
    <mergeCell ref="AR134:AR139"/>
    <mergeCell ref="AR140:AR149"/>
    <mergeCell ref="AR172:AR174"/>
    <mergeCell ref="AR178:AR183"/>
    <mergeCell ref="AR68:AR69"/>
    <mergeCell ref="AR70:AR71"/>
    <mergeCell ref="AR72:AR73"/>
    <mergeCell ref="AR74:AR75"/>
    <mergeCell ref="AR76:AR79"/>
    <mergeCell ref="AR80:AR81"/>
    <mergeCell ref="AR82:AR85"/>
    <mergeCell ref="AR86:AR89"/>
    <mergeCell ref="AR102:AR105"/>
    <mergeCell ref="AP228:AP233"/>
    <mergeCell ref="AP234:AP239"/>
    <mergeCell ref="AP244:AP249"/>
    <mergeCell ref="AP250:AP255"/>
    <mergeCell ref="AP256:AP261"/>
    <mergeCell ref="AP262:AP264"/>
    <mergeCell ref="AR2:AR3"/>
    <mergeCell ref="AR4:AR7"/>
    <mergeCell ref="AR8:AR11"/>
    <mergeCell ref="AR12:AR15"/>
    <mergeCell ref="AR16:AR19"/>
    <mergeCell ref="AR20:AR23"/>
    <mergeCell ref="AR24:AR27"/>
    <mergeCell ref="AR28:AR31"/>
    <mergeCell ref="AR32:AR35"/>
    <mergeCell ref="AR36:AR39"/>
    <mergeCell ref="AR40:AR43"/>
    <mergeCell ref="AR44:AR47"/>
    <mergeCell ref="AR48:AR49"/>
    <mergeCell ref="AR50:AR53"/>
    <mergeCell ref="AR54:AR55"/>
    <mergeCell ref="AR56:AR59"/>
    <mergeCell ref="AR60:AR63"/>
    <mergeCell ref="AR64:AR67"/>
    <mergeCell ref="AP178:AP183"/>
    <mergeCell ref="AP184:AP185"/>
    <mergeCell ref="AP186:AP191"/>
    <mergeCell ref="AP192:AP197"/>
    <mergeCell ref="AP198:AP203"/>
    <mergeCell ref="AP204:AP209"/>
    <mergeCell ref="AP210:AP215"/>
    <mergeCell ref="AP216:AP221"/>
    <mergeCell ref="AP222:AP227"/>
    <mergeCell ref="AP102:AP105"/>
    <mergeCell ref="AP106:AP109"/>
    <mergeCell ref="AP110:AP115"/>
    <mergeCell ref="AP116:AP121"/>
    <mergeCell ref="AP122:AP127"/>
    <mergeCell ref="AP128:AP133"/>
    <mergeCell ref="AP134:AP139"/>
    <mergeCell ref="AP140:AP149"/>
    <mergeCell ref="AP172:AP174"/>
    <mergeCell ref="AP64:AP67"/>
    <mergeCell ref="AP68:AP69"/>
    <mergeCell ref="AP70:AP71"/>
    <mergeCell ref="AP72:AP73"/>
    <mergeCell ref="AP74:AP75"/>
    <mergeCell ref="AP76:AP79"/>
    <mergeCell ref="AP80:AP81"/>
    <mergeCell ref="AP82:AP85"/>
    <mergeCell ref="AP86:AP89"/>
    <mergeCell ref="AM222:AM227"/>
    <mergeCell ref="AM228:AM233"/>
    <mergeCell ref="AM234:AM239"/>
    <mergeCell ref="AM244:AM249"/>
    <mergeCell ref="AM250:AM255"/>
    <mergeCell ref="AM256:AM261"/>
    <mergeCell ref="AM262:AM264"/>
    <mergeCell ref="AP2:AP3"/>
    <mergeCell ref="AP4:AP7"/>
    <mergeCell ref="AP8:AP11"/>
    <mergeCell ref="AP12:AP15"/>
    <mergeCell ref="AP16:AP19"/>
    <mergeCell ref="AP20:AP23"/>
    <mergeCell ref="AP24:AP27"/>
    <mergeCell ref="AP28:AP31"/>
    <mergeCell ref="AP32:AP35"/>
    <mergeCell ref="AP36:AP39"/>
    <mergeCell ref="AP40:AP43"/>
    <mergeCell ref="AP44:AP47"/>
    <mergeCell ref="AP48:AP49"/>
    <mergeCell ref="AP50:AP53"/>
    <mergeCell ref="AP54:AP55"/>
    <mergeCell ref="AP56:AP59"/>
    <mergeCell ref="AP60:AP63"/>
    <mergeCell ref="AM172:AM174"/>
    <mergeCell ref="AM178:AM183"/>
    <mergeCell ref="AM184:AM185"/>
    <mergeCell ref="AM186:AM191"/>
    <mergeCell ref="AM192:AM197"/>
    <mergeCell ref="AM198:AM203"/>
    <mergeCell ref="AM204:AM209"/>
    <mergeCell ref="AM210:AM215"/>
    <mergeCell ref="AM216:AM221"/>
    <mergeCell ref="AM106:AM109"/>
    <mergeCell ref="AM110:AM115"/>
    <mergeCell ref="AM116:AM121"/>
    <mergeCell ref="AM122:AM127"/>
    <mergeCell ref="AM128:AM133"/>
    <mergeCell ref="AM134:AM139"/>
    <mergeCell ref="AM140:AM149"/>
    <mergeCell ref="AM68:AM69"/>
    <mergeCell ref="AM70:AM71"/>
    <mergeCell ref="AM72:AM73"/>
    <mergeCell ref="AM74:AM75"/>
    <mergeCell ref="AM76:AM79"/>
    <mergeCell ref="AM80:AM81"/>
    <mergeCell ref="AM82:AM85"/>
    <mergeCell ref="AM86:AM89"/>
    <mergeCell ref="AM102:AM105"/>
    <mergeCell ref="AM90:AM93"/>
    <mergeCell ref="AM98:AM101"/>
    <mergeCell ref="AM36:AM39"/>
    <mergeCell ref="AM40:AM43"/>
    <mergeCell ref="AM44:AM47"/>
    <mergeCell ref="AM48:AM49"/>
    <mergeCell ref="AM50:AM53"/>
    <mergeCell ref="AM54:AM55"/>
    <mergeCell ref="AM56:AM59"/>
    <mergeCell ref="AM60:AM63"/>
    <mergeCell ref="AM64:AM67"/>
    <mergeCell ref="AM2:AM3"/>
    <mergeCell ref="AM4:AM7"/>
    <mergeCell ref="AM8:AM11"/>
    <mergeCell ref="AM12:AM15"/>
    <mergeCell ref="AM16:AM19"/>
    <mergeCell ref="AM20:AM23"/>
    <mergeCell ref="AM24:AM27"/>
    <mergeCell ref="AM28:AM31"/>
    <mergeCell ref="AM32:AM35"/>
    <mergeCell ref="W262:W264"/>
    <mergeCell ref="W228:W233"/>
    <mergeCell ref="W234:W239"/>
    <mergeCell ref="W244:W249"/>
    <mergeCell ref="W250:W255"/>
    <mergeCell ref="W256:W261"/>
    <mergeCell ref="W198:W203"/>
    <mergeCell ref="W204:W209"/>
    <mergeCell ref="W210:W215"/>
    <mergeCell ref="W216:W221"/>
    <mergeCell ref="W222:W227"/>
    <mergeCell ref="W172:W174"/>
    <mergeCell ref="W178:W183"/>
    <mergeCell ref="W184:W185"/>
    <mergeCell ref="W186:W191"/>
    <mergeCell ref="W192:W197"/>
    <mergeCell ref="W116:W121"/>
    <mergeCell ref="W122:W127"/>
    <mergeCell ref="W128:W133"/>
    <mergeCell ref="W134:W139"/>
    <mergeCell ref="W140:W149"/>
    <mergeCell ref="W156:W163"/>
    <mergeCell ref="W150:W155"/>
    <mergeCell ref="W164:W171"/>
    <mergeCell ref="W82:W85"/>
    <mergeCell ref="W86:W89"/>
    <mergeCell ref="W102:W105"/>
    <mergeCell ref="W106:W109"/>
    <mergeCell ref="W110:W115"/>
    <mergeCell ref="W70:W71"/>
    <mergeCell ref="W72:W73"/>
    <mergeCell ref="W74:W75"/>
    <mergeCell ref="W80:W81"/>
    <mergeCell ref="W90:W93"/>
    <mergeCell ref="W98:W101"/>
    <mergeCell ref="W76:W79"/>
    <mergeCell ref="W54:W55"/>
    <mergeCell ref="W56:W59"/>
    <mergeCell ref="W60:W63"/>
    <mergeCell ref="W64:W67"/>
    <mergeCell ref="W68:W69"/>
    <mergeCell ref="W40:W43"/>
    <mergeCell ref="W44:W47"/>
    <mergeCell ref="W48:W49"/>
    <mergeCell ref="W50:W53"/>
    <mergeCell ref="W20:W23"/>
    <mergeCell ref="W24:W27"/>
    <mergeCell ref="W28:W31"/>
    <mergeCell ref="W32:W35"/>
    <mergeCell ref="W36:W39"/>
    <mergeCell ref="W2:W3"/>
    <mergeCell ref="W4:W7"/>
    <mergeCell ref="W8:W11"/>
    <mergeCell ref="W12:W15"/>
    <mergeCell ref="W16:W19"/>
    <mergeCell ref="U250:U255"/>
    <mergeCell ref="U256:U261"/>
    <mergeCell ref="U102:U105"/>
    <mergeCell ref="U106:U109"/>
    <mergeCell ref="U110:U115"/>
    <mergeCell ref="U116:U121"/>
    <mergeCell ref="U216:U221"/>
    <mergeCell ref="U222:U227"/>
    <mergeCell ref="U228:U233"/>
    <mergeCell ref="U234:U239"/>
    <mergeCell ref="U244:U249"/>
    <mergeCell ref="U186:U191"/>
    <mergeCell ref="U192:U197"/>
    <mergeCell ref="U198:U203"/>
    <mergeCell ref="U204:U209"/>
    <mergeCell ref="U210:U215"/>
    <mergeCell ref="U122:U127"/>
    <mergeCell ref="U128:U133"/>
    <mergeCell ref="U134:U139"/>
    <mergeCell ref="U150:U155"/>
    <mergeCell ref="U156:U163"/>
    <mergeCell ref="U164:U171"/>
    <mergeCell ref="U82:U85"/>
    <mergeCell ref="U86:U89"/>
    <mergeCell ref="U172:U174"/>
    <mergeCell ref="U178:U183"/>
    <mergeCell ref="U184:U185"/>
    <mergeCell ref="U68:U69"/>
    <mergeCell ref="U70:U71"/>
    <mergeCell ref="U72:U73"/>
    <mergeCell ref="U74:U75"/>
    <mergeCell ref="U90:U93"/>
    <mergeCell ref="U98:U101"/>
    <mergeCell ref="U48:U49"/>
    <mergeCell ref="U36:U39"/>
    <mergeCell ref="U54:U55"/>
    <mergeCell ref="U60:U63"/>
    <mergeCell ref="U64:U67"/>
    <mergeCell ref="A250:A255"/>
    <mergeCell ref="A256:A261"/>
    <mergeCell ref="A262:A264"/>
    <mergeCell ref="U2:U3"/>
    <mergeCell ref="U4:U7"/>
    <mergeCell ref="U8:U11"/>
    <mergeCell ref="U12:U15"/>
    <mergeCell ref="U16:U19"/>
    <mergeCell ref="U20:U23"/>
    <mergeCell ref="U24:U27"/>
    <mergeCell ref="U28:U31"/>
    <mergeCell ref="U32:U35"/>
    <mergeCell ref="U40:U43"/>
    <mergeCell ref="U44:U47"/>
    <mergeCell ref="U50:U53"/>
    <mergeCell ref="U56:U59"/>
    <mergeCell ref="A216:A221"/>
    <mergeCell ref="A222:A227"/>
    <mergeCell ref="A228:A233"/>
    <mergeCell ref="A234:A239"/>
    <mergeCell ref="A244:A249"/>
    <mergeCell ref="A186:A191"/>
    <mergeCell ref="A192:A197"/>
    <mergeCell ref="A198:A203"/>
    <mergeCell ref="A204:A209"/>
    <mergeCell ref="A210:A215"/>
    <mergeCell ref="A134:A139"/>
    <mergeCell ref="A140:A149"/>
    <mergeCell ref="A172:A174"/>
    <mergeCell ref="A178:A183"/>
    <mergeCell ref="A184:A185"/>
    <mergeCell ref="A156:A163"/>
    <mergeCell ref="A150:A155"/>
    <mergeCell ref="A164:A171"/>
    <mergeCell ref="A54:A55"/>
    <mergeCell ref="A56:A59"/>
    <mergeCell ref="A60:A63"/>
    <mergeCell ref="A106:A109"/>
    <mergeCell ref="A110:A115"/>
    <mergeCell ref="A116:A121"/>
    <mergeCell ref="A122:A127"/>
    <mergeCell ref="A128:A133"/>
    <mergeCell ref="A80:A81"/>
    <mergeCell ref="A82:A85"/>
    <mergeCell ref="A86:A89"/>
    <mergeCell ref="A102:A105"/>
    <mergeCell ref="A76:A79"/>
    <mergeCell ref="A90:A93"/>
    <mergeCell ref="A98:A101"/>
    <mergeCell ref="AI150:AI155"/>
    <mergeCell ref="AK150:AK155"/>
    <mergeCell ref="AM150:AM155"/>
    <mergeCell ref="AP150:AP155"/>
    <mergeCell ref="AR150:AR155"/>
    <mergeCell ref="A2:A3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64:A67"/>
    <mergeCell ref="A68:A69"/>
    <mergeCell ref="A70:A71"/>
    <mergeCell ref="A72:A73"/>
    <mergeCell ref="A74:A75"/>
    <mergeCell ref="A48:A49"/>
    <mergeCell ref="A50:A53"/>
    <mergeCell ref="AI164:AI171"/>
    <mergeCell ref="AK164:AK171"/>
    <mergeCell ref="AM164:AM171"/>
    <mergeCell ref="AP164:AP171"/>
    <mergeCell ref="AR164:AR171"/>
    <mergeCell ref="AI156:AI163"/>
    <mergeCell ref="AK156:AK163"/>
    <mergeCell ref="AM156:AM163"/>
    <mergeCell ref="AP156:AP163"/>
    <mergeCell ref="AR156:AR163"/>
    <mergeCell ref="A265:A267"/>
    <mergeCell ref="U265:U267"/>
    <mergeCell ref="W265:W267"/>
    <mergeCell ref="AI265:AI267"/>
    <mergeCell ref="AK265:AK267"/>
    <mergeCell ref="AM265:AM267"/>
    <mergeCell ref="AP265:AP267"/>
    <mergeCell ref="AR265:AR267"/>
    <mergeCell ref="J265:J267"/>
    <mergeCell ref="K265:K267"/>
    <mergeCell ref="U274:U279"/>
    <mergeCell ref="W274:W279"/>
    <mergeCell ref="AI274:AI279"/>
    <mergeCell ref="AK274:AK279"/>
    <mergeCell ref="AM274:AM279"/>
    <mergeCell ref="AP274:AP279"/>
    <mergeCell ref="AR274:AR279"/>
    <mergeCell ref="U280:U285"/>
    <mergeCell ref="W280:W285"/>
    <mergeCell ref="AI280:AI285"/>
    <mergeCell ref="AK280:AK285"/>
    <mergeCell ref="AM280:AM285"/>
    <mergeCell ref="AP280:AP285"/>
    <mergeCell ref="AR280:AR285"/>
    <mergeCell ref="U286:U291"/>
    <mergeCell ref="W286:W291"/>
    <mergeCell ref="AI286:AI291"/>
    <mergeCell ref="AK286:AK291"/>
    <mergeCell ref="AM286:AM291"/>
    <mergeCell ref="AP286:AP291"/>
    <mergeCell ref="AR286:AR291"/>
    <mergeCell ref="U292:U297"/>
    <mergeCell ref="W292:W297"/>
    <mergeCell ref="AI292:AI297"/>
    <mergeCell ref="AK292:AK297"/>
    <mergeCell ref="AM292:AM297"/>
    <mergeCell ref="AP292:AP297"/>
    <mergeCell ref="AR292:AR297"/>
  </mergeCells>
  <phoneticPr fontId="8" type="noConversion"/>
  <conditionalFormatting sqref="AA164:AA171">
    <cfRule type="duplicateValues" dxfId="3" priority="4"/>
  </conditionalFormatting>
  <conditionalFormatting sqref="AB164:AB171">
    <cfRule type="duplicateValues" dxfId="2" priority="3"/>
  </conditionalFormatting>
  <conditionalFormatting sqref="AA156:AA163">
    <cfRule type="duplicateValues" dxfId="1" priority="2"/>
  </conditionalFormatting>
  <conditionalFormatting sqref="AB156:AB163">
    <cfRule type="duplicateValues" dxfId="0" priority="1"/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List!$B$2:$B$205</xm:f>
          </x14:formula1>
          <xm:sqref>AR1:AR1048576</xm:sqref>
        </x14:dataValidation>
        <x14:dataValidation type="list" allowBlank="1" showInputMessage="1" showErrorMessage="1">
          <x14:formula1>
            <xm:f>List!$A:$A</xm:f>
          </x14:formula1>
          <xm:sqref>AM1:AM1048576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42"/>
  <sheetViews>
    <sheetView workbookViewId="0">
      <selection activeCell="B43" sqref="B43"/>
    </sheetView>
  </sheetViews>
  <sheetFormatPr defaultRowHeight="14.4" x14ac:dyDescent="0.3"/>
  <cols>
    <col min="1" max="1" width="52.6640625" bestFit="1" customWidth="1"/>
    <col min="2" max="2" width="23.33203125" customWidth="1"/>
  </cols>
  <sheetData>
    <row r="1" spans="1:2" x14ac:dyDescent="0.3">
      <c r="A1" t="s">
        <v>2</v>
      </c>
      <c r="B1" t="s">
        <v>17</v>
      </c>
    </row>
    <row r="2" spans="1:2" x14ac:dyDescent="0.3">
      <c r="A2" t="s">
        <v>5</v>
      </c>
      <c r="B2" t="s">
        <v>177</v>
      </c>
    </row>
    <row r="3" spans="1:2" x14ac:dyDescent="0.3">
      <c r="A3" t="s">
        <v>67</v>
      </c>
      <c r="B3" t="s">
        <v>143</v>
      </c>
    </row>
    <row r="4" spans="1:2" x14ac:dyDescent="0.3">
      <c r="A4" t="s">
        <v>68</v>
      </c>
      <c r="B4" t="s">
        <v>178</v>
      </c>
    </row>
    <row r="5" spans="1:2" x14ac:dyDescent="0.3">
      <c r="A5" t="s">
        <v>69</v>
      </c>
      <c r="B5" t="s">
        <v>179</v>
      </c>
    </row>
    <row r="6" spans="1:2" x14ac:dyDescent="0.3">
      <c r="A6" t="s">
        <v>70</v>
      </c>
      <c r="B6" t="s">
        <v>180</v>
      </c>
    </row>
    <row r="7" spans="1:2" x14ac:dyDescent="0.3">
      <c r="A7" t="s">
        <v>71</v>
      </c>
      <c r="B7" t="s">
        <v>181</v>
      </c>
    </row>
    <row r="8" spans="1:2" x14ac:dyDescent="0.3">
      <c r="A8" t="s">
        <v>473</v>
      </c>
      <c r="B8" t="s">
        <v>175</v>
      </c>
    </row>
    <row r="9" spans="1:2" x14ac:dyDescent="0.3">
      <c r="A9" t="s">
        <v>89</v>
      </c>
      <c r="B9" t="s">
        <v>182</v>
      </c>
    </row>
    <row r="10" spans="1:2" x14ac:dyDescent="0.3">
      <c r="A10" t="s">
        <v>90</v>
      </c>
      <c r="B10" t="s">
        <v>18</v>
      </c>
    </row>
    <row r="11" spans="1:2" x14ac:dyDescent="0.3">
      <c r="A11" t="s">
        <v>116</v>
      </c>
      <c r="B11" t="s">
        <v>183</v>
      </c>
    </row>
    <row r="12" spans="1:2" x14ac:dyDescent="0.3">
      <c r="A12" t="s">
        <v>475</v>
      </c>
      <c r="B12" t="s">
        <v>184</v>
      </c>
    </row>
    <row r="13" spans="1:2" x14ac:dyDescent="0.3">
      <c r="B13" t="s">
        <v>144</v>
      </c>
    </row>
    <row r="14" spans="1:2" x14ac:dyDescent="0.3">
      <c r="B14" t="s">
        <v>185</v>
      </c>
    </row>
    <row r="15" spans="1:2" x14ac:dyDescent="0.3">
      <c r="B15" t="s">
        <v>186</v>
      </c>
    </row>
    <row r="16" spans="1:2" x14ac:dyDescent="0.3">
      <c r="B16" t="s">
        <v>187</v>
      </c>
    </row>
    <row r="17" spans="2:2" x14ac:dyDescent="0.3">
      <c r="B17" t="s">
        <v>78</v>
      </c>
    </row>
    <row r="18" spans="2:2" x14ac:dyDescent="0.3">
      <c r="B18" t="s">
        <v>176</v>
      </c>
    </row>
    <row r="19" spans="2:2" x14ac:dyDescent="0.3">
      <c r="B19" t="s">
        <v>188</v>
      </c>
    </row>
    <row r="20" spans="2:2" x14ac:dyDescent="0.3">
      <c r="B20" t="s">
        <v>189</v>
      </c>
    </row>
    <row r="21" spans="2:2" x14ac:dyDescent="0.3">
      <c r="B21" t="s">
        <v>190</v>
      </c>
    </row>
    <row r="22" spans="2:2" x14ac:dyDescent="0.3">
      <c r="B22" t="s">
        <v>191</v>
      </c>
    </row>
    <row r="23" spans="2:2" x14ac:dyDescent="0.3">
      <c r="B23" t="s">
        <v>192</v>
      </c>
    </row>
    <row r="24" spans="2:2" x14ac:dyDescent="0.3">
      <c r="B24" t="s">
        <v>193</v>
      </c>
    </row>
    <row r="25" spans="2:2" x14ac:dyDescent="0.3">
      <c r="B25" t="s">
        <v>194</v>
      </c>
    </row>
    <row r="26" spans="2:2" x14ac:dyDescent="0.3">
      <c r="B26" t="s">
        <v>195</v>
      </c>
    </row>
    <row r="27" spans="2:2" x14ac:dyDescent="0.3">
      <c r="B27" t="s">
        <v>196</v>
      </c>
    </row>
    <row r="28" spans="2:2" x14ac:dyDescent="0.3">
      <c r="B28" t="s">
        <v>197</v>
      </c>
    </row>
    <row r="29" spans="2:2" x14ac:dyDescent="0.3">
      <c r="B29" t="s">
        <v>546</v>
      </c>
    </row>
    <row r="30" spans="2:2" x14ac:dyDescent="0.3">
      <c r="B30" t="s">
        <v>200</v>
      </c>
    </row>
    <row r="31" spans="2:2" x14ac:dyDescent="0.3">
      <c r="B31" t="s">
        <v>199</v>
      </c>
    </row>
    <row r="32" spans="2:2" x14ac:dyDescent="0.3">
      <c r="B32" t="s">
        <v>198</v>
      </c>
    </row>
    <row r="33" spans="2:2" x14ac:dyDescent="0.3">
      <c r="B33" t="s">
        <v>556</v>
      </c>
    </row>
    <row r="34" spans="2:2" x14ac:dyDescent="0.3">
      <c r="B34" t="s">
        <v>92</v>
      </c>
    </row>
    <row r="35" spans="2:2" x14ac:dyDescent="0.3">
      <c r="B35" t="s">
        <v>400</v>
      </c>
    </row>
    <row r="36" spans="2:2" x14ac:dyDescent="0.3">
      <c r="B36" t="s">
        <v>142</v>
      </c>
    </row>
    <row r="37" spans="2:2" x14ac:dyDescent="0.3">
      <c r="B37" t="s">
        <v>474</v>
      </c>
    </row>
    <row r="38" spans="2:2" x14ac:dyDescent="0.3">
      <c r="B38" t="s">
        <v>537</v>
      </c>
    </row>
    <row r="39" spans="2:2" x14ac:dyDescent="0.3">
      <c r="B39" t="s">
        <v>539</v>
      </c>
    </row>
    <row r="40" spans="2:2" x14ac:dyDescent="0.3">
      <c r="B40" t="s">
        <v>553</v>
      </c>
    </row>
    <row r="41" spans="2:2" x14ac:dyDescent="0.3">
      <c r="B41" t="s">
        <v>554</v>
      </c>
    </row>
    <row r="42" spans="2:2" x14ac:dyDescent="0.3">
      <c r="B42" t="s">
        <v>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5001A7F440642A6070C1E93C115E6" ma:contentTypeVersion="4" ma:contentTypeDescription="Create a new document." ma:contentTypeScope="" ma:versionID="28f7da586042f1ba6f92a78254322ef7">
  <xsd:schema xmlns:xsd="http://www.w3.org/2001/XMLSchema" xmlns:xs="http://www.w3.org/2001/XMLSchema" xmlns:p="http://schemas.microsoft.com/office/2006/metadata/properties" xmlns:ns2="c4e7157d-8938-431e-863d-0a90e9949d3f" xmlns:ns3="ffcbad2f-d328-4d6f-b05b-c3790b05cd0c" targetNamespace="http://schemas.microsoft.com/office/2006/metadata/properties" ma:root="true" ma:fieldsID="e7d0a1647cbeb79f155f8a3217bc1c04" ns2:_="" ns3:_="">
    <xsd:import namespace="c4e7157d-8938-431e-863d-0a90e9949d3f"/>
    <xsd:import namespace="ffcbad2f-d328-4d6f-b05b-c3790b05cd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7157d-8938-431e-863d-0a90e9949d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bad2f-d328-4d6f-b05b-c3790b05cd0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fcbad2f-d328-4d6f-b05b-c3790b05cd0c">
      <UserInfo>
        <DisplayName>Thomas, Stefan</DisplayName>
        <AccountId>22</AccountId>
        <AccountType/>
      </UserInfo>
      <UserInfo>
        <DisplayName>Ni, Qing</DisplayName>
        <AccountId>23</AccountId>
        <AccountType/>
      </UserInfo>
      <UserInfo>
        <DisplayName>Ha, Deokjin</DisplayName>
        <AccountId>24</AccountId>
        <AccountType/>
      </UserInfo>
      <UserInfo>
        <DisplayName>Pauly, Helmut</DisplayName>
        <AccountId>25</AccountId>
        <AccountType/>
      </UserInfo>
      <UserInfo>
        <DisplayName>Saksanov, Pavlin</DisplayName>
        <AccountId>26</AccountId>
        <AccountType/>
      </UserInfo>
      <UserInfo>
        <DisplayName>Yahyaei, Mehdi</DisplayName>
        <AccountId>6</AccountId>
        <AccountType/>
      </UserInfo>
      <UserInfo>
        <DisplayName>Kim, Yong Kuan</DisplayName>
        <AccountId>19</AccountId>
        <AccountType/>
      </UserInfo>
      <UserInfo>
        <DisplayName>Park, Joonyong</DisplayName>
        <AccountId>27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423254B-B439-4292-994B-1C30A82B4C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762AF2-5ED6-4C41-A14E-5D5B1563BF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e7157d-8938-431e-863d-0a90e9949d3f"/>
    <ds:schemaRef ds:uri="ffcbad2f-d328-4d6f-b05b-c3790b05cd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1E11BC-2728-4CBB-8684-490667BEAB47}">
  <ds:schemaRefs>
    <ds:schemaRef ds:uri="c4e7157d-8938-431e-863d-0a90e9949d3f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ffcbad2f-d328-4d6f-b05b-c3790b05cd0c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Concord DAR List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Yahyaei, Mehdi</dc:creator>
  <cp:keywords/>
  <dc:description/>
  <cp:lastModifiedBy>Quang Thang Nguyen</cp:lastModifiedBy>
  <cp:revision/>
  <dcterms:created xsi:type="dcterms:W3CDTF">2018-11-28T14:58:58Z</dcterms:created>
  <dcterms:modified xsi:type="dcterms:W3CDTF">2024-04-30T14:00:27Z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0x0101003B65001A7F440642A6070C1E93C115E6</vt:lpwstr>
  </property>
</Properties>
</file>